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66925"/>
  <xr:revisionPtr revIDLastSave="0" documentId="13_ncr:1_{28FDBC5C-7FCC-4B42-A2F6-8FF0B8EEDADE}" xr6:coauthVersionLast="47" xr6:coauthVersionMax="47" xr10:uidLastSave="{00000000-0000-0000-0000-000000000000}"/>
  <bookViews>
    <workbookView xWindow="-103" yWindow="-103" windowWidth="22149" windowHeight="11829" tabRatio="752" xr2:uid="{23B6CA6D-8F45-4C60-BF35-6D6302FA0211}"/>
  </bookViews>
  <sheets>
    <sheet name="Summary" sheetId="41" r:id="rId1"/>
    <sheet name="Background Information" sheetId="10" r:id="rId2"/>
    <sheet name="How to filter" sheetId="27" r:id="rId3"/>
    <sheet name="Change Log" sheetId="42" r:id="rId4"/>
    <sheet name="ExistingGeneration&amp;NewDevs" sheetId="38" r:id="rId5"/>
    <sheet name="Scheduled Capacities" sheetId="39" r:id="rId6"/>
    <sheet name="Site name changes" sheetId="37" r:id="rId7"/>
  </sheets>
  <definedNames>
    <definedName name="_xlnm._FilterDatabase" localSheetId="6" hidden="1">'Site name changes'!$A$1:$C$244</definedName>
    <definedName name="ExternalData_3" localSheetId="4" hidden="1">'ExistingGeneration&amp;NewDevs'!$A$2:$Y$1572</definedName>
    <definedName name="ExternalData_4" localSheetId="5" hidden="1">'Scheduled Capacities'!$A$4:$AM$103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42" l="1"/>
  <c r="M47" i="41" a="1"/>
  <c r="M47" i="41" s="1"/>
  <c r="L47" i="41" a="1"/>
  <c r="L47" i="41" s="1"/>
  <c r="K47" i="41" a="1"/>
  <c r="K47" i="41" s="1"/>
  <c r="J47" i="41" a="1"/>
  <c r="J47" i="41" s="1"/>
  <c r="I47" i="41" a="1"/>
  <c r="I47" i="41" s="1"/>
  <c r="H47" i="41" a="1"/>
  <c r="H47" i="41" s="1"/>
  <c r="G47" i="41" a="1"/>
  <c r="G47" i="41" s="1"/>
  <c r="F47" i="41" a="1"/>
  <c r="F47" i="41" s="1"/>
  <c r="E47" i="41" a="1"/>
  <c r="E47" i="41" s="1"/>
  <c r="D47" i="41" a="1"/>
  <c r="D47" i="41" s="1"/>
  <c r="M46" i="41" a="1"/>
  <c r="M46" i="41" s="1"/>
  <c r="L46" i="41" a="1"/>
  <c r="L46" i="41" s="1"/>
  <c r="K46" i="41" a="1"/>
  <c r="K46" i="41" s="1"/>
  <c r="J46" i="41" a="1"/>
  <c r="J46" i="41" s="1"/>
  <c r="I46" i="41" a="1"/>
  <c r="I46" i="41" s="1"/>
  <c r="H46" i="41" a="1"/>
  <c r="H46" i="41" s="1"/>
  <c r="G46" i="41" a="1"/>
  <c r="G46" i="41" s="1"/>
  <c r="F46" i="41" a="1"/>
  <c r="F46" i="41" s="1"/>
  <c r="E46" i="41" a="1"/>
  <c r="E46" i="41" s="1"/>
  <c r="D46" i="41" a="1"/>
  <c r="D46" i="41" s="1"/>
  <c r="M45" i="41" a="1"/>
  <c r="M45" i="41" s="1"/>
  <c r="L45" i="41" a="1"/>
  <c r="L45" i="41" s="1"/>
  <c r="K45" i="41" a="1"/>
  <c r="K45" i="41" s="1"/>
  <c r="J45" i="41" a="1"/>
  <c r="J45" i="41" s="1"/>
  <c r="I45" i="41" a="1"/>
  <c r="I45" i="41" s="1"/>
  <c r="H45" i="41" a="1"/>
  <c r="H45" i="41" s="1"/>
  <c r="G45" i="41" a="1"/>
  <c r="G45" i="41" s="1"/>
  <c r="F45" i="41" a="1"/>
  <c r="F45" i="41" s="1"/>
  <c r="E45" i="41" a="1"/>
  <c r="E45" i="41" s="1"/>
  <c r="D45" i="41" a="1"/>
  <c r="D45" i="41" s="1"/>
  <c r="M44" i="41" a="1"/>
  <c r="M44" i="41" s="1"/>
  <c r="L44" i="41" a="1"/>
  <c r="L44" i="41" s="1"/>
  <c r="K44" i="41" a="1"/>
  <c r="K44" i="41" s="1"/>
  <c r="J44" i="41" a="1"/>
  <c r="J44" i="41" s="1"/>
  <c r="I44" i="41" a="1"/>
  <c r="I44" i="41" s="1"/>
  <c r="H44" i="41" a="1"/>
  <c r="H44" i="41" s="1"/>
  <c r="G44" i="41" a="1"/>
  <c r="G44" i="41" s="1"/>
  <c r="F44" i="41" a="1"/>
  <c r="F44" i="41" s="1"/>
  <c r="E44" i="41" a="1"/>
  <c r="E44" i="41" s="1"/>
  <c r="D44" i="41" a="1"/>
  <c r="D44" i="41" s="1"/>
  <c r="M43" i="41" a="1"/>
  <c r="M43" i="41" s="1"/>
  <c r="L43" i="41" a="1"/>
  <c r="L43" i="41" s="1"/>
  <c r="K43" i="41" a="1"/>
  <c r="K43" i="41" s="1"/>
  <c r="J43" i="41" a="1"/>
  <c r="J43" i="41" s="1"/>
  <c r="I43" i="41" a="1"/>
  <c r="I43" i="41" s="1"/>
  <c r="H43" i="41" a="1"/>
  <c r="H43" i="41" s="1"/>
  <c r="G43" i="41" a="1"/>
  <c r="G43" i="41" s="1"/>
  <c r="F43" i="41" a="1"/>
  <c r="F43" i="41" s="1"/>
  <c r="E43" i="41" a="1"/>
  <c r="E43" i="41" s="1"/>
  <c r="D43" i="41" a="1"/>
  <c r="D43" i="41" s="1"/>
  <c r="M42" i="41" a="1"/>
  <c r="M42" i="41" s="1"/>
  <c r="L42" i="41" a="1"/>
  <c r="L42" i="41" s="1"/>
  <c r="K42" i="41" a="1"/>
  <c r="K42" i="41" s="1"/>
  <c r="J42" i="41" a="1"/>
  <c r="J42" i="41" s="1"/>
  <c r="I42" i="41" a="1"/>
  <c r="I42" i="41" s="1"/>
  <c r="H42" i="41" a="1"/>
  <c r="H42" i="41" s="1"/>
  <c r="G42" i="41" a="1"/>
  <c r="G42" i="41" s="1"/>
  <c r="F42" i="41" a="1"/>
  <c r="F42" i="41" s="1"/>
  <c r="E42" i="41" a="1"/>
  <c r="E42" i="41" s="1"/>
  <c r="D42" i="41" a="1"/>
  <c r="D42" i="41" s="1"/>
  <c r="M41" i="41" a="1"/>
  <c r="M41" i="41" s="1"/>
  <c r="L41" i="41" a="1"/>
  <c r="L41" i="41" s="1"/>
  <c r="K41" i="41" a="1"/>
  <c r="K41" i="41" s="1"/>
  <c r="J41" i="41" a="1"/>
  <c r="J41" i="41" s="1"/>
  <c r="I41" i="41" a="1"/>
  <c r="I41" i="41" s="1"/>
  <c r="H41" i="41" a="1"/>
  <c r="H41" i="41" s="1"/>
  <c r="G41" i="41" a="1"/>
  <c r="G41" i="41" s="1"/>
  <c r="F41" i="41" a="1"/>
  <c r="F41" i="41" s="1"/>
  <c r="E41" i="41" a="1"/>
  <c r="E41" i="41" s="1"/>
  <c r="D41" i="41" a="1"/>
  <c r="D41" i="41" s="1"/>
  <c r="B37" i="41"/>
  <c r="B15" i="41"/>
  <c r="D40" i="41" l="1"/>
  <c r="N41" i="41"/>
  <c r="E40" i="41"/>
  <c r="F40" i="41"/>
  <c r="J40" i="41"/>
  <c r="G40" i="41"/>
  <c r="N47" i="41"/>
  <c r="H40" i="41"/>
  <c r="I40" i="41"/>
  <c r="N43" i="41"/>
  <c r="K40" i="41"/>
  <c r="N46" i="41"/>
  <c r="L40" i="41"/>
  <c r="M40" i="41"/>
  <c r="N42" i="41"/>
  <c r="N45" i="41"/>
  <c r="N44" i="41"/>
  <c r="N40" i="4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<sst xmlns="http://schemas.openxmlformats.org/spreadsheetml/2006/main" count="30577" uniqueCount="5419">
  <si>
    <t>Summary</t>
  </si>
  <si>
    <t>This sheet includes a Summary Chart and Table of the data within this file.</t>
  </si>
  <si>
    <t>Disclaimer</t>
  </si>
  <si>
    <t>This document is subject to an important disclaimer that limits or excludes AEMO's liability.</t>
  </si>
  <si>
    <t>Please read the full disclaimer at</t>
  </si>
  <si>
    <t>https://www.aemo.com.au/energy-systems/electricity/national-electricity-market-nem/nem-forecasting-and-planning/forecasting-and-planning-data/generation-information</t>
  </si>
  <si>
    <t>Region</t>
  </si>
  <si>
    <t>NSW1</t>
  </si>
  <si>
    <t>Dispatch Type</t>
  </si>
  <si>
    <t>S‚ SS &amp; NS</t>
  </si>
  <si>
    <t>Fuel - Technology Category</t>
  </si>
  <si>
    <t>Summary Status</t>
  </si>
  <si>
    <t>Coal</t>
  </si>
  <si>
    <t>CCGT</t>
  </si>
  <si>
    <t>OCGT</t>
  </si>
  <si>
    <t>Gas other</t>
  </si>
  <si>
    <t>Solar*</t>
  </si>
  <si>
    <t>Wind</t>
  </si>
  <si>
    <t>Water</t>
  </si>
  <si>
    <t>Biomass</t>
  </si>
  <si>
    <t>Battery Storage</t>
  </si>
  <si>
    <t>Other</t>
  </si>
  <si>
    <t>Total</t>
  </si>
  <si>
    <t>Existing</t>
  </si>
  <si>
    <t>Announced Withdrawal</t>
  </si>
  <si>
    <t>Existing less Announced Withdrawal</t>
  </si>
  <si>
    <t>Upgrade / Expansion</t>
  </si>
  <si>
    <t>Committed</t>
  </si>
  <si>
    <t>Anticipated</t>
  </si>
  <si>
    <t>Proposed</t>
  </si>
  <si>
    <t>Withdrawn</t>
  </si>
  <si>
    <t>Notes:</t>
  </si>
  <si>
    <t>"Existing" summary status includes "Announced Withdrawal".</t>
  </si>
  <si>
    <t>"Committed" summary status includes "Committed*".</t>
  </si>
  <si>
    <t>"Solar*" Fuel-Technology category excludes Rooftop PV installations.</t>
  </si>
  <si>
    <t>Projects with "TBA" Dispatch Type are not included in the Summary Table.</t>
  </si>
  <si>
    <t>Projects with "Confidential" FuelBucketSummary are not included in the Summary Table.</t>
  </si>
  <si>
    <t>Background Information</t>
  </si>
  <si>
    <t>This sheet includes important reference information regarding the data presented within this file.</t>
  </si>
  <si>
    <t>Please note that AEMO has introduced minor enhancements within the Generation Information Page data file, commencing from the 7 May 2021 update.</t>
  </si>
  <si>
    <t>This is as a result of the revised Generator Survey process, effective from May 2021.</t>
  </si>
  <si>
    <t>This includes:</t>
  </si>
  <si>
    <t>a)  merging of the Generator Surveys with Key Connection Information, to better capture proposed projects.</t>
  </si>
  <si>
    <t>b)  clarifying the title and arrangement of Typical summer scheduled capacities, from Peak summer scheduled capacities (consistent with weather that would result in 10% POE demand)</t>
  </si>
  <si>
    <t>Glossary</t>
  </si>
  <si>
    <t>Below is a table of pertinent Data Field Names and related Terms used within this file, including a matrix to indicate the relevant sheets in each case.</t>
  </si>
  <si>
    <t>Please note that there are many new Data Field Names introduced in the 18 July 2019 update which are yet to be included in the table, and these will be added in subsequent publication updates as soon as possible.</t>
  </si>
  <si>
    <t>Relevant Sheets within this file</t>
  </si>
  <si>
    <t>Data Field Names and related Terms</t>
  </si>
  <si>
    <t>Explanation/Definition</t>
  </si>
  <si>
    <t>Change Log</t>
  </si>
  <si>
    <t>Existing Generation &amp; New Devs</t>
  </si>
  <si>
    <t>Scheduled Capacities</t>
  </si>
  <si>
    <t>Lower Nameplate Capacity (MW)</t>
  </si>
  <si>
    <t>The proposed lower limit of Nameplate Capacity of an individual generating unit within a New Development (Project).  It may be used to indicate the level of certainty of the generating unit size, prior to supply contracts being executed.  This parameter is not applicable to an "Existing" generating unit, and will be left blank.</t>
  </si>
  <si>
    <t>ü</t>
  </si>
  <si>
    <t>Upper Nameplate Capacity (MW)</t>
  </si>
  <si>
    <t>The proposed upper limit of Nameplate Capacity of an individual generating unit within a New Development (Project).  It indicates the (maximum) proposed generating unit size, prior to supply contracts being executed.  This parameter is also used to indicate the actual nameplate capacity for an "Existing" generating unit.</t>
  </si>
  <si>
    <t>Aggregated Lower Nameplate Capacity (MW)</t>
  </si>
  <si>
    <t>The sum (aggregate) of the proposed Lower Nameplate Capacity for the corresponding number of equally sized individual generating units within a New Development (Project). This field applies for "New" generating units only, prior to supply contracts being executed.  This parameter is not applicable to "Existing" generating units, and will be left blank.</t>
  </si>
  <si>
    <t>Aggregated Upper Nameplate Capacity (MW)</t>
  </si>
  <si>
    <t>The sum (aggregate) of the Upper Nameplate Capacity for the given number of equallysized individual generating units, within a New Development (Project). This field applies for "New" generating units only, prior to supply contracts being executed.  This parameter is also used to indicate the actual aggregated Nameplate Capacity for the given number of equally sized "Existing" generating units.</t>
  </si>
  <si>
    <t>"Nameplate Capacity (MW)"</t>
  </si>
  <si>
    <t>This is the combination (text string) of Lower and Upper Nameplate Capacity values, as displayed in previous updates of the Generation Information Page data files, i.e. prior to the 18 July 2019 update.  This text string is included within the Existing Generation and New Developments table only, for ease of reference.</t>
  </si>
  <si>
    <t>Full Commercial Use Date</t>
  </si>
  <si>
    <t xml:space="preserve">This field provides an indication of timing for generating unit(s) to become operationally available in the NEM.  "Full Commercial Use" requires the successful completion of all NER 5.7.3 commissioning tests, including sign-off by AEMO and the Network Service Provider.
The published value of “Full Commercial Use Date” corresponds to the Month and Year of the Latest Target Date for Full Commercial Use of the generating unit(s), as specified by the proponent within the relevant Generator Survey. </t>
  </si>
  <si>
    <t>Expected Closure Year</t>
  </si>
  <si>
    <t>The expected closure year for existing plants/projects.   </t>
  </si>
  <si>
    <t>Closure Date</t>
  </si>
  <si>
    <t>This is the specific expected closure date for existing plants/projects. indicate a “Closure Date”, the participant must officially notify AEMO (Registrations) in writing via onboarding@aemo.com.au. </t>
  </si>
  <si>
    <t>SurveyId</t>
  </si>
  <si>
    <t>This is a special ID number only used in AEMO Generation Information Page publication.</t>
  </si>
  <si>
    <t>AEMO KCI Id</t>
  </si>
  <si>
    <t>This is a special ID numbers used by AEMO in the Key Connection Information (KCI) spreadsheet available on the AEMO Generation Information Page.</t>
  </si>
  <si>
    <t>Survey Last Requested</t>
  </si>
  <si>
    <t>The date that a survey invite was last sent to the nominated contact. While AEMO may make periodic requests, participants are reminded that they may have an NER obligation to report any material changes to AEMO as soon as practical.</t>
  </si>
  <si>
    <t>SurveyVersionDateTime</t>
  </si>
  <si>
    <t>The date that the Survey version is last modified. </t>
  </si>
  <si>
    <t>NEM region</t>
  </si>
  <si>
    <t>Asset Type</t>
  </si>
  <si>
    <t>Generating Units are classified as either “Project” or “Existing Plant” Asset Types, based on their Registration Status and Export Capability at their Connection Point.</t>
  </si>
  <si>
    <t>DUID</t>
  </si>
  <si>
    <t xml:space="preserve">The Dispatchable Unit Identifier (DUID) as Registered in the NEM.  Maximum 8 characters, alphanumeric, see section "3.3.6 Identifiers" in the "NEM Generator Registration Guide" on AEMO's website. </t>
  </si>
  <si>
    <t>Registered Capacity</t>
  </si>
  <si>
    <t>Any person who owns, controls, or operates a generating system connected to a transmission or distribution network must register with AEMO as a generator unless it has the benefit of an exemption from that requirement. A generating system’s registered capacity is the aggregate megawatt (MW) capacity of all its component generation units, as registered with AEMO.</t>
  </si>
  <si>
    <t>Nameplate Capacity</t>
  </si>
  <si>
    <t>This represents the maximum continuous output or consumption in MW, as specified by the manufacturer, or as subsequently modified. The Nameplate Capacity rating can change for a number of reasons, such as a decrease due to increasing age (Service Life) and subsequent review of performance, or an increase due to an upgrade project and subsequent recommissioning tests. The name plate capacity is currently defined as AC only, but AEMO intend to collect both AC and DC capacities for certain technologies at some stage in the future.  A generating unit's Registered Capacity should not exceed its Nameplate Capacity.
For the purposes of reliability assessments, and consistent with market systems, AEMO measures Scheduled and Semi-scheduled generation capacity on an as-generated basis, noting that for Semi-scheduled systems the generating unit "terminals" are taken to be at the Network Connection Point. Non-scheduled generation is measured as sent-out (at the Network Connection Point) because it can include co-generation plants (that usually produce both heat and electricity), where the bulk of the capacity is consumed locally.</t>
  </si>
  <si>
    <t>Maximum Capacity</t>
  </si>
  <si>
    <t>Maximum Capacity is the capacity that the generator is registered to dispatch up to, aligning with the Maximum Capacity in the Generator Performance Standard.  Maximum Capacity represents the maximum generation of the generating system, taking into consideration any operating constraints required to ensure power system security as determined during commissioning.  Maximum Capacity can be found in the ‘Generators and Scheduled Loads’ worksheet within AEMO’s NEM Registration and Exemption List, on AEMO’s website.</t>
  </si>
  <si>
    <t>Under the National Electricity Rules (NER), generating units are classified as Scheduled (S), Semi-scheduled (SS), or Non-scheduled (NS). These are defined as follows.
(a) Scheduled – The generating unit participates in central dispatch.
(b) Non-Scheduled – The generating unit does not participate in central dispatch.
(c) Semi-Scheduled – The generating unit will participate in central dispatch in specified circumstances.</t>
  </si>
  <si>
    <t>Other generation classification</t>
  </si>
  <si>
    <r>
      <t xml:space="preserve">For further information about generation classification guide, please refer to the AEMO Generation Exemption and Classification Guide on the AEMO website:
http://aemo.com.au/-/media/Files/Electricity/NEM/Participant_Information/New-Participants/Generator-Exemption-and-Classification-Guide.pdf </t>
    </r>
    <r>
      <rPr>
        <b/>
        <sz val="8"/>
        <rFont val="Arial"/>
        <family val="2"/>
      </rPr>
      <t xml:space="preserve">
</t>
    </r>
  </si>
  <si>
    <t>Generator Survey</t>
  </si>
  <si>
    <r>
      <t>The data submitted to AEMO by the custodian of a New Development (Project) or Existing Generator (Existing Plant), for AEMO's Planning and Forecasting purposes.  Notionally, each Generator Survey should include information about all Existing and / or New generating units within a given Site.</t>
    </r>
    <r>
      <rPr>
        <b/>
        <sz val="8"/>
        <rFont val="Arial"/>
        <family val="2"/>
      </rPr>
      <t xml:space="preserve">
</t>
    </r>
  </si>
  <si>
    <t>Generation Capacity Reference Temperatures</t>
  </si>
  <si>
    <t>The actual level of generation available at any particular time will depend on the condition of the generating plant. This includes factors such as age, outages, and wear. Another important factor with respect to output is the reduction in thermal efficiency as the temperature increases. Because temperature can affect plant generation capacities in different ways, basing generation capacities on region-specific reference temperatures facilitates more effective assessment of available generation capacity under weather conditions frequently associated with high demand. To produce the supply-demand outlook, AEMO — in consultation with the Jurisdictional Planning Bodies (JPBs) — undertakes the following:
·      Uses historical data to estimate typical weather conditions, and to determine reference temperatures frequently associated with times of 10% probability of exceedance (POE) maximum demand in the major load centres for each region.
·      Asks generators to provide generating unit capacities for summer and winter using these common reference temperatures.
·      Asks generators to also provide generating unit capacities for summer typical reference temperatures, so that generator ratings are accurate for high demands that occur with more moderate summer heat conditions.
The table below lists the common reference temperatures AEMO applies for each region. In general, annual maximum demands occur during summer; the exception is Tasmania, where maximum demand occurs during winter. Summer maximum demand in Tasmania occurs during colder temperatures, resulting in a relatively low summer reference temperature.</t>
  </si>
  <si>
    <t>Summer (°C)</t>
  </si>
  <si>
    <t>Winter (°C)</t>
  </si>
  <si>
    <t>Summer Typical (°C)</t>
  </si>
  <si>
    <t>Queensland</t>
  </si>
  <si>
    <t>New South Wales</t>
  </si>
  <si>
    <t>Victoria</t>
  </si>
  <si>
    <t>South Australia</t>
  </si>
  <si>
    <t>Tasmania</t>
  </si>
  <si>
    <t>n/a</t>
  </si>
  <si>
    <t>Proposed generation in the NEM</t>
  </si>
  <si>
    <t>In addition to capacity forecasts, generation plant owners advise AEMO about the status of generation projects currently under development in each region.</t>
  </si>
  <si>
    <t xml:space="preserve">Generation projects can be at different stages of development (i.e. Project Commitment Status), which are assessed using AEMO’s five (5) commitment criteria, covering site acquisition, contracts for major components, planning and other approvals, financing, and construction (see table below for a description of the criteria). </t>
  </si>
  <si>
    <t>Project Commitment Criteria</t>
  </si>
  <si>
    <t>Criteria Name</t>
  </si>
  <si>
    <t>Description</t>
  </si>
  <si>
    <t>Land</t>
  </si>
  <si>
    <t>The project proponent has purchased / settled / acquired (or commenced legal proceedings to purchase / settle / acquire) land for the construction of the project.</t>
  </si>
  <si>
    <t>Contracts</t>
  </si>
  <si>
    <t>Contracts for the supply and construction of major plant or equipment components (such as generating units, turbines, boilers, transmission towers, conductors, and terminal station equipment) have been finalised and executed, including any provisions for cancellation payments.</t>
  </si>
  <si>
    <t>Planning</t>
  </si>
  <si>
    <t>The proponent has obtained all required planning consents, construction approvals, connection contracts (including approval of proposed negotiated Generator Performance Standards from AEMO under clause 5.3.4A of the National Electricity Rules), and licences, including completion and acceptance of any necessary environmental impact statements.</t>
  </si>
  <si>
    <t>Finance</t>
  </si>
  <si>
    <t>The financing arrangements for the proposal, including any debt plans, must have been concluded and contracts executed.</t>
  </si>
  <si>
    <t>Construction</t>
  </si>
  <si>
    <t>Construction of the proposal must either have commenced or a firm commencement date must have been set. Commercial use date for full operation must have been set.</t>
  </si>
  <si>
    <t>Traffic light categories</t>
  </si>
  <si>
    <t>Traffic Light Colour</t>
  </si>
  <si>
    <t>Symbol</t>
  </si>
  <si>
    <t>Red</t>
  </si>
  <si>
    <t>Amber</t>
  </si>
  <si>
    <t>Green</t>
  </si>
  <si>
    <t xml:space="preserve">NOTE:  </t>
  </si>
  <si>
    <t xml:space="preserve">1)      A commitment criterion is deemed to be “satisfied” if all associated questions have been answered in the positive, making the category "green". </t>
  </si>
  <si>
    <t>2)      A commitment criterion is deemed to have “progressed” if the category is “amber” or "green".</t>
  </si>
  <si>
    <t>Application of Traffic light categorisation to Project Commitment Criteria to classify Commitment Status</t>
  </si>
  <si>
    <t>Accordingly, the Project Commitment criteria must have been satisfied to at least the minimum level of traffic light categorisation that is required for each Commitment Status classification, as shown in the following table:</t>
  </si>
  <si>
    <r>
      <rPr>
        <sz val="9"/>
        <color theme="1"/>
        <rFont val="Wingdings"/>
        <charset val="2"/>
      </rPr>
      <t>ß</t>
    </r>
    <r>
      <rPr>
        <sz val="9"/>
        <color theme="1"/>
        <rFont val="Arial"/>
        <family val="2"/>
      </rPr>
      <t xml:space="preserve"> Increasing certainty (Commitment Status)</t>
    </r>
  </si>
  <si>
    <t>Criteria</t>
  </si>
  <si>
    <t>Committed*</t>
  </si>
  <si>
    <t>Publicly Announced</t>
  </si>
  <si>
    <r>
      <rPr>
        <sz val="9"/>
        <color rgb="FFFFFFFF"/>
        <rFont val="Wingdings"/>
        <charset val="2"/>
      </rPr>
      <t>ß</t>
    </r>
    <r>
      <rPr>
        <sz val="9"/>
        <color rgb="FFFFFFFF"/>
        <rFont val="Arial"/>
        <family val="2"/>
      </rPr>
      <t xml:space="preserve"> Increasing project maturity</t>
    </r>
  </si>
  <si>
    <t>Further description of Commitment Status</t>
  </si>
  <si>
    <t>New production and transmission projects fall into one of six classes of certainty (Commitment Status).</t>
  </si>
  <si>
    <t>The Commitment Status is determined by assessing the progress of a Generation Project against the Project Commitment Criteria, as outlined above.</t>
  </si>
  <si>
    <t>Commitment Status</t>
  </si>
  <si>
    <t>Projects that will proceed, with known timing, satisfying all five of the commitment criteria.  That is, all categories are green.</t>
  </si>
  <si>
    <r>
      <t>Committed</t>
    </r>
    <r>
      <rPr>
        <b/>
        <sz val="9"/>
        <color rgb="FFFF0000"/>
        <rFont val="Arial"/>
        <family val="2"/>
      </rPr>
      <t>*</t>
    </r>
  </si>
  <si>
    <t xml:space="preserve">Projects that are highly likely to proceed, satisfying Land, Finance and Construction criteria plus either Planning or Components criteria. Progress towards meeting the final criteria is also evidenced and construction or installation has also commenced.  </t>
  </si>
  <si>
    <t>Scheduled and semi-scheduled generation projects that are sufficiently progressed towards meeting at least three of the five commitment criteria are assigned a commitment status classification of anticipated.  If a generation information survey has not been submitted by the project proponent in the previous six months the project will no longer be classified as anticipated.</t>
  </si>
  <si>
    <t>Publicly announced</t>
  </si>
  <si>
    <t xml:space="preserve">These projects have been announced publicly and are not yet sufficiently progressed to be regarded as Anticipated, Committed* or Committed.  </t>
  </si>
  <si>
    <t>"New" or "Existing" Generating Units within a Generator Survey, and their relationship with "Asset Type" in the Generation Information Page</t>
  </si>
  <si>
    <t>“New” Generating Units (within a Generator Survey)</t>
  </si>
  <si>
    <t>A Generating Unit should be reported as “New” within the relevant Generator Survey unless all the following conditions have been met:</t>
  </si>
  <si>
    <t>a)      the individual Generating Unit plant has been commissioned on-site by the EPC / Operator, and</t>
  </si>
  <si>
    <t>b)      an “Application for Registration as a Generator in the NEM” has been lodged with AEMO Registrations (which includes that Generating Unit), and</t>
  </si>
  <si>
    <t>c)      Energisation of the relevant Transmission Network Connection Point or Distribution Network Connection Point has been signed-off by AEMO Network Development (a.k.a. Hold Point Zero “HP0”).</t>
  </si>
  <si>
    <t>“Project” Asset Type (as reported within the Generation Information Page)</t>
  </si>
  <si>
    <t>Until the above conditions have been met, the Generating Unit will be published as being of the “Project” Asset Type within the Generation Information Page.</t>
  </si>
  <si>
    <t>“Existing” Generating Units (within a Generator Survey)</t>
  </si>
  <si>
    <t>Once all above conditions have been satisfied, the Generating Unit must be reported as “Existing” within the relevant Generator Survey.</t>
  </si>
  <si>
    <t>“Existing Plant” Asset Type (as reported within the Generation Information Page)</t>
  </si>
  <si>
    <t>The Generating Unit will then be published as being of the “Existing Plant” Asset Type within the Generation Information Page.</t>
  </si>
  <si>
    <t>Combinations of Asset Type and Commitment Status to indicate operational capability</t>
  </si>
  <si>
    <t>The following definitions have been created to provide further transparency of the operational capability of generating units under the following conditions:</t>
  </si>
  <si>
    <t>Note that a generating unit will not be classified as an "Existing Plant" Asset Type until it is Registered, connected to an energised Network Connection Point, and able to generate electricity for export.</t>
  </si>
  <si>
    <t>Prior to this, the generating unit will be classifed as a "Project" Asset Type.</t>
  </si>
  <si>
    <t>Existing Plant</t>
  </si>
  <si>
    <t>In Commissioning</t>
  </si>
  <si>
    <t>Successful completion / sign-off of the earliest Hold Point Test that is ≥ 30% capacity.
Note: This will be confirmed by AEMO Network Development.</t>
  </si>
  <si>
    <t>In Service</t>
  </si>
  <si>
    <t>All Hold Point Tests completed / signed-off by AEMO Network Development.
Note: This will be confirmed by AEMO Network Development.</t>
  </si>
  <si>
    <t>Note that information for Generating Units published on the Generation Information Page, is now disaggregated by DUID.  In this case, information about Generating Units with a different DUID but within the same Generating System, may result in some units appearing as “In Service” while others are still “In Commissioning”.</t>
  </si>
  <si>
    <t>How to filter to the old gen info view</t>
  </si>
  <si>
    <t>To reset your filtering at any stage, select the 'Sort &amp; Filter' button pictured in Image 1.1 and select 'Clear'.</t>
  </si>
  <si>
    <t>Image 1.1</t>
  </si>
  <si>
    <t>Region filtering</t>
  </si>
  <si>
    <t>Previously AEMO's generation information publications have been released in five separate documents that each account for the five NEM regions, NSW, QLD, SA, TAS and VIC. As the amount of stakeholders that are interested in generation information data across different regions has increased, AEMO has moved to aggregate these separate documents into one going forward. In order to restrict to individual regions in the new format, select the filtering arrow underneath the first column header 'region' (circled in the top left of Image 1.1). This will bring up a list of the five featured regions. To restrict to any specific region(s), make sure that only the desired region(s) are ticked on this list, then press OK.</t>
  </si>
  <si>
    <t>Image 1.2</t>
  </si>
  <si>
    <t>Filtering to Existing S &amp; SS, Existing NS and New Developments tables</t>
  </si>
  <si>
    <t>Previously AEMO's generation information publications have separated site information into three separate tables, Existing S &amp; SS (Existing scheduled and semi-scheduled generators), Existing NS (Existing non-scheduled generators) and New Developments. Going forward, AEMO has decided to combine these three tables into one table called 'ExistingGeneration&amp;NewDevs', for simplicity and ease of use. The following outlines how to filter the 'ExistingGeneration&amp;NewDevs' table to present the data as in each of the aforementioned three tables.</t>
  </si>
  <si>
    <t>Existing S &amp; SS</t>
  </si>
  <si>
    <t>STEP ONE</t>
  </si>
  <si>
    <t>To filter to Existing Scheduled and Semi-Scheduled, select the filtering arrow underneath the second column header 'Asset Type' (circled in the top left of Image 1.2). Ensure that only 'Existing Plant' is selected, then press OK.</t>
  </si>
  <si>
    <t>Image 1.3</t>
  </si>
  <si>
    <t>STEP TWO</t>
  </si>
  <si>
    <t>Scroll across to the right to the column header 'Dispatch Type' (circled in the top left of Image 1.3). Ensure that only 'S' and 'SS' are selected, then press OK.</t>
  </si>
  <si>
    <t>Image 1.4</t>
  </si>
  <si>
    <t>Existing NS</t>
  </si>
  <si>
    <t>Follow the same instructions as in Existing S &amp; SS Step one. Next, croll across to the right to the column header 'Dispatch Type' (circled in the top left of Image 1.4). Ensure that only 'NS' is selected, then press OK.</t>
  </si>
  <si>
    <t>Image 1.5</t>
  </si>
  <si>
    <t>New Developments</t>
  </si>
  <si>
    <t>To filter to New Developments, select the filtering arrow underneath the second column header 'Asset Type' (circled in the top left of Image 1.5). Ensure that only 'Project' is selected, then press OK.</t>
  </si>
  <si>
    <t>Image 1.6</t>
  </si>
  <si>
    <t>This table lists all significant changes within the updates to AEMO's Generation Information data, since the 2012 ESOO.</t>
  </si>
  <si>
    <t>The changes within each update were made available on AEMO's Generation Information Page website, on the corresponding "Publication Date" shown in the table below.</t>
  </si>
  <si>
    <t>Publication Date</t>
  </si>
  <si>
    <t>Type of Change</t>
  </si>
  <si>
    <t>Site Name</t>
  </si>
  <si>
    <t>Owner</t>
  </si>
  <si>
    <t>DUID(s)</t>
  </si>
  <si>
    <t>Note</t>
  </si>
  <si>
    <t>Effective Date</t>
  </si>
  <si>
    <t>Closure date</t>
  </si>
  <si>
    <t>Calala Battery Energy Storage System 1 (CABESS1)</t>
  </si>
  <si>
    <t>The Trustee for Calala A1 Asset Trust</t>
  </si>
  <si>
    <t>Expected closure year 2052 provided</t>
  </si>
  <si>
    <t>Calala Battery Energy Storage System 2 (CABESS2)</t>
  </si>
  <si>
    <t>Liddell BESS</t>
  </si>
  <si>
    <t>MACQGEN</t>
  </si>
  <si>
    <t>Expected closure year 2046 provided</t>
  </si>
  <si>
    <t>Limondale BESS</t>
  </si>
  <si>
    <t>LIMONDALE BATTERY PTY. LTD</t>
  </si>
  <si>
    <t>LIMBESS1</t>
  </si>
  <si>
    <t>Orana BESS</t>
  </si>
  <si>
    <t>Wellington Battery ProjectCo Pty Ltd</t>
  </si>
  <si>
    <t>Expected closure year 2066 provided</t>
  </si>
  <si>
    <t>Smithfield BESS</t>
  </si>
  <si>
    <t>Smithfield BESS Pty Limited</t>
  </si>
  <si>
    <t>SMTHBES1</t>
  </si>
  <si>
    <t>Expected closure year 2040 provided</t>
  </si>
  <si>
    <t>Snowy 2.0.</t>
  </si>
  <si>
    <t>Snowy Hydro Ltd</t>
  </si>
  <si>
    <t>Expected closure year 2129 provided</t>
  </si>
  <si>
    <t>Informative note</t>
  </si>
  <si>
    <t>Bowen PHES - KCI</t>
  </si>
  <si>
    <t>Blue Hydro Project Pty Ltd</t>
  </si>
  <si>
    <t>Project discontinued. KCI application withdrawn</t>
  </si>
  <si>
    <t>Central West Pumped Hydro</t>
  </si>
  <si>
    <t>ATCO Australia Pumped Hydro Pty Ltd</t>
  </si>
  <si>
    <t>Project discontinued</t>
  </si>
  <si>
    <t>Cooma Solar Farm (Lightsource)</t>
  </si>
  <si>
    <t>Lightsource Development Services Australia Pty Ltd</t>
  </si>
  <si>
    <t>Hunter Power Station</t>
  </si>
  <si>
    <t>Snowy Hydro Limited</t>
  </si>
  <si>
    <t>HUNTER1</t>
  </si>
  <si>
    <t>FCUD Updated from Aug to Nov 2025</t>
  </si>
  <si>
    <t>HUNTER2</t>
  </si>
  <si>
    <t>FCUD Updated from Sep to Dec 2025</t>
  </si>
  <si>
    <t>Juno BESS</t>
  </si>
  <si>
    <t>Tilt Renewables Australia Pty Ltd</t>
  </si>
  <si>
    <t>Juno Wind Farm</t>
  </si>
  <si>
    <t>Morundah Battery Storage</t>
  </si>
  <si>
    <t>Photon Energy Engineering Australia Pty Ltd.</t>
  </si>
  <si>
    <t>Morundah Solar Power Plant (Thermal)</t>
  </si>
  <si>
    <t>Muswellbrook PRO BESS</t>
  </si>
  <si>
    <t>Penso Power Australia P/L</t>
  </si>
  <si>
    <t>Quorn Park Solar Hybrid - Battery</t>
  </si>
  <si>
    <t>Quorn Park Solar Hybrid Pty Ltd as the trustee for Quorn Park Solar Hybrid Trust</t>
  </si>
  <si>
    <t>Expected closure year 2045 provided. FCUD Updated from Jan to Dec 2026</t>
  </si>
  <si>
    <t>Quorn Park Solar Hybrid - Solar</t>
  </si>
  <si>
    <t>Expected closure year 2055 provided. FCUD Updated from Feb to Dec 2026</t>
  </si>
  <si>
    <t>Springdale Solar Farm - KCI</t>
  </si>
  <si>
    <t>RES Australia Pty Ltd</t>
  </si>
  <si>
    <t>Project discontinued - duplicated with 1560</t>
  </si>
  <si>
    <t>Tabulam Solar Farm</t>
  </si>
  <si>
    <t>Elgin Energy Pty Ltd</t>
  </si>
  <si>
    <t>The Plains - Solar, Wind and BESS</t>
  </si>
  <si>
    <t>Engie</t>
  </si>
  <si>
    <t>Tilbuster Solar Farm</t>
  </si>
  <si>
    <t>EP Sunspot 5</t>
  </si>
  <si>
    <t>Wagga North Battery Energy Storage System</t>
  </si>
  <si>
    <t>AE BESS 2 Pty Ltd</t>
  </si>
  <si>
    <t>Project discontinued - duplicated with 2817</t>
  </si>
  <si>
    <t>Waratah Super Battery</t>
  </si>
  <si>
    <t>Munmorah Battery ProjectCo Pty Ltd</t>
  </si>
  <si>
    <t>WTAHB1</t>
  </si>
  <si>
    <t>Expected closure year 2065 provided. FCUD Updated from Aug to Nov 2025</t>
  </si>
  <si>
    <t>Wellington North BESS - KCI</t>
  </si>
  <si>
    <t>West Wyalong BESS</t>
  </si>
  <si>
    <t>Lightsource BP</t>
  </si>
  <si>
    <t>Project commitment</t>
  </si>
  <si>
    <t>Bellambi Heights Renewables Project</t>
  </si>
  <si>
    <t>Vena Energy</t>
  </si>
  <si>
    <t>From Publicly Announced to Anticipated</t>
  </si>
  <si>
    <t>Blind Creek Solar Farm and Battery Energy Storage System</t>
  </si>
  <si>
    <t>Ms BCSF Holdings Pty Ltd as trustee for the Blind Creek Solar Farm Trust</t>
  </si>
  <si>
    <t>Capital Battery</t>
  </si>
  <si>
    <t>Capital Battery Pty Ltd</t>
  </si>
  <si>
    <t>CAPBES1</t>
  </si>
  <si>
    <t>From In Commissioning to In Service</t>
  </si>
  <si>
    <t>Crookwell 3 Wind Farm</t>
  </si>
  <si>
    <t>Crookwell 3 Development Pty Ltd</t>
  </si>
  <si>
    <t>CROOKWF3</t>
  </si>
  <si>
    <t>Eraring Big Battery - 0 MW unit</t>
  </si>
  <si>
    <t>Origin Energy Electricity Limited</t>
  </si>
  <si>
    <t xml:space="preserve">ERB01 </t>
  </si>
  <si>
    <t>From Committed to Committed*</t>
  </si>
  <si>
    <t>Eraring Big Battery - 240 MW unit</t>
  </si>
  <si>
    <t>From Anticipated to Committed</t>
  </si>
  <si>
    <t>Eraring Big Battery - 460 MW unit</t>
  </si>
  <si>
    <t>From Committed* to Committed</t>
  </si>
  <si>
    <t>From Committed to In Commissioning</t>
  </si>
  <si>
    <t>Mulwala Solar Farm</t>
  </si>
  <si>
    <t>ESCO Solar Farm 1 Pty Ltd as trustee for the ESCO Solar Farm 1 Trust</t>
  </si>
  <si>
    <t>From Publicly Announced to Committed</t>
  </si>
  <si>
    <t>Riverina Solar Farm</t>
  </si>
  <si>
    <t>Riverina Solar Pty Ltd</t>
  </si>
  <si>
    <t>Project discontinued from Committed</t>
  </si>
  <si>
    <t>Tomago BESS</t>
  </si>
  <si>
    <t>AGL</t>
  </si>
  <si>
    <t>Walla Walla Solar Farm</t>
  </si>
  <si>
    <t>FRV Australia (Walla Walla Asset Co Pty Ltd (ACN 634 728 868) as trustee for the Walla Walla Asset Trust)</t>
  </si>
  <si>
    <t>WLWLSF1</t>
  </si>
  <si>
    <t>WLWLSF2</t>
  </si>
  <si>
    <t>Williamsdale BESS</t>
  </si>
  <si>
    <t>EKU Energy</t>
  </si>
  <si>
    <t>From Publicly Announced to Committed*</t>
  </si>
  <si>
    <t>Wollar Solar Farm</t>
  </si>
  <si>
    <t>Wollar Solar Development Pty Ltd</t>
  </si>
  <si>
    <t>WOLARSF1</t>
  </si>
  <si>
    <t>Yanco BESS</t>
  </si>
  <si>
    <t>Acenergy Pty Ltd</t>
  </si>
  <si>
    <t>QLD1</t>
  </si>
  <si>
    <t>Brendale BESS</t>
  </si>
  <si>
    <t>Brendale Battery ProjectCo Pty Lt</t>
  </si>
  <si>
    <t>Bundaberg Solar Farm</t>
  </si>
  <si>
    <t>Bundaberg Development Pty Ltd</t>
  </si>
  <si>
    <t>Expected closure year 2055 provided</t>
  </si>
  <si>
    <t>Gladstone</t>
  </si>
  <si>
    <t>Gladstone Power Station Participants</t>
  </si>
  <si>
    <t>GSTONE1</t>
  </si>
  <si>
    <t>GSTONE2</t>
  </si>
  <si>
    <t>GSTONE3</t>
  </si>
  <si>
    <t>GSTONE4</t>
  </si>
  <si>
    <t>GSTONE5</t>
  </si>
  <si>
    <t>GSTONE6</t>
  </si>
  <si>
    <t>Aldoga BESS Stage 1</t>
  </si>
  <si>
    <t>Acciona Energy Australia Global</t>
  </si>
  <si>
    <t>ALDGASF1</t>
  </si>
  <si>
    <t>Baking Board Battery Storage - KCI</t>
  </si>
  <si>
    <t xml:space="preserve"> Solar Projects Australia Pty Ltd</t>
  </si>
  <si>
    <t>Baking Board Solar Farm - KCI</t>
  </si>
  <si>
    <t>Broadsound Solar Farm</t>
  </si>
  <si>
    <t>Broadsound Solar Farm Pty Ltd</t>
  </si>
  <si>
    <t>Expected closure year 2056 provided. FCUD Updated from Jan 2027 to Aug 2026</t>
  </si>
  <si>
    <t>Calvale BESS</t>
  </si>
  <si>
    <t>Project record removed - merged with survey for Solar Farm</t>
  </si>
  <si>
    <t>Collinsville Coal Fired Power Station Project - KCI</t>
  </si>
  <si>
    <t>Shine Energy</t>
  </si>
  <si>
    <t>Kidston Pumped Storage Hydro Project 250MW</t>
  </si>
  <si>
    <t>Genex Power Ltd</t>
  </si>
  <si>
    <t>FCUD updated from Jam to Oct 2026</t>
  </si>
  <si>
    <t>Koolunga Battery Energy Storage System 2</t>
  </si>
  <si>
    <t>Equis Energy (Australia) Projects (Ngumi 6) Pty Ltd as trustee for the Equis Energy (Australia) Ngumi 6 Asset Trust</t>
  </si>
  <si>
    <t>Project record removed - merged with survey for Koolunga Battery Energy Storage System 1</t>
  </si>
  <si>
    <t>Lockyer BESS - KCI</t>
  </si>
  <si>
    <t>Lockyer Energy Management Pty</t>
  </si>
  <si>
    <t>Lower Wonga Solar Farm and BESS</t>
  </si>
  <si>
    <t>Lower Wonga Solar Farm Pty Ltd</t>
  </si>
  <si>
    <t>Battery unit added</t>
  </si>
  <si>
    <t>Mica Creek Solar Farm</t>
  </si>
  <si>
    <t>APA Group</t>
  </si>
  <si>
    <t>Oaky Creek</t>
  </si>
  <si>
    <t>EDL OCI Pty Ltd</t>
  </si>
  <si>
    <t>OAKYCREK</t>
  </si>
  <si>
    <t>Unit status changed from 'In Service' to 'Withdrawn - Permanent'</t>
  </si>
  <si>
    <t>Oaky Creek 2</t>
  </si>
  <si>
    <t>EDL OCI PTY LTD</t>
  </si>
  <si>
    <t>OAKY2</t>
  </si>
  <si>
    <t>Tarong BESS - Stanwell</t>
  </si>
  <si>
    <t>Stanwell Corporation Limited</t>
  </si>
  <si>
    <t>TARBESS1</t>
  </si>
  <si>
    <t>Expected closure year 2045 provided. FCUD Updated from Aug to Dec 2025</t>
  </si>
  <si>
    <t>Western Downs Battery - Stage 1 And 2</t>
  </si>
  <si>
    <t>Western Downs BESS Pty Ltd as trustee for Western Downs BESS Trust</t>
  </si>
  <si>
    <t>WDBESS2</t>
  </si>
  <si>
    <t>New unit added to the survey</t>
  </si>
  <si>
    <t>Woolooga BESS</t>
  </si>
  <si>
    <t>Woolooga BESS Fund Pty Limited as trustee for the Woolooga BESS Trust</t>
  </si>
  <si>
    <t>FCUD Updated from Jun to Sep 2026</t>
  </si>
  <si>
    <t>Aldoga Solar Farm</t>
  </si>
  <si>
    <t>Acciona Energy Australia Global Pty Ltd</t>
  </si>
  <si>
    <t>Gunsynd Solar Farm</t>
  </si>
  <si>
    <t>Progressive Renewable Developments Goondiwindi Pty Ltd (ACN 629 560 621) as trustee for the Gunsynd Solar Farm Project Trust</t>
  </si>
  <si>
    <t>Kaban Wind Farm</t>
  </si>
  <si>
    <t>Kaban Wind Farm Trust</t>
  </si>
  <si>
    <t>KABANWF1</t>
  </si>
  <si>
    <t>MacIntyre Wind Farm</t>
  </si>
  <si>
    <t>Macintyre Windfarm Pty Ltd and Arc Energy Macintyre Pty Ltd</t>
  </si>
  <si>
    <t>MCINTYR1</t>
  </si>
  <si>
    <t>From Committed* to In Commissioning</t>
  </si>
  <si>
    <t>Teebar Creek Battery Storage - KCI</t>
  </si>
  <si>
    <t>ATMOS DEVELOPMENTS PTY LTD</t>
  </si>
  <si>
    <t>SA1</t>
  </si>
  <si>
    <t>Blyth BESS</t>
  </si>
  <si>
    <t>Blyth Battery P/L as trustee for Blyth Battery Trust</t>
  </si>
  <si>
    <t>BLYTHB1</t>
  </si>
  <si>
    <t>Clements Gap - BESS</t>
  </si>
  <si>
    <t>Pacific Hydro Clements Gap Pty Ltd</t>
  </si>
  <si>
    <t>Templers BESS</t>
  </si>
  <si>
    <t>ZEBRE Pty Ltd</t>
  </si>
  <si>
    <t>TEMPB1</t>
  </si>
  <si>
    <t>Expected closure year updated from 2049 to 2050</t>
  </si>
  <si>
    <t>Torrens Island B</t>
  </si>
  <si>
    <t xml:space="preserve">AGL SA Generation Pty Limited </t>
  </si>
  <si>
    <t>TORRB2</t>
  </si>
  <si>
    <t>Expected closure year updated from 2026 to 2028</t>
  </si>
  <si>
    <t>TORRB3</t>
  </si>
  <si>
    <t>TORRB4</t>
  </si>
  <si>
    <t>Bungama Solar - Solar</t>
  </si>
  <si>
    <t>Bungama Solar</t>
  </si>
  <si>
    <t>Expected closure year 2056 provided. FCUD Updated from Apr to May 2026</t>
  </si>
  <si>
    <t>Christies Beach Wastewater Treatment Plant</t>
  </si>
  <si>
    <t>South Australian Water Corporation</t>
  </si>
  <si>
    <t>CBWWBA1</t>
  </si>
  <si>
    <t>CBWWPV1</t>
  </si>
  <si>
    <t>Goyder North Wind Farm</t>
  </si>
  <si>
    <t>Neoen Australia</t>
  </si>
  <si>
    <t>Goyder South Wind Farm 1A</t>
  </si>
  <si>
    <t>Goyder Wind Farm 1A Pty Ltd as trustee for Goyder Wind Farm 1A Trust</t>
  </si>
  <si>
    <t>GSWF1A</t>
  </si>
  <si>
    <t>Goyder South Wind Farm 1B</t>
  </si>
  <si>
    <t>Goyder Wind Farm 1B Pty Ltd as trustee for Goyder Wind Farm 1B Trust</t>
  </si>
  <si>
    <t>GSWF1B1</t>
  </si>
  <si>
    <t>Mannum BESS</t>
  </si>
  <si>
    <t>Mannum Stage 2 Battery SubCo Pty Ltd as Trustee for The Mannum Stage 2 Battery Unit Trust</t>
  </si>
  <si>
    <t>MANNUMB1</t>
  </si>
  <si>
    <t>From Anticipated to In Service</t>
  </si>
  <si>
    <t>Reeves Plains Power Station BESS</t>
  </si>
  <si>
    <t>Alinta Energy (Reeves Plains) Pty Ltd</t>
  </si>
  <si>
    <t>Solar River Solar And BESS Project</t>
  </si>
  <si>
    <t>Zen Energy Retail Pty Ltd</t>
  </si>
  <si>
    <t>Tailem Bend Battery Project</t>
  </si>
  <si>
    <t>TB2B1</t>
  </si>
  <si>
    <t>Tailem Bend Stage 3</t>
  </si>
  <si>
    <t>TBSOL</t>
  </si>
  <si>
    <t>VIC1</t>
  </si>
  <si>
    <t>Goorambat East Solar Farm (ENGIE)</t>
  </si>
  <si>
    <t>GOESF1</t>
  </si>
  <si>
    <t>Expected closure year 2061 provided</t>
  </si>
  <si>
    <t>Horsham Solar Farm</t>
  </si>
  <si>
    <t>ESCO SOLAR FARM 7 PTY LTD</t>
  </si>
  <si>
    <t>Koorangie Energy Storage System</t>
  </si>
  <si>
    <t>Shell Energy</t>
  </si>
  <si>
    <t>KESSB1</t>
  </si>
  <si>
    <t>LaTrobe Valley BESS</t>
  </si>
  <si>
    <t>LVES1</t>
  </si>
  <si>
    <t>Expected closure year 2045 provided</t>
  </si>
  <si>
    <t>Mornington BESS</t>
  </si>
  <si>
    <t>Mornington BESS Project Pty Ltd as Trustee of Mornington BESS Project Trust</t>
  </si>
  <si>
    <t>Barwon Solar Farm &amp; BESS</t>
  </si>
  <si>
    <t>Region corrected from NSW1 to VIC1</t>
  </si>
  <si>
    <t>Broken Creek Solar Farm - KCI</t>
  </si>
  <si>
    <t>BSR EPC Pty Limited</t>
  </si>
  <si>
    <t>Derby Solar Farm &amp; BESS</t>
  </si>
  <si>
    <t xml:space="preserve">DERBY SOLAR PROJECT PTY LTD </t>
  </si>
  <si>
    <t>Fulham Solar Farm And BESS</t>
  </si>
  <si>
    <t>Fulham Solar Farm Pty Ltd (ATF Fulham Solar Farm Trust)</t>
  </si>
  <si>
    <t>Expected closure year 2063 provided. FCUD Updated from Jan 2028 to Sep 2027</t>
  </si>
  <si>
    <t>Melbourne Renewable Energy Complex</t>
  </si>
  <si>
    <t>Melbourne Solar Farm - KCI</t>
  </si>
  <si>
    <t xml:space="preserve"> Emergent Technologies</t>
  </si>
  <si>
    <t>Mortlake Battery</t>
  </si>
  <si>
    <t>BORAL</t>
  </si>
  <si>
    <t>Expected closure year 2056 provided. FCUD Updated from Mar 2027 to Jul 2026</t>
  </si>
  <si>
    <t>Willowvale Solar Farm - KCI</t>
  </si>
  <si>
    <t>Woolsthorpe Wind Farm</t>
  </si>
  <si>
    <t>Woolsthorpe Wind Farm Pty Ltd</t>
  </si>
  <si>
    <t>Cohuna Solar Farm</t>
  </si>
  <si>
    <t>Cohuna Solar Farm Pty Ltd as trustee for the Cohuna Solar Farm Trust</t>
  </si>
  <si>
    <t>COHUNSF1</t>
  </si>
  <si>
    <t>Elaine BESS</t>
  </si>
  <si>
    <t>Elaine ProjectCo Pty Ltd</t>
  </si>
  <si>
    <t>Girgarre Solar Farm</t>
  </si>
  <si>
    <t>Giragarre Solar Farm Pty Ltd as trustee for Giragarre Solar Farm Trust</t>
  </si>
  <si>
    <t>Gnarwarre BESS Facility</t>
  </si>
  <si>
    <t>FRV SA Pty Ltd</t>
  </si>
  <si>
    <t>GANNB1</t>
  </si>
  <si>
    <t>Kerang Solar Plant</t>
  </si>
  <si>
    <t>Kerang Solar Plant Pty Ltd</t>
  </si>
  <si>
    <t>KERNGSP1</t>
  </si>
  <si>
    <t>From Publicly Announced to In Service</t>
  </si>
  <si>
    <t>Lancaster Solar Farm</t>
  </si>
  <si>
    <t>Lancaster Solar Farm Pty Ltd as trustee for the Lancaster Solar Farm Trust</t>
  </si>
  <si>
    <t>From Committed to In Service</t>
  </si>
  <si>
    <t>Little River BESS</t>
  </si>
  <si>
    <t>ACEnergy Pty Ltd</t>
  </si>
  <si>
    <t>Melbourne Renewable Energy Hub Connection A1</t>
  </si>
  <si>
    <t>Equis Energy (Australia) Projects (MREH A1 AssetCo) Pty Ltd (ACN 669 645 461) as The Trustee for Equis Energy (Australia) MREH A1 Asset Trust (ABN 92 607 537 147)</t>
  </si>
  <si>
    <t>MREHA1</t>
  </si>
  <si>
    <t>Melbourne Renewable Energy Hub Connection A2</t>
  </si>
  <si>
    <t>Equis Energy (Australia) Projects (MREH A2 AssetCo) Pty Ltd (ACN 669 645 489) as The Trustee for Equis Energy (Australia) MREH A2 Asset Trust (ABN 34 770 707 887)</t>
  </si>
  <si>
    <t>MREHA2</t>
  </si>
  <si>
    <t>Melbourne Renewable Energy Hub Connection A3</t>
  </si>
  <si>
    <t>Equis Energy (Australia) Projects (MREH A3 AssetCo) Pty Ltd (ACN 669 645 514) as The Trustee for Equis Energy (Australia) MREH A3 Asset Trust (ABN 47 920 042 214)</t>
  </si>
  <si>
    <t>MREHA3</t>
  </si>
  <si>
    <t>Mokoan Solar Farm (1999)</t>
  </si>
  <si>
    <t>EE Solar 6 Pty Ltd as trustee for EE Solar 6 Trust</t>
  </si>
  <si>
    <t>MOKOSF1</t>
  </si>
  <si>
    <t>Ryan Corner Wind Farm</t>
  </si>
  <si>
    <t>Ryan Corner Development Pty Ltd</t>
  </si>
  <si>
    <t>RYANCWF1</t>
  </si>
  <si>
    <t>Winton North Solar Farm</t>
  </si>
  <si>
    <t>EE Solar 12 Pty Ltd as trustee for the EE Solar 12 Trust</t>
  </si>
  <si>
    <t>Belhaven Renewable Project</t>
  </si>
  <si>
    <t>Vena Energy Services (Australia) Pty Ltd</t>
  </si>
  <si>
    <t>Solar Farm discontinued</t>
  </si>
  <si>
    <t>Culcairn Solar Farm</t>
  </si>
  <si>
    <t>Culcairn Solar Farm Pty Ltd as trustee for Culcairn Solar Farm Trust</t>
  </si>
  <si>
    <t>CUSF1</t>
  </si>
  <si>
    <t>Expected closure year changed from 2050 to 2060</t>
  </si>
  <si>
    <t>FCUD changed from Jul 2025 to Aug 2025</t>
  </si>
  <si>
    <t>Goulburn River Solar Farm And BESS</t>
  </si>
  <si>
    <t>Goulburn River Fund Pty Ltd</t>
  </si>
  <si>
    <t>Expected closure year 2067 provided</t>
  </si>
  <si>
    <t>Greenpulse BESS (KCI)</t>
  </si>
  <si>
    <t>Greenpulse solar farm and BESS as trustee for Greenpulse Solar Farm &amp; Bess Unit Trust</t>
  </si>
  <si>
    <t>Greenpulse Solar Farm (KCI)</t>
  </si>
  <si>
    <t>FCUD changed from May 2025 to Aug 2025</t>
  </si>
  <si>
    <t>FCUD changed from Jul 2025 to Sep 2025</t>
  </si>
  <si>
    <t>Lockhart Hybrid Facility - Battery</t>
  </si>
  <si>
    <t>Better Energy Technology Pty Ltd</t>
  </si>
  <si>
    <t>Expected closure year 2056 provided</t>
  </si>
  <si>
    <t>Lockhart Hybrid Facility - Solar</t>
  </si>
  <si>
    <t>Racecourse Mill</t>
  </si>
  <si>
    <t>Mackay Sugar Ltd</t>
  </si>
  <si>
    <t>RACOMIL1</t>
  </si>
  <si>
    <t>Expected closure year of 2035 and 2044 provided for the two (2) units</t>
  </si>
  <si>
    <t>One (1) unit decommissionied.</t>
  </si>
  <si>
    <t>Sundown BESS</t>
  </si>
  <si>
    <t>Canadian Solar</t>
  </si>
  <si>
    <t>Project record removed - duplicated with Sundown Hybrid Facility</t>
  </si>
  <si>
    <t>Sundown Solar Farm</t>
  </si>
  <si>
    <t>CWP Renewables Pty Ltd</t>
  </si>
  <si>
    <t>Project record removed - merged with Sundown Hybrid Facility</t>
  </si>
  <si>
    <t>The Drop</t>
  </si>
  <si>
    <t>Pacific Hydro Investments Pty Ltd</t>
  </si>
  <si>
    <t>THEDROP1</t>
  </si>
  <si>
    <t>Expected closure year 2053 provided</t>
  </si>
  <si>
    <t>Enerparc Australia Pty Ltd</t>
  </si>
  <si>
    <t>FCUD changed from Mar 2026 to May 2027</t>
  </si>
  <si>
    <t>FCUD changed from Mar 2025 to Aug 2025</t>
  </si>
  <si>
    <t>Brewongle Solar Farm</t>
  </si>
  <si>
    <t>Photon Energy</t>
  </si>
  <si>
    <t>From Publicly Announced  to Anticipated</t>
  </si>
  <si>
    <t>EquisEquis Energy (Australia) Projects (Ngumi 4) Pty Ltd</t>
  </si>
  <si>
    <t>Gayndah Wind Farm</t>
  </si>
  <si>
    <t>Mainstream Renewable Power Australia Pty Ltd</t>
  </si>
  <si>
    <t>Mount Walsh Wind Farm (Mainstream)</t>
  </si>
  <si>
    <t>Mainstream</t>
  </si>
  <si>
    <t>Nebo BESS (Baywa)</t>
  </si>
  <si>
    <t>BayWA r.e Projects Australia Pty Ltd</t>
  </si>
  <si>
    <t>Smoky Creek Energy Storage System - KCI</t>
  </si>
  <si>
    <t>Edify Energy Pty Ltd</t>
  </si>
  <si>
    <t>Project record removed - merged with Smoky Creek Hybrid Facility - Solar And BESS</t>
  </si>
  <si>
    <t>Supernode BESS</t>
  </si>
  <si>
    <t>Supernode Operations Pty Ltd as the trustee for Supernode BESS 1 Project Trust</t>
  </si>
  <si>
    <t>SNB01</t>
  </si>
  <si>
    <t>Expected closure year 2050 provided</t>
  </si>
  <si>
    <t>SNB02</t>
  </si>
  <si>
    <t>Expected closure year 2051 provided</t>
  </si>
  <si>
    <t>FCUD changed from Sep 2025 to Aug 2025</t>
  </si>
  <si>
    <t>Yabulu Solar Farm</t>
  </si>
  <si>
    <t>Yabulu Solar Farm Pty Ltd</t>
  </si>
  <si>
    <t>Haughton Solar Farm Stage 2</t>
  </si>
  <si>
    <t>Pacific Hydro Australia Pty Ltd</t>
  </si>
  <si>
    <t>Bungama Project (Solar) Operations Pty Ltd</t>
  </si>
  <si>
    <t>FCUD changed from Mar 2026 to Apr 2026</t>
  </si>
  <si>
    <t>Hallett GT</t>
  </si>
  <si>
    <t>EnergyAustralia Hallett Pty Ltd</t>
  </si>
  <si>
    <t>AGLHAL</t>
  </si>
  <si>
    <t>Expected closure year updated for :-
GT1-2 and GT4-1 from 2032 to 2036
All remaining units other than GT1-3 from 2032 to 2040</t>
  </si>
  <si>
    <t>Para Substation/Gould Creek BESS</t>
  </si>
  <si>
    <t>Gould Creek BESS Project Pty Ltd as trustee of Gould_x000B_Creek BESS_x000B_Project Trust</t>
  </si>
  <si>
    <t>Project record removed - duplicated with Gould Creek BESS</t>
  </si>
  <si>
    <t>Tailem Bend Stage 2 Solar Project</t>
  </si>
  <si>
    <t>TB2SF1</t>
  </si>
  <si>
    <t>Project previoiusly incorrectly identified to be In Commissioning earlier</t>
  </si>
  <si>
    <t>TAS1</t>
  </si>
  <si>
    <t>Northern Midlands Solar Farm</t>
  </si>
  <si>
    <t>TasRex P/L</t>
  </si>
  <si>
    <t>Project discontinued, merged with 2389</t>
  </si>
  <si>
    <t>Eildon Pondage Power Station (EPPS)</t>
  </si>
  <si>
    <t>EILDON3</t>
  </si>
  <si>
    <t>Expected closure year 2044 provided</t>
  </si>
  <si>
    <t>Fulham Solar Farm</t>
  </si>
  <si>
    <t>FCUD changed from Dec 2027 to Jan 2028</t>
  </si>
  <si>
    <t>Hazelwood BESS (Ironwood) - KCI</t>
  </si>
  <si>
    <t>International Power (Australia) Pty Ltd (trading as ENGIE)</t>
  </si>
  <si>
    <t>FCUD changed from Apr 2025 to Jun 2025</t>
  </si>
  <si>
    <t>Stanhope BESS Project 02</t>
  </si>
  <si>
    <t>globirdenergy_NR</t>
  </si>
  <si>
    <t>William Hovel</t>
  </si>
  <si>
    <t>WILLHOV1</t>
  </si>
  <si>
    <t>Bennetts Creek BESS</t>
  </si>
  <si>
    <t>Bennetts Creek Energy Project Pty Ltd in its capacity as Trustee for the Bennetts Creek Energy Project Trust</t>
  </si>
  <si>
    <t>Pine Lodge BESS</t>
  </si>
  <si>
    <t>ENERGY STORAGE PROJECT NO 6 PTY LTD</t>
  </si>
  <si>
    <t>Wooreen Energy Storage System</t>
  </si>
  <si>
    <t>EnergyAustralia Holdings Limited</t>
  </si>
  <si>
    <t>From Anticipated to Committed*</t>
  </si>
  <si>
    <t>Bannaby BESS (AMPYR) - KCI</t>
  </si>
  <si>
    <t>AMPYR</t>
  </si>
  <si>
    <t>Duplicate removed</t>
  </si>
  <si>
    <t>Ben Bullen Solar Farm</t>
  </si>
  <si>
    <t>Tetris Energy</t>
  </si>
  <si>
    <t>Ben Bullen Wind Farm</t>
  </si>
  <si>
    <t>Burrawong Wind Farm</t>
  </si>
  <si>
    <t>Windlab Development Pty Ltd</t>
  </si>
  <si>
    <t>Bushranger Hybrid Facility - Battery</t>
  </si>
  <si>
    <t>SynCo Global</t>
  </si>
  <si>
    <t>Cooma Solar Farm</t>
  </si>
  <si>
    <t>BE PRO CM pty ltd</t>
  </si>
  <si>
    <t>Eraring Big Battery</t>
  </si>
  <si>
    <t>Galore Energy Project - Solar And BESS - KCI</t>
  </si>
  <si>
    <t>Utilacor P/L</t>
  </si>
  <si>
    <t>Galore Hybrid Facility - Battery</t>
  </si>
  <si>
    <t>Trina Projects Holding Australia Pty Ltd.</t>
  </si>
  <si>
    <t>Galore Hybrid Facility - Solar</t>
  </si>
  <si>
    <t>Gidginbung</t>
  </si>
  <si>
    <t>Epho</t>
  </si>
  <si>
    <t>Removed out of date non-scheduled projects</t>
  </si>
  <si>
    <t>Grafton Rd BESS (KCI)</t>
  </si>
  <si>
    <t>Eku Energy Projects (Australia) Trust</t>
  </si>
  <si>
    <t>Kerrs Creek Wind Farm</t>
  </si>
  <si>
    <t>Expected closure year 2060 provided</t>
  </si>
  <si>
    <t>Marulan - OCGT/CCGT</t>
  </si>
  <si>
    <t>EnergyAustralia Marulan Pty Ltd</t>
  </si>
  <si>
    <t>Maxwell Downs Bess - KCI</t>
  </si>
  <si>
    <t>X-Elio Australia Pty Ltd</t>
  </si>
  <si>
    <t>Maxwell Solar Farm</t>
  </si>
  <si>
    <t>Malabar Coal</t>
  </si>
  <si>
    <t>Monaro Solar Farm - KCI</t>
  </si>
  <si>
    <t>Terrain Solar Pty Ltd</t>
  </si>
  <si>
    <t>Moorambilla Solar Farm</t>
  </si>
  <si>
    <t>Moorambilla Solar Pty Ltd</t>
  </si>
  <si>
    <t>Myrtle Creek Solar Farm</t>
  </si>
  <si>
    <t>Newcastle Offshore Wind</t>
  </si>
  <si>
    <t>Newcastle Offshore Wind Energy Pty Ltd</t>
  </si>
  <si>
    <t>NSW Energy Cluster</t>
  </si>
  <si>
    <t>Alinta Energy Retail Sales Pty Ltd</t>
  </si>
  <si>
    <t>Photon Energy Leeton</t>
  </si>
  <si>
    <t>Shoalhaven Starches Cogeneration Plant</t>
  </si>
  <si>
    <t>Shoalhaven Starches Pty Ltd</t>
  </si>
  <si>
    <t>Smithfield Energy Facility</t>
  </si>
  <si>
    <t>Smithfield Power Generation Pty Ltd</t>
  </si>
  <si>
    <t>Summerhill Solar Farm</t>
  </si>
  <si>
    <t>Newcastle Council</t>
  </si>
  <si>
    <t>Tomago BESS (AGL)</t>
  </si>
  <si>
    <t>AGL Energy</t>
  </si>
  <si>
    <t>Wagga Wagga BESS (KCI)</t>
  </si>
  <si>
    <t>Wagga Wagga Solar Farm</t>
  </si>
  <si>
    <t>NEMMCO</t>
  </si>
  <si>
    <t>Wellington BESS</t>
  </si>
  <si>
    <t>AMPYR Australia Pty Ltd</t>
  </si>
  <si>
    <t>Wellington Town BESS - KCI</t>
  </si>
  <si>
    <t>RWE Renewables Australia Pty Ltd</t>
  </si>
  <si>
    <t>Yanco Delta Wind Farm Stage 1 - Battery</t>
  </si>
  <si>
    <t>Yanco Delta Wind Farm Pty Ltd</t>
  </si>
  <si>
    <t>Yass Solar Farm - KCI</t>
  </si>
  <si>
    <t>Tetris Energy Pty Ltd</t>
  </si>
  <si>
    <t>Hay Sun Farm</t>
  </si>
  <si>
    <t>Plains SF No1 Pty Ltd</t>
  </si>
  <si>
    <t>Mugga Lane Renewable Hybrid</t>
  </si>
  <si>
    <t>LGIGEN</t>
  </si>
  <si>
    <t>From Anticipated to Publicly Announced as failed to submit a survey</t>
  </si>
  <si>
    <t>Stubbo Solar Farm</t>
  </si>
  <si>
    <t>ACEN AUSTRALIA</t>
  </si>
  <si>
    <t>STUBSF1, STUBSF2</t>
  </si>
  <si>
    <t>Wyalong Solar Farm</t>
  </si>
  <si>
    <t>Wyalong Solar Farm Pty Ltd as the trustee for the Wyalong Solar Farm Unit Trust</t>
  </si>
  <si>
    <t>WYASF1</t>
  </si>
  <si>
    <t>Big T Pumped Hydro Project</t>
  </si>
  <si>
    <t>BE Power</t>
  </si>
  <si>
    <t>blockhurst Solar Farm</t>
  </si>
  <si>
    <t>TBA</t>
  </si>
  <si>
    <t>Boma Solar Farm</t>
  </si>
  <si>
    <t>solis industria</t>
  </si>
  <si>
    <t>Bouldercombe Solar Farm</t>
  </si>
  <si>
    <t>EEW Eco Energy World Ltd</t>
  </si>
  <si>
    <t>Brendale Supernode Data Centre and BESS Stage 1 And 2 (KCI)</t>
  </si>
  <si>
    <t>Quinbrook Infrastructure Partners Pty Ltd</t>
  </si>
  <si>
    <t>Brendale Supernode Data Centre and BESS Stage 3 (KCI)</t>
  </si>
  <si>
    <t>Burdekin Solar Farm - KCI</t>
  </si>
  <si>
    <t>BURDEKIN SOLAR FARM PTY LTD ATF BURDEKIN GENESIS PROJECT TRUST</t>
  </si>
  <si>
    <t>Expected closure year updated from 2057 to 2062</t>
  </si>
  <si>
    <t>Callide B</t>
  </si>
  <si>
    <t>CS Energy</t>
  </si>
  <si>
    <t>Expected closure year updated from 2028 to 2031</t>
  </si>
  <si>
    <t>Captains Mountain Wind Farm</t>
  </si>
  <si>
    <t>vestas_NR</t>
  </si>
  <si>
    <t>Expected closure year updated from 2057 to 2059</t>
  </si>
  <si>
    <t>Dulacca Solar</t>
  </si>
  <si>
    <t>juwi Renewable Energy Pty Ltd</t>
  </si>
  <si>
    <t>Dunmore Solar PV</t>
  </si>
  <si>
    <t>Samsung C&amp;T Renewable Energy Australia Pty, Ltd</t>
  </si>
  <si>
    <t>Fiery Creek Wind Farm</t>
  </si>
  <si>
    <t>Fraser Coast Hybrid Plant</t>
  </si>
  <si>
    <t>FRASER COAST SOLAR DEVELOPMENT PTY LTD</t>
  </si>
  <si>
    <t>Group Linen - Maryborough</t>
  </si>
  <si>
    <t>Group Linen</t>
  </si>
  <si>
    <t>Group Linen - Prince Charles</t>
  </si>
  <si>
    <t>Isaac Wind Farm</t>
  </si>
  <si>
    <t>Squadron Energy Services Pty Ltd</t>
  </si>
  <si>
    <t>Kestrel Waste Coal Mine Gas Power Station</t>
  </si>
  <si>
    <t>Enernet Kestrel Pty Ltd</t>
  </si>
  <si>
    <t>Kidston Wind Farm - KCI</t>
  </si>
  <si>
    <t>Kidston (Wind Farm) Pty Ltd</t>
  </si>
  <si>
    <t>Lower Wonga BESS - KCI</t>
  </si>
  <si>
    <t>Matthew Flinders College Senior</t>
  </si>
  <si>
    <t>Matthew Flinders Anglican College</t>
  </si>
  <si>
    <t>Mount Tom BESS</t>
  </si>
  <si>
    <t>Samsung C&amp;T Renewable Energy Australia Pty Ltd</t>
  </si>
  <si>
    <t>Mount Tom Solar Farm</t>
  </si>
  <si>
    <t>Mt Challenger Solar Farm</t>
  </si>
  <si>
    <t>North Qld Bio-Energy Plant</t>
  </si>
  <si>
    <t>North Queensland Bio-Energy Corporation Limited</t>
  </si>
  <si>
    <t>Oakville BESS</t>
  </si>
  <si>
    <t>Oakville Solar Farm</t>
  </si>
  <si>
    <t>Expected closure year 2035 provided</t>
  </si>
  <si>
    <t>Rangemore Solar Farm</t>
  </si>
  <si>
    <t>Toowoomba Pumped Storage Project</t>
  </si>
  <si>
    <t>Western Downs Battery- Stage 2</t>
  </si>
  <si>
    <t>Neoen Australia Pty Ltd</t>
  </si>
  <si>
    <t>Yabulu BESS</t>
  </si>
  <si>
    <t>Yabulu BESS Pty Ltd</t>
  </si>
  <si>
    <t>Expected closure year updated from 2055 to 2062</t>
  </si>
  <si>
    <t>Expected closure year updated from 2049 to 2063</t>
  </si>
  <si>
    <t>Boulder Creek Wind Farm</t>
  </si>
  <si>
    <t>Boulder Creek Wind Farm Pty Ltd as trustee for BCWF Unit Trust ABN and BCWF 2 Pty Limited</t>
  </si>
  <si>
    <t>Bullyard Solar Farm</t>
  </si>
  <si>
    <t>EE Solar 9 Pty Ltd as trustee for the EE Solar 9 Trust</t>
  </si>
  <si>
    <t>Clarke Creek Wind Farm</t>
  </si>
  <si>
    <t>CLRKCWF1, CLRKCWF2</t>
  </si>
  <si>
    <t>Greenbank BESS</t>
  </si>
  <si>
    <t>CSE BESS Pty Ltd</t>
  </si>
  <si>
    <t>GREENB1</t>
  </si>
  <si>
    <t>Kingaroy Solar Farm</t>
  </si>
  <si>
    <t>Kingaroy PropertyCo Pty Ltd as trustee for Kingaroy Property Trust</t>
  </si>
  <si>
    <t>KINGASF1</t>
  </si>
  <si>
    <t>Lockyer Valley Energy Project</t>
  </si>
  <si>
    <t>Lockyer Energy Management Pty Ltd</t>
  </si>
  <si>
    <t>Mt Fox BESS - ARENA</t>
  </si>
  <si>
    <t>Mount Fox BESS Pty Ltd</t>
  </si>
  <si>
    <t>Moved back from Anticipated to Publicly Announced</t>
  </si>
  <si>
    <t>Munna Creek Solar Farm</t>
  </si>
  <si>
    <t>Munna Creek Solar Farm Investments Pty Ltd as trustee for the Munna Creek Solar Farm Trust</t>
  </si>
  <si>
    <t>SNB01, SNB02</t>
  </si>
  <si>
    <t>Carmodys Hill Wind Farm</t>
  </si>
  <si>
    <t>Georgetown Hills Renewable Energy Pty Ltd</t>
  </si>
  <si>
    <t>Chaff Mill (Mintaro) BESS</t>
  </si>
  <si>
    <t>FRV Services Australia Pty Ltd</t>
  </si>
  <si>
    <t>Dry Creek BESS - KCI</t>
  </si>
  <si>
    <t>International Power (Energy) Pty Ltd</t>
  </si>
  <si>
    <t>Exmoor</t>
  </si>
  <si>
    <t>Acciona Energy</t>
  </si>
  <si>
    <t>Heathgate Resources Beverley mine - BESS</t>
  </si>
  <si>
    <t>SunSHIFT</t>
  </si>
  <si>
    <t>Highbury Pumped Hydro Energy Storage</t>
  </si>
  <si>
    <t>Tilt Renewables</t>
  </si>
  <si>
    <t>Kincraig BESS</t>
  </si>
  <si>
    <t>acepower_NR</t>
  </si>
  <si>
    <t>Lincoln Gap Wind Farm stage 3</t>
  </si>
  <si>
    <t>Lincoln Gap 3 Wind Farm Pty Ltd</t>
  </si>
  <si>
    <t>Expected closure year updated from 2055 to 2058</t>
  </si>
  <si>
    <t>Osborne</t>
  </si>
  <si>
    <t>Osborne Cogeneration Pty Ltd</t>
  </si>
  <si>
    <t>OSB-AG</t>
  </si>
  <si>
    <t>Expected closure year updated from 2026 to 2027 and closure date of 31/12/2027 advised</t>
  </si>
  <si>
    <t>Para Hill BESS</t>
  </si>
  <si>
    <t>Planet Ark Power and Schneider Electric - PV and Battery Microgrid</t>
  </si>
  <si>
    <t>Planet Ark Power and Schneider Electric</t>
  </si>
  <si>
    <t>South Hummocks BESS</t>
  </si>
  <si>
    <t>SSE Whyalla Solar Farm</t>
  </si>
  <si>
    <t>SSE Australia Pty Ltd</t>
  </si>
  <si>
    <t>Tungkillo BESS - KCI</t>
  </si>
  <si>
    <t>Twin Creek Wind Farm</t>
  </si>
  <si>
    <t>UniSA Solar project</t>
  </si>
  <si>
    <t>University of South Australia</t>
  </si>
  <si>
    <t>Adelaide Desalination Plant</t>
  </si>
  <si>
    <t>ADPBA1, ADPPV1, ADPPV2, ADPPV3, ADPMH1</t>
  </si>
  <si>
    <t>Hydrogen Jobs Plan</t>
  </si>
  <si>
    <t>Office of Hydrogen SA</t>
  </si>
  <si>
    <t>From Anticipated to discontinued</t>
  </si>
  <si>
    <t>Great Lakes BESS</t>
  </si>
  <si>
    <t>Port Latta Wind Farm</t>
  </si>
  <si>
    <t>Oz Green Energy I Pty Ltd</t>
  </si>
  <si>
    <t>AusNet Services Deakin University Victoria Geelong PV Plant</t>
  </si>
  <si>
    <t>Ausnet Services Ltd</t>
  </si>
  <si>
    <t>Berrimal Wind Farm</t>
  </si>
  <si>
    <t>Birkins Solar Farm - Hydrogen - KCI</t>
  </si>
  <si>
    <t>Birkins Solar Farm - Solar - KCI</t>
  </si>
  <si>
    <t>Coonawarren BESS - KCI</t>
  </si>
  <si>
    <t>Akaysha Energy</t>
  </si>
  <si>
    <t>Ferguson South Wind Farm</t>
  </si>
  <si>
    <t>Ferguson Wind Farm Pty Ltd</t>
  </si>
  <si>
    <t>Golden Plains BESS</t>
  </si>
  <si>
    <t>Tag Energy Australia P/L</t>
  </si>
  <si>
    <t>Expected closure year updated from 2046 to 2047</t>
  </si>
  <si>
    <t>Greater Gippsland Offshore Wind Project</t>
  </si>
  <si>
    <t>Greater Gippsland OWP Project Pty Ltd</t>
  </si>
  <si>
    <t>GV Community Energy</t>
  </si>
  <si>
    <t>Kerang Solar Farm Green Switch</t>
  </si>
  <si>
    <t>Kiamal BESS</t>
  </si>
  <si>
    <t>TotalEnergies Renewables Australia</t>
  </si>
  <si>
    <t>KIAMBE</t>
  </si>
  <si>
    <t>Expected closure year 2057 provided</t>
  </si>
  <si>
    <t>Kiamal Solar Farm - Stage 2</t>
  </si>
  <si>
    <t>KSF2 Project Nominees Pty Ltd ATF KSF2 Project Trust</t>
  </si>
  <si>
    <t>Kyabram Wind Farm</t>
  </si>
  <si>
    <t>FERA Australia Pty Ltd</t>
  </si>
  <si>
    <t>Naroghid</t>
  </si>
  <si>
    <t>Portland BESS</t>
  </si>
  <si>
    <t>Pacific Green Energy Park Portland Pty Ltd</t>
  </si>
  <si>
    <t>Red Cliffs Solar &amp; BESS - KCI</t>
  </si>
  <si>
    <t>Red Cliffs Power Pty td</t>
  </si>
  <si>
    <t>Seadragon offshore wind project</t>
  </si>
  <si>
    <t>Flotation Energy Pty Ltd</t>
  </si>
  <si>
    <t>Seymour Wind Farm - KCI</t>
  </si>
  <si>
    <t>Fera Australia Pty Ltd</t>
  </si>
  <si>
    <t>Springvale Energy Hub - BESS</t>
  </si>
  <si>
    <t>Progress Power Pty Ltd</t>
  </si>
  <si>
    <t>Tramway BESS</t>
  </si>
  <si>
    <t>BZ Renewables Holdings Pty Ltd</t>
  </si>
  <si>
    <t>Wangaratta Solar Farm</t>
  </si>
  <si>
    <t>Wangaratta Solar Farm Pty Ltd</t>
  </si>
  <si>
    <t>Wunghnu Solar Farm</t>
  </si>
  <si>
    <t>Sun Spot 3 Pty Ltd</t>
  </si>
  <si>
    <t>WUNUSF1</t>
  </si>
  <si>
    <t>Expected closure year 2065 provided</t>
  </si>
  <si>
    <t>Golden Plains Wind Farm East</t>
  </si>
  <si>
    <t>Golden Plains WF1 Pty Ltd as trustee for the Golden Plains WF1 Unit Trust</t>
  </si>
  <si>
    <t>GPWFEST1, GPWFEST2, GPWFEST3</t>
  </si>
  <si>
    <t>Inverleigh Wind Farm</t>
  </si>
  <si>
    <t>Inverleigh Wind Farm Pty Ltd</t>
  </si>
  <si>
    <t>Mokoan Solar Farm</t>
  </si>
  <si>
    <t>Mt Gellibrand Wind Farm</t>
  </si>
  <si>
    <t>ACCIONA Energy</t>
  </si>
  <si>
    <t>Dubbo Solar Hub</t>
  </si>
  <si>
    <t>Wellington North Solar Farm (Lightsource)</t>
  </si>
  <si>
    <t>Wellington North Solar Farm Pty Ltd</t>
  </si>
  <si>
    <t>WELNSF1</t>
  </si>
  <si>
    <t>Expected closure year 2064 provided</t>
  </si>
  <si>
    <t>Avonlie Solar Farm</t>
  </si>
  <si>
    <t>Iberdrola Australia Limited</t>
  </si>
  <si>
    <t>AVLSF1</t>
  </si>
  <si>
    <t/>
  </si>
  <si>
    <t>Coppabella Wind Farm</t>
  </si>
  <si>
    <t>Coppabella Wind Farm Pty Ltd</t>
  </si>
  <si>
    <t>COPBEL</t>
  </si>
  <si>
    <t>Corowa Solar Farm</t>
  </si>
  <si>
    <t>Corowa Operationsco Pty Ltd as trustee for Corowa Operations Trust</t>
  </si>
  <si>
    <t>CRWASF1</t>
  </si>
  <si>
    <t>Flyers Creek Wind Farm</t>
  </si>
  <si>
    <t>Flyers Creek Wind Farm Pty Ltd</t>
  </si>
  <si>
    <t>FLYCRKWF</t>
  </si>
  <si>
    <t>Glanmire Solar Farm</t>
  </si>
  <si>
    <t>Newly added with an Anticipated unit status</t>
  </si>
  <si>
    <t>New England Solar Farm BESS</t>
  </si>
  <si>
    <t>ACEN RENEWABLES</t>
  </si>
  <si>
    <t>Tamworth BESS - Valent</t>
  </si>
  <si>
    <t>VALENT ENERGY DEVELOPMENTS PTY LTD</t>
  </si>
  <si>
    <t>Tamworth Solar Farm</t>
  </si>
  <si>
    <t>Tamworth Solar Farm Pty Ltd</t>
  </si>
  <si>
    <t>Uungula Wind Farm</t>
  </si>
  <si>
    <t>Uungula Wind Farm Pty Ltd</t>
  </si>
  <si>
    <t>Valley of the Winds</t>
  </si>
  <si>
    <t>ACEN Renewables</t>
  </si>
  <si>
    <t>Browns Plains</t>
  </si>
  <si>
    <t>EDL LFG (Qld) Pty Ltd</t>
  </si>
  <si>
    <t>BPLANDF1</t>
  </si>
  <si>
    <t>Kumbarilla Renewable Energy Park (K-REP)</t>
  </si>
  <si>
    <t>Elecseed Pty Ltd</t>
  </si>
  <si>
    <t>Lower Wonga Hybrid - Solar And BESs - KCI</t>
  </si>
  <si>
    <t>Zen Energy</t>
  </si>
  <si>
    <t>Pioneer-Burdekin Pumped Hydro Energy Storage</t>
  </si>
  <si>
    <t>Queensland Hydro</t>
  </si>
  <si>
    <t xml:space="preserve"> </t>
  </si>
  <si>
    <t>Ulinda Park BESS</t>
  </si>
  <si>
    <t>Ulinda Park ProjectCo Pty Ltd</t>
  </si>
  <si>
    <t>ULBESS</t>
  </si>
  <si>
    <t>Expected closure year updated from 2064 to 2065</t>
  </si>
  <si>
    <t>Broadsound_BESS</t>
  </si>
  <si>
    <t>From Publicly Announced and combined with Broadsound Solar to Anticipated and separated</t>
  </si>
  <si>
    <t>Lotus Creek Wind Farm</t>
  </si>
  <si>
    <t>CSENERGY</t>
  </si>
  <si>
    <t>Green Hydrogen Power Station</t>
  </si>
  <si>
    <t>South Australian Govt.</t>
  </si>
  <si>
    <t>Duplicate of Hydrogen Jobs Plan</t>
  </si>
  <si>
    <t>Cultana Solar Farm</t>
  </si>
  <si>
    <t>Cultana Solar Project Company Pty Ltd as trustee for the Cultana Solar Farm Trust</t>
  </si>
  <si>
    <t>Golden Plains Wind Farm West</t>
  </si>
  <si>
    <t>Golden Plains WF2 Unit Trust</t>
  </si>
  <si>
    <t>Expected closure year updated from 2055 to 2057</t>
  </si>
  <si>
    <t>Yallourn W</t>
  </si>
  <si>
    <t>EnergyAustralia Yallourn Pty Ltd</t>
  </si>
  <si>
    <t>YWPS1, YWPS2, YWPS3, YWPS4</t>
  </si>
  <si>
    <t>Closure date of 1/07/2028 advised</t>
  </si>
  <si>
    <t>GIRGSF</t>
  </si>
  <si>
    <t>Hawkesdale Wind Farm</t>
  </si>
  <si>
    <t>Hawkesdale Asset Pty Ltd as trustee for Hawkesdale Asset Trust</t>
  </si>
  <si>
    <t>HD1WF1</t>
  </si>
  <si>
    <t>Ravenswood BESS</t>
  </si>
  <si>
    <t>FRV Services Australia</t>
  </si>
  <si>
    <t>Ravenswood Solar Farm - FRV</t>
  </si>
  <si>
    <t>From In Service to In Service - Announced Withdrawal (Permanent)</t>
  </si>
  <si>
    <t>All Non-Registered Generating Units in New South Wales</t>
  </si>
  <si>
    <t>Various</t>
  </si>
  <si>
    <t>Project survey record removed for all existing non-registered non scheduled generating units - the publication now only includes registered generating units</t>
  </si>
  <si>
    <t>FCUD changed from Jun 2024 to Nov 2024</t>
  </si>
  <si>
    <t>FCUD changed from Jul 2026 to Jul 2025</t>
  </si>
  <si>
    <t>FCUD changed from Jul 2026 to Aug 2027</t>
  </si>
  <si>
    <t>FCUD changed from Jul 2024 to Oct 2024</t>
  </si>
  <si>
    <t>GEP - NMLLY1</t>
  </si>
  <si>
    <t>GEP Developments PtyLtd</t>
  </si>
  <si>
    <t>GEP - NWNG2</t>
  </si>
  <si>
    <t>GEP Developments Pty Ltd</t>
  </si>
  <si>
    <t>Hunter Exononic Zone</t>
  </si>
  <si>
    <t>Dispatch Type changed from Non Scheduled to Scheduled</t>
  </si>
  <si>
    <t>FCUD changed from Dec 2024 to Apr 2025</t>
  </si>
  <si>
    <t>FCUD changed from Dec 2024 to Jun 2025</t>
  </si>
  <si>
    <t>FCUD changed from Jan 2026 to Mar 2026</t>
  </si>
  <si>
    <t>Quorn Park Hybrid</t>
  </si>
  <si>
    <t>Quorn Park Solar Farm Pty Ltd as the trustee for Quorn Park Solar Farm Trust</t>
  </si>
  <si>
    <t>QPBESS</t>
  </si>
  <si>
    <t>FCUD changed from Jan 2026 to Jan 2026</t>
  </si>
  <si>
    <t>QPSF</t>
  </si>
  <si>
    <t>FCUD changed from Dec 2025 to Mar 2026</t>
  </si>
  <si>
    <t>FCUD changed from May 2024 to Mar 2025</t>
  </si>
  <si>
    <t>FCUD changed from Jan 2026 to Feb 2026</t>
  </si>
  <si>
    <t>From In Service to In Commissioning</t>
  </si>
  <si>
    <t>One unit moved from Committed* to Committed &amp; the othe from Publicly Announced to Anticipated</t>
  </si>
  <si>
    <t>From Publicly Announced to Anticipated (Solar Farm only)</t>
  </si>
  <si>
    <t>MLLFRHF1</t>
  </si>
  <si>
    <t>New project entry with a status of Anticipated</t>
  </si>
  <si>
    <t>Rye Park Wind Farm</t>
  </si>
  <si>
    <t>RYEPARK1</t>
  </si>
  <si>
    <t>Sebastopol Solar Farm</t>
  </si>
  <si>
    <t>Sebastopol Asset Co Pty Ltd ATF Sebastopol Asset Trust</t>
  </si>
  <si>
    <t>SEBSF1</t>
  </si>
  <si>
    <t>Iberdrola Australia Development Pty Limited</t>
  </si>
  <si>
    <t>TB2BG1</t>
  </si>
  <si>
    <t>From Anticipated to Publicly Announced</t>
  </si>
  <si>
    <t>Wagga North Solar Farm</t>
  </si>
  <si>
    <t>Wagga Wagga Operationsco Pty Ltd as trustree for Wagga Wagga Operations Trust</t>
  </si>
  <si>
    <t>WAGGNSF1</t>
  </si>
  <si>
    <t>FCUD changed from Nov 2025 to Dec 2027</t>
  </si>
  <si>
    <t>All Non-Registered Generating Units in Queensland</t>
  </si>
  <si>
    <t>Barron Gorge</t>
  </si>
  <si>
    <t>CleanCo Queensland Limited</t>
  </si>
  <si>
    <t>BARRON-1</t>
  </si>
  <si>
    <t>Expected closure year updated from 2042 to 2063</t>
  </si>
  <si>
    <t>BARRON-2</t>
  </si>
  <si>
    <t>FCUD changed from Aug 2025 to Dec 2025</t>
  </si>
  <si>
    <t>FCUD changed from Aug 2024 to Dec 2024</t>
  </si>
  <si>
    <t>Dysart Solar Farm RED</t>
  </si>
  <si>
    <t>GEP - QRNB1</t>
  </si>
  <si>
    <t>Kareeya</t>
  </si>
  <si>
    <t>KAREEYA1</t>
  </si>
  <si>
    <t>Expected closure year updated from 2037 to 2057</t>
  </si>
  <si>
    <t>KAREEYA2</t>
  </si>
  <si>
    <t>KAREEYA3</t>
  </si>
  <si>
    <t>KAREEYA4</t>
  </si>
  <si>
    <t>Sapphire Wind Farm</t>
  </si>
  <si>
    <t>SWF1 Operations Holdings Pty Ltd as trustee for SWF1 Hold Trust</t>
  </si>
  <si>
    <t>Battery unit discontinued</t>
  </si>
  <si>
    <t>Tully Sugar Mill</t>
  </si>
  <si>
    <t>Tully Sugar Limited</t>
  </si>
  <si>
    <t>Registered Non Scheduled generating unit added</t>
  </si>
  <si>
    <t>Valdora Solar Farm</t>
  </si>
  <si>
    <t>Diamond Energy Pty Ltd</t>
  </si>
  <si>
    <t>Broken Hill</t>
  </si>
  <si>
    <t>Gangarri Solar Farm</t>
  </si>
  <si>
    <t>Shell New Energies Australia Pty Ltd</t>
  </si>
  <si>
    <t>GANGARR1</t>
  </si>
  <si>
    <t>Gawara Baya Wind Farm</t>
  </si>
  <si>
    <t>UPPER BURDEKIN WIND FARM PTY LTD</t>
  </si>
  <si>
    <t>GBBATT1</t>
  </si>
  <si>
    <t>GBWF1</t>
  </si>
  <si>
    <t>Kennedy Energy Park - Phase 1 - Solar</t>
  </si>
  <si>
    <t>Windlab / Eurus</t>
  </si>
  <si>
    <t>KEPSF1</t>
  </si>
  <si>
    <t>Kennedy Energy Park - Phase 1 - Storage</t>
  </si>
  <si>
    <t>Windlab/Eurus</t>
  </si>
  <si>
    <t>KEPBG1</t>
  </si>
  <si>
    <t>Kennedy Energy Park - Phase 1 - Wind</t>
  </si>
  <si>
    <t>KEPWF1</t>
  </si>
  <si>
    <t>From Publicly Announced to In Commissioning</t>
  </si>
  <si>
    <t>Punch's Creek Renewable Energy</t>
  </si>
  <si>
    <t>skylabgroup_NR</t>
  </si>
  <si>
    <t>Ulinda Park ProjectCo Pty Ltd in its capacity as trustee for the Ulinda Park Project Trust</t>
  </si>
  <si>
    <t>Wandoan South Solar Stage 1</t>
  </si>
  <si>
    <t>Vena Evergy</t>
  </si>
  <si>
    <t>WANDSF1</t>
  </si>
  <si>
    <t>Western Downs Battery</t>
  </si>
  <si>
    <t>WDBESSG1</t>
  </si>
  <si>
    <t>All Non-Registered Generating Units in South Australia</t>
  </si>
  <si>
    <t>Bungala BESS</t>
  </si>
  <si>
    <t>Enel Green Power Australia Pty Ltd</t>
  </si>
  <si>
    <t>Bungala Three Battery Energy Storage System</t>
  </si>
  <si>
    <t>Reach Solar Management Co</t>
  </si>
  <si>
    <t>Bungala Three Solar Power Plant</t>
  </si>
  <si>
    <t>GEP - SRBE1</t>
  </si>
  <si>
    <t>ADPBA1</t>
  </si>
  <si>
    <t>ADPPV1</t>
  </si>
  <si>
    <t>ADPPV2</t>
  </si>
  <si>
    <t>ADPPV3</t>
  </si>
  <si>
    <t>ADVMH1</t>
  </si>
  <si>
    <t>All Non-Registered Generating Units in Tasmania</t>
  </si>
  <si>
    <t>GEP - TNTH1</t>
  </si>
  <si>
    <t>GEP - TNTH2</t>
  </si>
  <si>
    <t>All Non-Registered Generating Units in Victiria</t>
  </si>
  <si>
    <t>Brooklyn LFG U1-3</t>
  </si>
  <si>
    <t>EDL LFG Vic Pty Ltd</t>
  </si>
  <si>
    <t>Carisbrook Solar Farm</t>
  </si>
  <si>
    <t>Origin Energy</t>
  </si>
  <si>
    <t>FCUD changed from Mar 2025 to Dec 2026, battery unit added</t>
  </si>
  <si>
    <t>GEP - VAGL1</t>
  </si>
  <si>
    <t>GEP - VBGL1</t>
  </si>
  <si>
    <t>GEP - VPTL2</t>
  </si>
  <si>
    <t>GEP - VSIR3</t>
  </si>
  <si>
    <t>GEP - VSIR4</t>
  </si>
  <si>
    <t>FCUD changed from Dec 2024 to Jan 2026</t>
  </si>
  <si>
    <t>Melbourne Regional Landfill</t>
  </si>
  <si>
    <t>Landfill Operations Pty Ltd</t>
  </si>
  <si>
    <t>Traralgon Network Support Station</t>
  </si>
  <si>
    <t>NovaPower Pty Ltd</t>
  </si>
  <si>
    <t>Waubra North Wind Farm - KCI</t>
  </si>
  <si>
    <t xml:space="preserve"> ACCIONA Energy Australia Global Pty Ltd</t>
  </si>
  <si>
    <t>Wollert</t>
  </si>
  <si>
    <t>LMS Energy Pty Ltd</t>
  </si>
  <si>
    <t>WOLLERT1</t>
  </si>
  <si>
    <t>Expected closure year updated from 2042 to 2044</t>
  </si>
  <si>
    <t>FCUD changed from Oct 2024 to Mar 2025</t>
  </si>
  <si>
    <t>Mortlake Energy Hub</t>
  </si>
  <si>
    <t>brightnightpower_NR</t>
  </si>
  <si>
    <t>MTGELWF1</t>
  </si>
  <si>
    <t>275 Kent St</t>
  </si>
  <si>
    <t>Cogent Energy Pty Ltd</t>
  </si>
  <si>
    <t>Project record deleted as project reached end of life</t>
  </si>
  <si>
    <t>8 Chifley Place</t>
  </si>
  <si>
    <t>Mt Piper</t>
  </si>
  <si>
    <t>EnergyAustralia NSW Pty Ltd</t>
  </si>
  <si>
    <t>MP2 (upgrade)</t>
  </si>
  <si>
    <t>Project record deleted as the upgrade unit is combined with the existing unit and reflected in the scheduled capacity profile.</t>
  </si>
  <si>
    <t>Rosedale SF</t>
  </si>
  <si>
    <t>Project record deleted as project discontinued</t>
  </si>
  <si>
    <t>CBESS</t>
  </si>
  <si>
    <t>AEMO corrected the error in estimation of unit status in previous publication. Status changed from In Service to Committed</t>
  </si>
  <si>
    <t>Culcarin Solar Farm Trust</t>
  </si>
  <si>
    <t>Limondale Battery Pty. Ltd</t>
  </si>
  <si>
    <t>Maryvale Solar and Energy Storage System</t>
  </si>
  <si>
    <t>Maryvale Solar Farm Pty Ltd</t>
  </si>
  <si>
    <t>From Publicly Announced to Anticipated. Battery unit added.</t>
  </si>
  <si>
    <t>QPBESS, QPSF</t>
  </si>
  <si>
    <t>Silver City Energy Storage</t>
  </si>
  <si>
    <t>A-CAES NSW PTY LTD</t>
  </si>
  <si>
    <t>Snuggery</t>
  </si>
  <si>
    <t>Synergen Power Pty Ltd</t>
  </si>
  <si>
    <t>SNUGNL1</t>
  </si>
  <si>
    <t>Burdekin Solar Farm Pty Ltd Atf Burdekin Genesis Project Trust</t>
  </si>
  <si>
    <t>Technology type corrected to Solar from Storage</t>
  </si>
  <si>
    <t>Tarong</t>
  </si>
  <si>
    <t>TARONG#1, TARONG#2</t>
  </si>
  <si>
    <t>Expected closure year updated from 2037 to 2036</t>
  </si>
  <si>
    <t>Upper Burdekin Wind Farm - KCI</t>
  </si>
  <si>
    <t>Upper Burdekin Wind Farm Pty Ltd</t>
  </si>
  <si>
    <t>Goyder Wind Farm 1 Trust</t>
  </si>
  <si>
    <t>Goyder Wind Farm 1B Trust</t>
  </si>
  <si>
    <t>GSWF1B</t>
  </si>
  <si>
    <t>Epic Energy South Australia Pty Ltd</t>
  </si>
  <si>
    <t>321 Exhibition Street Trigen</t>
  </si>
  <si>
    <t>Cogent Energy</t>
  </si>
  <si>
    <t>Crowlands Wind Farm</t>
  </si>
  <si>
    <t>Pacific Hydro Crowlands Pty Ltd</t>
  </si>
  <si>
    <t>CROWLWF1</t>
  </si>
  <si>
    <t>Expected closure year updated from 2050 to 2044</t>
  </si>
  <si>
    <t>Expected closure year updated from 2054 to 2055</t>
  </si>
  <si>
    <t>Goorambat East Solar Farm</t>
  </si>
  <si>
    <t>Kerang Hybrid</t>
  </si>
  <si>
    <t>Kerang Power Pty Ltd</t>
  </si>
  <si>
    <t>Morwell Solar</t>
  </si>
  <si>
    <t>ARP Australian Solar</t>
  </si>
  <si>
    <t>Eraring</t>
  </si>
  <si>
    <t>Origin Energy Eraring Pty Ltd</t>
  </si>
  <si>
    <t>ER01, ER02, ER03, ER04</t>
  </si>
  <si>
    <t>Expected closure year changed from 2025 to 2027</t>
  </si>
  <si>
    <t>Lismore BESS</t>
  </si>
  <si>
    <t>GMR Energy Pty Ltd</t>
  </si>
  <si>
    <t>Mates Gully Solar Farm</t>
  </si>
  <si>
    <t>sparkrenewables_NR</t>
  </si>
  <si>
    <t>Tamworth BESS</t>
  </si>
  <si>
    <t xml:space="preserve"> The Trustee for Equis Energy (Ausralia) Ngumi 4 Asset Trust</t>
  </si>
  <si>
    <t>Broken Hll</t>
  </si>
  <si>
    <t>BHBG1 &amp; BHBL1</t>
  </si>
  <si>
    <t>CBESS1</t>
  </si>
  <si>
    <t xml:space="preserve">Koorangie Energy Storage System </t>
  </si>
  <si>
    <t>Edify Energy</t>
  </si>
  <si>
    <t>Metz Solar Farm</t>
  </si>
  <si>
    <t xml:space="preserve">Metz ProjectCo Pty Ltd as trustee for Metz ProjectCo Trust </t>
  </si>
  <si>
    <t>METZSF1</t>
  </si>
  <si>
    <t>New England Solar Farm</t>
  </si>
  <si>
    <t>NEWENSF1</t>
  </si>
  <si>
    <t>NEWENSF2</t>
  </si>
  <si>
    <t>Third stage from Publicly Announced to Anticipated</t>
  </si>
  <si>
    <t>One unit has moved back from Anticipated to Publicly Announced due to updated project status</t>
  </si>
  <si>
    <t>Tallawarra B</t>
  </si>
  <si>
    <t>Energy Australia</t>
  </si>
  <si>
    <t>TALWB1</t>
  </si>
  <si>
    <t>From Committed* to In Service</t>
  </si>
  <si>
    <t>Broadlea Solar Farm</t>
  </si>
  <si>
    <t>EEW Eco Energy World</t>
  </si>
  <si>
    <t>High Road</t>
  </si>
  <si>
    <t>Ratch Australia</t>
  </si>
  <si>
    <t>Lake Awoonga (Site B) Solar Farm</t>
  </si>
  <si>
    <t>TARONG#1</t>
  </si>
  <si>
    <t>Expected closure year changed from 2036 to 2037</t>
  </si>
  <si>
    <t>TARONG#2</t>
  </si>
  <si>
    <t>Tieri BESS</t>
  </si>
  <si>
    <t>FRV Service Australia Pty Ltd</t>
  </si>
  <si>
    <t>TieriBESS1</t>
  </si>
  <si>
    <t>Solar Farm removed, only BESS project</t>
  </si>
  <si>
    <t>Western Downs BESS Trust</t>
  </si>
  <si>
    <t>WDBESS</t>
  </si>
  <si>
    <t>Woolooga Solar Farm</t>
  </si>
  <si>
    <t>Woolooga Fund Pty Ltd</t>
  </si>
  <si>
    <t>WOOLGSF1</t>
  </si>
  <si>
    <t>Port Lincoln GT</t>
  </si>
  <si>
    <t>POR01</t>
  </si>
  <si>
    <t>Closure date of 1/1/2028 advised</t>
  </si>
  <si>
    <t>POR03</t>
  </si>
  <si>
    <t>SNUG1</t>
  </si>
  <si>
    <t>Expected closure year of 2028 advised</t>
  </si>
  <si>
    <t>Goyder South Hub - BESS</t>
  </si>
  <si>
    <t>Neoen</t>
  </si>
  <si>
    <t>Starfish Hill</t>
  </si>
  <si>
    <t>STARHLWF</t>
  </si>
  <si>
    <t>Expected closure year changed from 2027 to 2033</t>
  </si>
  <si>
    <t>Glenrowan Solar Farm Pty Ltd as trustee for Glenrowan Solar Farm Trust</t>
  </si>
  <si>
    <t>Mannum Solar Farm 2</t>
  </si>
  <si>
    <t>Mannum Stage 2 SubCo Pty Ltd as trustee for the Mannum Stage 2 Unit Trust</t>
  </si>
  <si>
    <t>MANSF2</t>
  </si>
  <si>
    <t>ZEN Energy Future Pty Ltd</t>
  </si>
  <si>
    <t>Torrens Island BESS</t>
  </si>
  <si>
    <t>TIPSCO</t>
  </si>
  <si>
    <t>TIBG1 / TIPL1</t>
  </si>
  <si>
    <t>Cellars Hill BESS</t>
  </si>
  <si>
    <t>The Trustee for Equis Wind (Australia) Cellars Hill Asset Trust</t>
  </si>
  <si>
    <t>Cellars Hill Wind Farm</t>
  </si>
  <si>
    <t>George Town Battery System</t>
  </si>
  <si>
    <t>Hydro-Electric Corporation</t>
  </si>
  <si>
    <t>Low Head Wind Farm - Stage 1</t>
  </si>
  <si>
    <t>Equis Wind (Australia) Projects (LHWF1) Pty Ltd as trustee for the Equis Wind (Australia) LHWF1 Asset Trust</t>
  </si>
  <si>
    <t>The status has moved back from Anticipated to Publicly Announced due to updated project commitment details</t>
  </si>
  <si>
    <t xml:space="preserve">Terang Battery Energy Storage System </t>
  </si>
  <si>
    <t>Glenrowan Solar Farm</t>
  </si>
  <si>
    <t>Expected closure year changed from 2030 to 2027</t>
  </si>
  <si>
    <t>20 Bond St</t>
  </si>
  <si>
    <t>Armidale Pumped Hydro</t>
  </si>
  <si>
    <t>UPC Renewables</t>
  </si>
  <si>
    <t>Full Commercial Use Date changed from Dec 2023 to Jan 2024</t>
  </si>
  <si>
    <t>Full Commercial Use Date changed from Nov 2023 to Feb 2024</t>
  </si>
  <si>
    <t>Maoneng Battery</t>
  </si>
  <si>
    <t xml:space="preserve">Maoneng Australia </t>
  </si>
  <si>
    <t>Merriwa Solar Farm</t>
  </si>
  <si>
    <t>Midgar Solar Project Pty Ltd</t>
  </si>
  <si>
    <t>Capacity corrected</t>
  </si>
  <si>
    <t>Full Commercial Use Date changed from Jun 2024 to Jun 2025</t>
  </si>
  <si>
    <t>Sunraysia BESS</t>
  </si>
  <si>
    <t>Maoneng Australia</t>
  </si>
  <si>
    <t xml:space="preserve">EnergyAustralia Tallawarra Pty Ltd </t>
  </si>
  <si>
    <t>Full Commercial Use Date changed from Jan 2024 to Feb 2024</t>
  </si>
  <si>
    <t>Full Commercial Use Date changed from Jul 2023 to Jan 2024</t>
  </si>
  <si>
    <t>Project added and Anticipated</t>
  </si>
  <si>
    <t>From Proposed to Anticipated</t>
  </si>
  <si>
    <t>Queanbeyan BESS</t>
  </si>
  <si>
    <t>Berrybank 2 Asset Pty Ltd as Trustee for Berrybank 2 Asset Trust</t>
  </si>
  <si>
    <t>QBYNBG1</t>
  </si>
  <si>
    <t>Richmond Valley BESS</t>
  </si>
  <si>
    <t>Ark Energy Corporation Pty Ltd</t>
  </si>
  <si>
    <t>From Committed to In commissioning</t>
  </si>
  <si>
    <t>Tamworth BESS - Gmr Energy</t>
  </si>
  <si>
    <t>Gmr Energy</t>
  </si>
  <si>
    <t>Aldoga BESS Stage 2</t>
  </si>
  <si>
    <t>Birkdale</t>
  </si>
  <si>
    <t>LMS ENERGY Pty Ltd</t>
  </si>
  <si>
    <t>Euroa Hydrogen Project</t>
  </si>
  <si>
    <t>Project record deleted as it is not a generator</t>
  </si>
  <si>
    <t>Karara</t>
  </si>
  <si>
    <t>CLEANCO</t>
  </si>
  <si>
    <t>Project record deleted as project temporarily discontinued</t>
  </si>
  <si>
    <t>South Pine BESS - KCI</t>
  </si>
  <si>
    <t>Neon Australia Pty Ltd</t>
  </si>
  <si>
    <t>Stanwell Power Station BESS</t>
  </si>
  <si>
    <t>Project record deleted due to duplication</t>
  </si>
  <si>
    <t>Banksia Solar Farm</t>
  </si>
  <si>
    <t>Venn Energy Pty / Banksia Solar Project Pty Ltd
Old: Venn Energy</t>
  </si>
  <si>
    <t>Chinchilla BESS</t>
  </si>
  <si>
    <t>CHBESSG1</t>
  </si>
  <si>
    <t>From Anticipated to In commissioning</t>
  </si>
  <si>
    <t>Dulacca Wind Farm</t>
  </si>
  <si>
    <t>Dulacca Energy Project Co Pty Ltd</t>
  </si>
  <si>
    <t>DULAWF1</t>
  </si>
  <si>
    <t>Renewable Energy System Technologies Pty Ltd</t>
  </si>
  <si>
    <t>From Anticipated to Proposed</t>
  </si>
  <si>
    <t>Mobiling BESS (Akaysha)</t>
  </si>
  <si>
    <t>Brooklyn</t>
  </si>
  <si>
    <t>Cranbourne BESS (Maoneng)</t>
  </si>
  <si>
    <t>Maoneng Australia Pty Ltd</t>
  </si>
  <si>
    <t>Expected closure year changed from 2054 to 2053</t>
  </si>
  <si>
    <t>Morwell Battery Energy System</t>
  </si>
  <si>
    <t>South Morang Battery Energy Storage System</t>
  </si>
  <si>
    <t>Melbourne Renewable Energy Hub - Side A</t>
  </si>
  <si>
    <t>MREH Pty Ltd as trustee for MREH Asset Trust</t>
  </si>
  <si>
    <t>Terang BESS</t>
  </si>
  <si>
    <t>frv_NR</t>
  </si>
  <si>
    <t xml:space="preserve"> Neoen Australia Pty Ltd</t>
  </si>
  <si>
    <t>Expected closure year changed from 2043 to 2048</t>
  </si>
  <si>
    <t>Goldwind battery</t>
  </si>
  <si>
    <t>Goldwind</t>
  </si>
  <si>
    <t>Goldwind reciprocating engine</t>
  </si>
  <si>
    <t>Kangaroo Hills BESS</t>
  </si>
  <si>
    <t>Walcha Energy Pty Ltd</t>
  </si>
  <si>
    <t>Project record deleted.  Project now included as part of Kangaroo Hills Wind Farm Project.</t>
  </si>
  <si>
    <t>Molong System Strength Battery Pilot</t>
  </si>
  <si>
    <t xml:space="preserve"> The Trustee for Transgrid Services Trust</t>
  </si>
  <si>
    <t>Murrurundi Wind Farm</t>
  </si>
  <si>
    <t>Newcastle Gas Peaker</t>
  </si>
  <si>
    <t>AGL Energy Limited</t>
  </si>
  <si>
    <t>Tara Springs Wind Farm</t>
  </si>
  <si>
    <t xml:space="preserve"> RES Australia Pty Ltd</t>
  </si>
  <si>
    <t>Walcha Energy Project - Kangaroo Hills Wind Farm</t>
  </si>
  <si>
    <t>Walcha Energy Project - St Leonards Wind Farm</t>
  </si>
  <si>
    <t>Darlington Point Energy Storage System</t>
  </si>
  <si>
    <t>DPESS Pty Ltd</t>
  </si>
  <si>
    <t>DPNTBG1</t>
  </si>
  <si>
    <t>Riverina Energy Storage System 1</t>
  </si>
  <si>
    <t>Riverina Energy Storage System 2</t>
  </si>
  <si>
    <t>RESS 2 Pty Ltd</t>
  </si>
  <si>
    <t>RIVNBG2</t>
  </si>
  <si>
    <t>From Proposed to Anticipated, expected closure year changed from 2054 to 2055</t>
  </si>
  <si>
    <t>Yanco Solar Farm</t>
  </si>
  <si>
    <t>Barunggam Solar Battery Farm - Battery - KCI</t>
  </si>
  <si>
    <t xml:space="preserve"> Ubergy Pty Ltd </t>
  </si>
  <si>
    <t>Barunggam Solar Farm - KCI</t>
  </si>
  <si>
    <t xml:space="preserve"> Ubergy Pty Ltd</t>
  </si>
  <si>
    <t>Bluff Solar Farm</t>
  </si>
  <si>
    <t>Iberdrola Australia Development Pty Ltd</t>
  </si>
  <si>
    <t>Borumba Pumped Hydro</t>
  </si>
  <si>
    <t>Expected cosure year changed from 2070 to 2130</t>
  </si>
  <si>
    <t>Bouldercombe Solar Farm - KCI</t>
  </si>
  <si>
    <t xml:space="preserve"> ENEL Green Power Australia Pty Ltd</t>
  </si>
  <si>
    <t>Bouldercombe Solar Farm BESS - KCI</t>
  </si>
  <si>
    <t>Brampton Solar Farm</t>
  </si>
  <si>
    <t>Brooyer BESS</t>
  </si>
  <si>
    <t>Res Group</t>
  </si>
  <si>
    <t>Callide Power Station BESS</t>
  </si>
  <si>
    <t>Clarke Creek Wind and Solar Farm - Solar</t>
  </si>
  <si>
    <t>Squadron Energy</t>
  </si>
  <si>
    <t>CQH2 Phase 1 - HPF</t>
  </si>
  <si>
    <t>Stanwell Corporation Ltd</t>
  </si>
  <si>
    <t>Expected closure year changed from 2050 to 2053</t>
  </si>
  <si>
    <t>Mirani Solar Farm</t>
  </si>
  <si>
    <t>ESCO Pacific</t>
  </si>
  <si>
    <t>Rolleston Solar Farm</t>
  </si>
  <si>
    <t>Expected closure year changed from 2044 to 2048</t>
  </si>
  <si>
    <t>Bluegrass Solar Farm</t>
  </si>
  <si>
    <t>Bouldercombe Battery project</t>
  </si>
  <si>
    <t>Genex Power Limited</t>
  </si>
  <si>
    <t>Columboola Solar Farm</t>
  </si>
  <si>
    <t>Luminous Energy</t>
  </si>
  <si>
    <t>Edenvale Solar Farm</t>
  </si>
  <si>
    <t>Edenvale Solar Park Pty Ltd</t>
  </si>
  <si>
    <t>Kaban Wind Farm Pty Ltd as trustee for Kaban Wind Farm Trust</t>
  </si>
  <si>
    <t>Middleback Ranges Pumped Hydro</t>
  </si>
  <si>
    <t>North West Bend Substation Solar</t>
  </si>
  <si>
    <t>North West Bend Solar Project Pty Ltd</t>
  </si>
  <si>
    <t>Pallamana Solar Farm</t>
  </si>
  <si>
    <t>Torrens Island A</t>
  </si>
  <si>
    <t>TORRA3</t>
  </si>
  <si>
    <t>Project record deleted as Project retired for over a year.</t>
  </si>
  <si>
    <t>TORRB1</t>
  </si>
  <si>
    <t xml:space="preserve">AGL has advised that the unit will no longer return to service from its presently mothballed state. </t>
  </si>
  <si>
    <t>Bashan 2 Wind Farm</t>
  </si>
  <si>
    <t>Goldwind Australia</t>
  </si>
  <si>
    <t>Bridgewater BESS</t>
  </si>
  <si>
    <t xml:space="preserve"> Edify Energy Pty Ltd</t>
  </si>
  <si>
    <t>Wesley Vale Solar Farm</t>
  </si>
  <si>
    <t>Climate Capital Pty Ltd</t>
  </si>
  <si>
    <t>Jeeralang B</t>
  </si>
  <si>
    <t>EnergyAustralia Ecogen Pty Ltd</t>
  </si>
  <si>
    <t>JLB01</t>
  </si>
  <si>
    <t>EA advised of unavailability of Unit 1 for Summer 2023-24</t>
  </si>
  <si>
    <t>Tarong BESS</t>
  </si>
  <si>
    <t>Tarrone Wind Farm</t>
  </si>
  <si>
    <t>Global Power Generation Australia Pty Ltd</t>
  </si>
  <si>
    <t>Berrybank Stage 2 Wind Farm</t>
  </si>
  <si>
    <t>Berrbank Development Pty ltd</t>
  </si>
  <si>
    <t>Hazelwood BESS</t>
  </si>
  <si>
    <t>Hazelwood BESS Project Co Pty Ltd as trustee for the HBESS Asset Trust</t>
  </si>
  <si>
    <t>HBESSG1</t>
  </si>
  <si>
    <t>Mortlake South Wind Farm</t>
  </si>
  <si>
    <t>Mortlake South Wind Farm Pty Ltd</t>
  </si>
  <si>
    <t>Phillip Island BESS</t>
  </si>
  <si>
    <t>Mondo Power</t>
  </si>
  <si>
    <t>PIBESSG1</t>
  </si>
  <si>
    <t>Capacity upgraded from 2000 to 2200, FCUD changed to Dec 2028</t>
  </si>
  <si>
    <t>Full Commercial Use Date changed from Nov 2023 to Jan 2024</t>
  </si>
  <si>
    <t>Callide C</t>
  </si>
  <si>
    <t xml:space="preserve">Joint Venture; Callide Energy Pty Ltd and IG Power (Callide) Ltd. </t>
  </si>
  <si>
    <t>CPP_3, CPP_4</t>
  </si>
  <si>
    <t>Capacity change for Summer 2023/24 for both the units and for Winter 2024 for CPP_4</t>
  </si>
  <si>
    <t>Liddell</t>
  </si>
  <si>
    <t>AGL Macquarie Pty Limited</t>
  </si>
  <si>
    <t>LD01</t>
  </si>
  <si>
    <t>Withdrawn - Reached End of Life</t>
  </si>
  <si>
    <t>LD02</t>
  </si>
  <si>
    <t>LD04</t>
  </si>
  <si>
    <t>Shoalhaven Expansion</t>
  </si>
  <si>
    <t>Vales Point B</t>
  </si>
  <si>
    <t>Delta Electricity</t>
  </si>
  <si>
    <t>VP5, VP6</t>
  </si>
  <si>
    <t>Delta Electricity have advised that Vales Point technical life has been reassessed to be 2033. The closure date will be subject to market conditions and related commercial considerations</t>
  </si>
  <si>
    <t>Bango 999 Wind Farm</t>
  </si>
  <si>
    <t>BWF Nominees Pty Ltd as trustee for the BWF Trust</t>
  </si>
  <si>
    <t>BANGOWF2</t>
  </si>
  <si>
    <t>Munmorah Battery Projectco Pty Ltd</t>
  </si>
  <si>
    <t>WARATAH</t>
  </si>
  <si>
    <t>West Wyalong Solar Farm</t>
  </si>
  <si>
    <t>Lightsource Australia</t>
  </si>
  <si>
    <t>Karara Wind Farm</t>
  </si>
  <si>
    <t>From Anticipated to Publicly Announced due to CleanCo paused the development of Karara Wind Farm</t>
  </si>
  <si>
    <t>Wambo Wind Farm</t>
  </si>
  <si>
    <t xml:space="preserve"> Cubico Sustainable Investments Australia Pty Ltd</t>
  </si>
  <si>
    <t>Stage 1 (252 MW) changes from Publicly Announced to Committed</t>
  </si>
  <si>
    <t>Warwick Solar Farm</t>
  </si>
  <si>
    <t>The University of Queensland</t>
  </si>
  <si>
    <t>WARWSF1, WARWSF2</t>
  </si>
  <si>
    <t>Goyder South Hub - Solar</t>
  </si>
  <si>
    <t>Mannum Stage 2 SubCo Pty Ltd as trustee for the Mannum Stage 2 Unit Trust
Mannum Stage 2 Subco Pty Ltd (Epic)</t>
  </si>
  <si>
    <t>Port Augusta Renewable Energy Park - Solar</t>
  </si>
  <si>
    <t>PAREP 1 Pty Ltd</t>
  </si>
  <si>
    <t xml:space="preserve">TIBG1 / TIPL1
</t>
  </si>
  <si>
    <t>Wesley Vale Solar</t>
  </si>
  <si>
    <t>Epuron Projects Pty Ltd</t>
  </si>
  <si>
    <t>George Town Solar</t>
  </si>
  <si>
    <t>Ark Energy</t>
  </si>
  <si>
    <t>Berrybank Wind Farm</t>
  </si>
  <si>
    <t>BRYB2WF2</t>
  </si>
  <si>
    <t>Loy Yang A Power Station</t>
  </si>
  <si>
    <t>AGL Loy Yang Marketing Pty Ltd</t>
  </si>
  <si>
    <t>LYA2</t>
  </si>
  <si>
    <t>Unit upgrade discontinued</t>
  </si>
  <si>
    <t>Lubeck Wind Farm - KCI</t>
  </si>
  <si>
    <t xml:space="preserve"> Wind Prospect Pty Ltd</t>
  </si>
  <si>
    <t>Philip Island BESS</t>
  </si>
  <si>
    <t>Mondo Power
Mondo</t>
  </si>
  <si>
    <t>Rangebank BESS</t>
  </si>
  <si>
    <t>Tulkara Wind Farm - KCI</t>
  </si>
  <si>
    <t>Lightsource Development Services Australia</t>
  </si>
  <si>
    <t>101 Miller Street</t>
  </si>
  <si>
    <t>Project retired</t>
  </si>
  <si>
    <t>Closure year updated</t>
  </si>
  <si>
    <t>Armidale BESS (150)</t>
  </si>
  <si>
    <t>Project record removed</t>
  </si>
  <si>
    <t>Blackmores</t>
  </si>
  <si>
    <t>Daandine Power Station</t>
  </si>
  <si>
    <t>APT Petroleum Pipeline Holdings Pty Ltd.</t>
  </si>
  <si>
    <t>Erskine Park</t>
  </si>
  <si>
    <t>Hunter Valley GT</t>
  </si>
  <si>
    <t>HVGTS</t>
  </si>
  <si>
    <t>LD3</t>
  </si>
  <si>
    <t>Generation unit retired</t>
  </si>
  <si>
    <t>Piambong Wind Farm - KCI</t>
  </si>
  <si>
    <t>Piambong Wind Farm Pty Ltd
NEMMCO</t>
  </si>
  <si>
    <t>Battery unit removed</t>
  </si>
  <si>
    <t xml:space="preserve">Salisbury BESS 		</t>
  </si>
  <si>
    <t>Project (Survey Id : 1678) discontinued, replaced with Salisbury BESS (2452)</t>
  </si>
  <si>
    <t>Snowy 2.0</t>
  </si>
  <si>
    <t>Project Commissioning dates delayed in accordance with recent SnowyHydro project update media announcement. Specific unit commissioning schedule to be confirmed</t>
  </si>
  <si>
    <t>Tenterfield Solar Farm</t>
  </si>
  <si>
    <t xml:space="preserve">Uralla BESS   </t>
  </si>
  <si>
    <t xml:space="preserve"> Neoen Australia Pty Ltd
		</t>
  </si>
  <si>
    <t xml:space="preserve">CBESS1
</t>
  </si>
  <si>
    <t>Gullen Range Wind Farm 2</t>
  </si>
  <si>
    <t>BEIJING JINGNENG CLEAN ENERGY (AUSTRALIA) HOLDING PTY LTD</t>
  </si>
  <si>
    <t>GULLRWF2</t>
  </si>
  <si>
    <t xml:space="preserve"> Global Power Generation Australia Pty Ltd </t>
  </si>
  <si>
    <t xml:space="preserve">WLWLSF
</t>
  </si>
  <si>
    <t>WARWSF1</t>
  </si>
  <si>
    <t>WARWSF2</t>
  </si>
  <si>
    <t>Braemar</t>
  </si>
  <si>
    <t>Braemar Power Project Pty Ltd</t>
  </si>
  <si>
    <t>BRAEMAR1</t>
  </si>
  <si>
    <t>Capacity reinstated to 188 from 173</t>
  </si>
  <si>
    <t>Miles BESS Project</t>
  </si>
  <si>
    <t>Battery added</t>
  </si>
  <si>
    <t>Wivenhoe Small Hydro</t>
  </si>
  <si>
    <t>WIVENSH</t>
  </si>
  <si>
    <t>Central Renewable Energy Zone BESS</t>
  </si>
  <si>
    <t>Coopers Gap Wind Farm</t>
  </si>
  <si>
    <t>PARF Company 6 Pty Limited</t>
  </si>
  <si>
    <t>COOPGWF1</t>
  </si>
  <si>
    <t>Edenvale Solar Park</t>
  </si>
  <si>
    <t>Western Downs Green Power Hub P/L</t>
  </si>
  <si>
    <t>Western Downs Green Power Hub Pty Ltd</t>
  </si>
  <si>
    <t>WDGPH1</t>
  </si>
  <si>
    <t xml:space="preserve">CHMLBESS
</t>
  </si>
  <si>
    <t>Solar Farm removed</t>
  </si>
  <si>
    <t>Mannum 2 Solar Farm</t>
  </si>
  <si>
    <t>Epic</t>
  </si>
  <si>
    <t>Projects (Survey Ids : 2423 &amp; 2424) discontinued, dupllicaated with project with Survey Id : 2410</t>
  </si>
  <si>
    <t>Bolivar Power Station</t>
  </si>
  <si>
    <t>Iberdrola Australia Energy Markets Pty Limited</t>
  </si>
  <si>
    <t>BOLIVPS1</t>
  </si>
  <si>
    <t>Bungala Two Solar Farm</t>
  </si>
  <si>
    <t>Enel Green Power</t>
  </si>
  <si>
    <t>BNGSF2</t>
  </si>
  <si>
    <t>Battery of the Nation - Stage 1</t>
  </si>
  <si>
    <t>Hydro Tasmania</t>
  </si>
  <si>
    <t>Battery of the Nation - Stage 2a</t>
  </si>
  <si>
    <t>Battery of the Nation - Stage 3a</t>
  </si>
  <si>
    <t>Low Head Wind Farm</t>
  </si>
  <si>
    <t>Low Head Wind Farm Pty Ltd</t>
  </si>
  <si>
    <t>Project (Survey Id " 1350) discontinued, duplicated with project with Survey Id 2236</t>
  </si>
  <si>
    <t>Tamar Valley BESS</t>
  </si>
  <si>
    <t>HYDROTAS</t>
  </si>
  <si>
    <t>200 Victoria St</t>
  </si>
  <si>
    <t>Berwick</t>
  </si>
  <si>
    <t>Kentbruck Green Power Hub</t>
  </si>
  <si>
    <t>Project (Battery Storage) discontinued</t>
  </si>
  <si>
    <t>Changed from Solar to Battery project</t>
  </si>
  <si>
    <t>Frasers Solar Farm</t>
  </si>
  <si>
    <t>Frasers Lane Development Pty Ltd</t>
  </si>
  <si>
    <t>Pacific Partnerships</t>
  </si>
  <si>
    <t xml:space="preserve">Anticipated </t>
  </si>
  <si>
    <t>Wallgrove Grid Battery project</t>
  </si>
  <si>
    <t>TransGrid</t>
  </si>
  <si>
    <t>WALGRVG1</t>
  </si>
  <si>
    <t>Wellington Solar Farm</t>
  </si>
  <si>
    <t>Lightsource Australia SPV 4 Pty Ltd</t>
  </si>
  <si>
    <t>WELLSF1</t>
  </si>
  <si>
    <t>Woolooga Battery Energy Storage System (BESS)</t>
  </si>
  <si>
    <t>LightsourceBP</t>
  </si>
  <si>
    <t>Lilyvale Solar Farm</t>
  </si>
  <si>
    <t>Lilyvale Asset Co Pty Ltd ATF Lilyvale Asset Trust</t>
  </si>
  <si>
    <t>LILYSF1</t>
  </si>
  <si>
    <t>Moura Solar Farm</t>
  </si>
  <si>
    <t>Moura Solar Farm SPV Pty Ltd as the Trustee for Moura Solar Farm Unit Trust</t>
  </si>
  <si>
    <t>MOUSF1</t>
  </si>
  <si>
    <t>Oakey 2 Solar Farm</t>
  </si>
  <si>
    <t>RE Oakey Pty Ltd</t>
  </si>
  <si>
    <t>OAKEY2SF</t>
  </si>
  <si>
    <t>Wandoan South BESS</t>
  </si>
  <si>
    <t>NAWMA</t>
  </si>
  <si>
    <t>LMS_NR</t>
  </si>
  <si>
    <t>Lincoln Gap Wind Farm - Stage 2</t>
  </si>
  <si>
    <t>Lincoln Gap Wind Farm Pty Ltd</t>
  </si>
  <si>
    <t>LGAPWF2</t>
  </si>
  <si>
    <t>Mannum Solar Farm</t>
  </si>
  <si>
    <t>Mannum Solar Farm Pty Ltd</t>
  </si>
  <si>
    <t>Port Augusta Renewable Energy Park - Wind</t>
  </si>
  <si>
    <t>Snapper Point Power Station</t>
  </si>
  <si>
    <t>Port Adelaide Energy Pty Ltd</t>
  </si>
  <si>
    <t>SNAPPER1</t>
  </si>
  <si>
    <t>Jeeralang BESS (Maoneng)</t>
  </si>
  <si>
    <t>Navarre Wind Farm</t>
  </si>
  <si>
    <t>Dundonnell Wind Farm</t>
  </si>
  <si>
    <t>DUNDWF1, DUNDWF2, DUNDWF3</t>
  </si>
  <si>
    <t>TagEnergy Golden Plains Investments Pty Ltd</t>
  </si>
  <si>
    <t>TORRB1, TORRB2, TORRB3, TORRB4</t>
  </si>
  <si>
    <t>Expected closure year changed to 2026 as per advice from AGL Energy</t>
  </si>
  <si>
    <t>Currawarra Solar Farm</t>
  </si>
  <si>
    <t>Tarleigh Park Solar Farm</t>
  </si>
  <si>
    <t>Hillston Sun Farm</t>
  </si>
  <si>
    <t>Hillston Sun Farm Operations Pty Ltd ATF Hillston</t>
  </si>
  <si>
    <t>HILLSTN1</t>
  </si>
  <si>
    <t>Junee Solar Farm</t>
  </si>
  <si>
    <t>Junee Operationsco Pty Ltd as trustee for Junee Operations Trust</t>
  </si>
  <si>
    <t>JUNEESF1</t>
  </si>
  <si>
    <t>Quorn Park Solar Farm</t>
  </si>
  <si>
    <t>Quorn Park Solar Farm Pty Ltd</t>
  </si>
  <si>
    <t>Gympie Regional Energy Hub - Stage 1</t>
  </si>
  <si>
    <t>SolarQ Pty Ltd</t>
  </si>
  <si>
    <t>ADPBA1G, ADPPV1, ADPPV2</t>
  </si>
  <si>
    <t>Bolivar Waste Water Treatment</t>
  </si>
  <si>
    <t>BOWWBA1G, BOWWPV1</t>
  </si>
  <si>
    <t>CBWWBA1G, CBWWPV1</t>
  </si>
  <si>
    <t>Happy Valley Reservoir</t>
  </si>
  <si>
    <t>HVWABA1G, HVWAPV1</t>
  </si>
  <si>
    <t>Mannum Adelaide Pumping Station No 2 - MAPL2 (Palmer)</t>
  </si>
  <si>
    <t>MAPS2PV1</t>
  </si>
  <si>
    <t>Mannum Adelaide Pumping Station No 3 - MAPL3 (Tungkillo)</t>
  </si>
  <si>
    <t>MAPS3PV1</t>
  </si>
  <si>
    <t>Morgan To Whyalla Pipeline No 1 PS And Water Filtration Plant</t>
  </si>
  <si>
    <t>MWPS1PV1</t>
  </si>
  <si>
    <t>Morgan To Whyalla Pipeline No 2 PS</t>
  </si>
  <si>
    <t>MWPS2PV1</t>
  </si>
  <si>
    <t>Morgan To Whyalla Pipeline No 3 PS</t>
  </si>
  <si>
    <t>MWPS3PV1</t>
  </si>
  <si>
    <t>Morgan To Whyalla Pipeline No 4 PS</t>
  </si>
  <si>
    <t>MWPS4PV1</t>
  </si>
  <si>
    <t>Murray Bridge - Onkaparinga Pipeline Pump 2</t>
  </si>
  <si>
    <t>MBPS2PV1</t>
  </si>
  <si>
    <t>Murra Warra Solar Farm</t>
  </si>
  <si>
    <t>Penshurst</t>
  </si>
  <si>
    <t>Bulgana Green Power Hub - BESS</t>
  </si>
  <si>
    <t>Bulgana Wind Farm Pty Ltd</t>
  </si>
  <si>
    <t>BULBESG1</t>
  </si>
  <si>
    <t>Carag SF</t>
  </si>
  <si>
    <t>EP Sunspot 3 Pty Ltd</t>
  </si>
  <si>
    <t>Diapur Wind Farm</t>
  </si>
  <si>
    <t>Diapur Wind Farm Pty Ltd</t>
  </si>
  <si>
    <t>Hazelwood Battery Energy Storage System (HBESS)</t>
  </si>
  <si>
    <t>Murra Warra Wind Farm - stage 2</t>
  </si>
  <si>
    <t>Murra Warra II Project Co Pty Ltd as Trustee for the Murra Warra II Project Trust</t>
  </si>
  <si>
    <t>MUWAWF2</t>
  </si>
  <si>
    <t>Stockyard Hill Wind Farm</t>
  </si>
  <si>
    <t>Stockyard Hill Wind Farm Pty Ltd</t>
  </si>
  <si>
    <t>STOCKYD1</t>
  </si>
  <si>
    <t>Yendon Wind Farm</t>
  </si>
  <si>
    <t>Northleaf /InfraRed/Macquarie Capital</t>
  </si>
  <si>
    <t>YENDWF1</t>
  </si>
  <si>
    <t>Tomago GT</t>
  </si>
  <si>
    <t>AGL Hydro Partnership</t>
  </si>
  <si>
    <t>Suntown Renewable Energy Facility</t>
  </si>
  <si>
    <t>CLARKE CREEK ENERGY PTY LTD</t>
  </si>
  <si>
    <t>CLRKCWF1</t>
  </si>
  <si>
    <t>CLRKCWF2</t>
  </si>
  <si>
    <t>Mannum Adelaide Pumping Station No 3 - MAPL3 (Kanmantoo)</t>
  </si>
  <si>
    <t>MAPS3PV2</t>
  </si>
  <si>
    <t>Project removed from publication, as the developer has advised it is a duplicate of Mannum Adelaide Pumping Station No 3 – MAPL3 (Tungkillo)</t>
  </si>
  <si>
    <t>Shepparton Solar Farm</t>
  </si>
  <si>
    <t>Moorabool Wind Farm</t>
  </si>
  <si>
    <t>Moorabool Wind Farm Interface Company Pty Ltd</t>
  </si>
  <si>
    <t>MOORAWF1</t>
  </si>
  <si>
    <t>Dalton</t>
  </si>
  <si>
    <t>Discontinued</t>
  </si>
  <si>
    <t>UNSW C25</t>
  </si>
  <si>
    <t>Walgett Solar Farm</t>
  </si>
  <si>
    <t>Walgett Solar Pty Ltd</t>
  </si>
  <si>
    <t>Wee Waa Solar Farm</t>
  </si>
  <si>
    <t>Overland Sun Farming</t>
  </si>
  <si>
    <t>Jemalong Solar</t>
  </si>
  <si>
    <t>Genex Power</t>
  </si>
  <si>
    <t>JEMALNG1</t>
  </si>
  <si>
    <t>Collinsville North Solar Project</t>
  </si>
  <si>
    <t>Comet Solar Farm</t>
  </si>
  <si>
    <t>Comet Solar Farm Pty Ltd</t>
  </si>
  <si>
    <t>Ipswich Regional Energy Hub - Storage</t>
  </si>
  <si>
    <t>Molendinar</t>
  </si>
  <si>
    <t>Rochedale Renewable Energy Facility</t>
  </si>
  <si>
    <t>ROCHEDAL</t>
  </si>
  <si>
    <t>Wivenhoe Regional Energy Hub - Solar</t>
  </si>
  <si>
    <t>Wivenhoe Regional Energy Hub - Storage</t>
  </si>
  <si>
    <t>Kanmantoo</t>
  </si>
  <si>
    <t>ADPBA1G</t>
  </si>
  <si>
    <t>BOWWPV1</t>
  </si>
  <si>
    <t>Tamar Valley Combined Cycle</t>
  </si>
  <si>
    <t>AETV Pty Ltd</t>
  </si>
  <si>
    <t>TVCC201</t>
  </si>
  <si>
    <t>Change from In Service - Announced Withdrawal (Permanent) to In Service</t>
  </si>
  <si>
    <t>Ben More</t>
  </si>
  <si>
    <t>Mallee Solar Farm</t>
  </si>
  <si>
    <t>Kiamal Solar Farm - Stage 1</t>
  </si>
  <si>
    <t>KSF Project Nominees Pty Ltd ATF KSF Project Trust</t>
  </si>
  <si>
    <t>KIAMSF1</t>
  </si>
  <si>
    <t>Sunraysia Solar Farm</t>
  </si>
  <si>
    <t>Sunraysia Solar Project Pty Ltd</t>
  </si>
  <si>
    <t>SUNRSF1</t>
  </si>
  <si>
    <t>Winton Solar Farm</t>
  </si>
  <si>
    <t>Winton Asset Co. Pty Ltd as Trustee of the Winton Asset Trust</t>
  </si>
  <si>
    <t>WINTSF1</t>
  </si>
  <si>
    <t>BOWWBA1G</t>
  </si>
  <si>
    <t>CBWWBA1G</t>
  </si>
  <si>
    <t>HVWABA1G</t>
  </si>
  <si>
    <t>HVWAPV1</t>
  </si>
  <si>
    <t>Lincoln Gap Wind Farm - stage 2</t>
  </si>
  <si>
    <t>Nexif</t>
  </si>
  <si>
    <t xml:space="preserve">Wooreen Energy Storage System </t>
  </si>
  <si>
    <t>Closure date changed to 19/08/2025 as per advice from Origin Energy</t>
  </si>
  <si>
    <t>Bayswater</t>
  </si>
  <si>
    <t xml:space="preserve"> AGL Macquarie Pty Limited </t>
  </si>
  <si>
    <t>BW01, BW02, BW03, BW04</t>
  </si>
  <si>
    <t>Expected closure year changed to 2033 as per advice from AGL Energy</t>
  </si>
  <si>
    <t>Tallawarra  B</t>
  </si>
  <si>
    <t>EnergyAustralia Tallawarra Pty Ltd</t>
  </si>
  <si>
    <t>Scheduled Capacity</t>
  </si>
  <si>
    <t>Kurri Kurri OCGT</t>
  </si>
  <si>
    <t xml:space="preserve"> Snowy Hydro Limited </t>
  </si>
  <si>
    <t>Scheduled capacity changed from 750 to 660 as per advice from the owner</t>
  </si>
  <si>
    <t xml:space="preserve"> AGL Loy Yang Marketing Pty Ltd </t>
  </si>
  <si>
    <t>LYA1, LYA2, LYA3, LYA4</t>
  </si>
  <si>
    <t>Expected closure year changed to 2045 as per advice from AGL Energy</t>
  </si>
  <si>
    <t>Victorian Big Battery</t>
  </si>
  <si>
    <t>Victorian Big Battery Pty Ltd</t>
  </si>
  <si>
    <t>VBBG1</t>
  </si>
  <si>
    <t>Crudine Ridge Wind Farm</t>
  </si>
  <si>
    <t>CRWF Nominees Pty Ltd as trustee of the CRWF Trust</t>
  </si>
  <si>
    <t>CRURWF1</t>
  </si>
  <si>
    <t>Nameplate capacity updated from 138.01 MW to 141.71 MW</t>
  </si>
  <si>
    <t>West Illawarra Leagues Club</t>
  </si>
  <si>
    <t>Western Suburbs Leagues Club</t>
  </si>
  <si>
    <t>WESTILL1</t>
  </si>
  <si>
    <t>Nameplate capacity updated from 0.99 MW to 1.43 MW</t>
  </si>
  <si>
    <t>Goonumbla Solar Farm</t>
  </si>
  <si>
    <t>Goonumbla Asset Co Pty Ltd as trustee for the Goonumbla Asset Trust</t>
  </si>
  <si>
    <t>GOONSF1</t>
  </si>
  <si>
    <t xml:space="preserve">Gullen Range Wind Farm 2 _x000D_
</t>
  </si>
  <si>
    <t>The remaining 12 units of Wagga North Solar Farm become Committed</t>
  </si>
  <si>
    <t>Wyalong Solar Farm Pty Ltd</t>
  </si>
  <si>
    <t>Temporary Generation South (Bolivar)</t>
  </si>
  <si>
    <t>Infigen Energy</t>
  </si>
  <si>
    <t>Epworth Hospital - East Melbourne - Freemasons</t>
  </si>
  <si>
    <t>Epworth Hospital Ltd</t>
  </si>
  <si>
    <t>Yatpool Solar Farm</t>
  </si>
  <si>
    <t>Yatpool Sun Farm Pty Ltd</t>
  </si>
  <si>
    <t>YATSF1</t>
  </si>
  <si>
    <t>Cooma Solar Farm (Risen)</t>
  </si>
  <si>
    <t>Risen Energy Australia Pty Ltd</t>
  </si>
  <si>
    <t>LD03, LD04</t>
  </si>
  <si>
    <t>Liddell Unit 3 has updated closure date from 1/04/2023 to 1/04/2022, Unit 4 has updated closure date from 1/04/2022 to 1/04/2023</t>
  </si>
  <si>
    <t>RES Australia</t>
  </si>
  <si>
    <t>Collector</t>
  </si>
  <si>
    <t>COLWF01</t>
  </si>
  <si>
    <t>Hillston Sun Farm Pty Ltd</t>
  </si>
  <si>
    <t xml:space="preserve"> WELLSF1</t>
  </si>
  <si>
    <t>ib vogt / Sun Spot 6</t>
  </si>
  <si>
    <t>Nameplate capacity</t>
  </si>
  <si>
    <t>Changed from 143 MW to 154 MW</t>
  </si>
  <si>
    <t>Kaban Green Power Hub - Wind Farm</t>
  </si>
  <si>
    <t>Kaban Wind Farm Pty Ltd as trustee for  Kaban Wind Farm Trust</t>
  </si>
  <si>
    <t>Maryrorough Solar Farm</t>
  </si>
  <si>
    <t>Maryrorough Solar Pty Ltd</t>
  </si>
  <si>
    <t>MARYRSF1</t>
  </si>
  <si>
    <t>Moura Solar Farm SPV Pty Ltd atf the ESCO Solar Farm 4 Trust</t>
  </si>
  <si>
    <t>Rodds Bay Solar Farm</t>
  </si>
  <si>
    <t>United Green</t>
  </si>
  <si>
    <t>Yarranlea Solar Farm</t>
  </si>
  <si>
    <t>Yarranlea Solar Pty Ltd</t>
  </si>
  <si>
    <t>YARANSF1</t>
  </si>
  <si>
    <t>Cultana Pumped Hydro Energy Storage</t>
  </si>
  <si>
    <t>ARUP Pty Ltd</t>
  </si>
  <si>
    <t>TORRA2, TORRA4</t>
  </si>
  <si>
    <t>Torrens Island A units TORRA2 and TORRA4 closure date of 30/09/2020 have been past for more than 12 months in Generation Information Page publication and hence these two units are dropped from this publication</t>
  </si>
  <si>
    <t>TORRA1</t>
  </si>
  <si>
    <t xml:space="preserve">Withdrawn _x000D_
</t>
  </si>
  <si>
    <t>BRYB1WF1</t>
  </si>
  <si>
    <t>ib vogt GmbH / Sun Spot 3</t>
  </si>
  <si>
    <t>Correction</t>
  </si>
  <si>
    <t>Committed. (Note that 04 May 2021 Change Log entry incorrectly listed "In Service", however, should have listed "Committed".)</t>
  </si>
  <si>
    <t>Gunnedah Solar Farm</t>
  </si>
  <si>
    <t>Gunnedah Solar Farm Pty Ltd</t>
  </si>
  <si>
    <t>UPC Renewables Australia Pty Ltd</t>
  </si>
  <si>
    <t>Suntop Solar Farm</t>
  </si>
  <si>
    <t>Suntop Solar Farm Pty Ltd</t>
  </si>
  <si>
    <t>CleanCo Wind Farm (Small Mac)</t>
  </si>
  <si>
    <t>ACCIONA Energy Australia Global Pty Ltd</t>
  </si>
  <si>
    <t>Duplicate Removed</t>
  </si>
  <si>
    <t>Kaban Green Power Hub - BESS</t>
  </si>
  <si>
    <t>Discontinued.</t>
  </si>
  <si>
    <t>Mackay GT</t>
  </si>
  <si>
    <t>MACKAYGT</t>
  </si>
  <si>
    <t>Withdrawn - Permanent</t>
  </si>
  <si>
    <t>AGL SA Generation Pty Ltd has advised that Torrens Island B Unit 1 (TORRB1) will be mothballed with six months minimum recall notice starting from October 2021 until September 2024.</t>
  </si>
  <si>
    <t>From Committed to Anticipated</t>
  </si>
  <si>
    <t>Bulgana Green Power Hub - Wind Farm</t>
  </si>
  <si>
    <t>BULGANA1</t>
  </si>
  <si>
    <t>Glenrowan West Sun Farm</t>
  </si>
  <si>
    <t>Glenrowan Sun Farm Pty Ltd</t>
  </si>
  <si>
    <t>GLRWNSF1</t>
  </si>
  <si>
    <t>Ruby Hills Wind Farm</t>
  </si>
  <si>
    <t>Bango 973 Wind Farm</t>
  </si>
  <si>
    <t>BANGOWF1</t>
  </si>
  <si>
    <t>Belconnen</t>
  </si>
  <si>
    <t>EDL LFG ACT Pty Ltd</t>
  </si>
  <si>
    <t>Decommissioned</t>
  </si>
  <si>
    <t>Belrose</t>
  </si>
  <si>
    <t>EDL LFG NSW Pty Ltd</t>
  </si>
  <si>
    <t>Bomen Solar Farm</t>
  </si>
  <si>
    <t>Spark Infrastructure Holdings No. 6 Pty Limited</t>
  </si>
  <si>
    <t>BOMENSF1</t>
  </si>
  <si>
    <t>CRWF Nominees Pty Ltd</t>
  </si>
  <si>
    <t>Darlington Point Solar Farm</t>
  </si>
  <si>
    <t>Darlington Point Solar Farm Pty Ltd</t>
  </si>
  <si>
    <t>Limondale Solar Farm 1</t>
  </si>
  <si>
    <t>Limondale Sun Farm Pty Ltd</t>
  </si>
  <si>
    <t>Molong Solar Farm</t>
  </si>
  <si>
    <t>Molong Property Co Pty Ltd as trustee for the Molong Property Trust</t>
  </si>
  <si>
    <t>MOLNGSF1</t>
  </si>
  <si>
    <t>Mugga Lane</t>
  </si>
  <si>
    <t>Nymboida</t>
  </si>
  <si>
    <t>Essential Energy</t>
  </si>
  <si>
    <t>Oaky</t>
  </si>
  <si>
    <t>Teralba</t>
  </si>
  <si>
    <t>EDL (TT) Pty Ltd</t>
  </si>
  <si>
    <t>Middlemount Sun Farm</t>
  </si>
  <si>
    <t>Capricorn SF No1 Pty Ltd</t>
  </si>
  <si>
    <t>Roghan Road</t>
  </si>
  <si>
    <t>EDL LFG Qld Pty Ltd</t>
  </si>
  <si>
    <t>Cattle Hill Wind Farm</t>
  </si>
  <si>
    <t>Wild Cattle Hill Pty Ltd</t>
  </si>
  <si>
    <t>CTHLWF1</t>
  </si>
  <si>
    <t>Elaine Wind Farm</t>
  </si>
  <si>
    <t>ELAINWF1</t>
  </si>
  <si>
    <t xml:space="preserve">In Commissioning </t>
  </si>
  <si>
    <t>Biala Wind Farm</t>
  </si>
  <si>
    <t>MP1</t>
  </si>
  <si>
    <t>Upgrade now In Service</t>
  </si>
  <si>
    <t>Lightsource Australia SPV 4</t>
  </si>
  <si>
    <t>Cape York Battery Power Plant - Solar</t>
  </si>
  <si>
    <t>Lyon Solar</t>
  </si>
  <si>
    <t>Cape York Battery Power Plant - Storage</t>
  </si>
  <si>
    <t>Loy Yang B</t>
  </si>
  <si>
    <t>Alinta</t>
  </si>
  <si>
    <t>LOYYB1</t>
  </si>
  <si>
    <t>Bogan River</t>
  </si>
  <si>
    <t>Infigen Energy Development Pty Ltd</t>
  </si>
  <si>
    <t>Capital Solar Farm</t>
  </si>
  <si>
    <t>Capital Solar Farm Pty Ltd</t>
  </si>
  <si>
    <t>DARLSF1</t>
  </si>
  <si>
    <t>Nevertire Solar Farm</t>
  </si>
  <si>
    <t>Elliott Nevertire Solar Pty Ltd as Trustee for the Elliott Nevertire Trust'</t>
  </si>
  <si>
    <t>NEVERSF1</t>
  </si>
  <si>
    <t>Sebastopol Asset Co</t>
  </si>
  <si>
    <t>In Commissioning. (Note that 22 July 2020 Change Log entry incorrectly listed "In Service", however, should have listed "In Commissioning".)</t>
  </si>
  <si>
    <t>Western Downs Solar Farm</t>
  </si>
  <si>
    <t>N/A</t>
  </si>
  <si>
    <t>Bowen Solar Farm</t>
  </si>
  <si>
    <t>Cloncurry Solar Farm</t>
  </si>
  <si>
    <t>Western Downs Green Power Hub</t>
  </si>
  <si>
    <t>Western Downs Green Power Hub Pty Ltd as trustee for Western Downs Green Power Hub Trust</t>
  </si>
  <si>
    <t>AGL SA Generation Pty Ltd</t>
  </si>
  <si>
    <t>Torrens Island A units TORRA2 and TORRA4 closure date of 30/09/2020 has passed, and the units are Deregistered.</t>
  </si>
  <si>
    <t>Zero Cost Energy Future</t>
  </si>
  <si>
    <t>SA Water Corporation</t>
  </si>
  <si>
    <t>Aggregate survey removed in favour of individual surveys (Projects with Owner of South Australian Water Corporation).</t>
  </si>
  <si>
    <t>Hornsdale Power Reserve Unit 1</t>
  </si>
  <si>
    <t>Hornsdale Power Reserve Pty Ltd</t>
  </si>
  <si>
    <t>HPRG1</t>
  </si>
  <si>
    <t>Lincoln Gap Wind Farm - stage 1</t>
  </si>
  <si>
    <t>LGAPWF1</t>
  </si>
  <si>
    <t>Temporary Generation South</t>
  </si>
  <si>
    <t>SATGS1</t>
  </si>
  <si>
    <t>DUNDWF1</t>
  </si>
  <si>
    <t>Cherry Tree Wind Farm</t>
  </si>
  <si>
    <t>Cherry Tree Wind Farm Pty Limited A.T.F. Cherry Tree Project Trust</t>
  </si>
  <si>
    <t>CHYTWF1</t>
  </si>
  <si>
    <t>In Service. (Note that 22 July 2020 Change Log entry incorrectly listed "In Service", however, should have listed "In Commissioning".)</t>
  </si>
  <si>
    <t>Murra Warra Project Co Pty Ltd</t>
  </si>
  <si>
    <t>Corrected Region from SA1 to NSW1.</t>
  </si>
  <si>
    <t>LIMOSF11</t>
  </si>
  <si>
    <t>Upgrade now Committed</t>
  </si>
  <si>
    <t>Origin Energy advises the closure date of the Osborne power station is 31/12/2023.</t>
  </si>
  <si>
    <t>SA Water PV Plant</t>
  </si>
  <si>
    <t>SA Water</t>
  </si>
  <si>
    <t>AGL SA Generation Pty Ltd has advised that Torrens Island A unit TORRA4 will be available over winter 2020, whilst unit TORRA2 will remain mothballed, until the closure date of both units of 30/9/2020.</t>
  </si>
  <si>
    <t>+35 MW increase in capacity now In Service</t>
  </si>
  <si>
    <t>Expansion now In Service</t>
  </si>
  <si>
    <t>Nexif advises that it is in the process of completing necessary permits and other development works for moving the Temporary Generation North units to Snapper Point, as per the Agreement to Lease signed with the SA Government.</t>
  </si>
  <si>
    <t>Changed from Committed to Maturing</t>
  </si>
  <si>
    <t>Torrens Island A Mothballing</t>
  </si>
  <si>
    <t>TORRA1, TORRA2, TORRA3, TORRA4</t>
  </si>
  <si>
    <t xml:space="preserve">AGL SA Generation Pty Ltd has advised that all four Torrens Island A units will be mothballed with six month minimum recall notice:
      - starting from 1/4/2020 for TORRA2 and TORRA4, lasting until the closure date of 30/9/2020.
      - starting from 30/9/2020 for TORRA1, lasting until the closure date of 30/9/2021.
      - starting from 30/9/2021 for TORRA3, lasting until the closure date of 30/9/2022.
</t>
  </si>
  <si>
    <t>Lincoln Gap Wind Farm - BESS</t>
  </si>
  <si>
    <t>Changed from Committed to Publicly Announced</t>
  </si>
  <si>
    <t>Corrected from 450 MW to 420 MW</t>
  </si>
  <si>
    <t>Oakey Power Station</t>
  </si>
  <si>
    <t>Oakey Power Holdings Pty Ltd</t>
  </si>
  <si>
    <t>OAKEY1, OAKEY2</t>
  </si>
  <si>
    <t>Corrected from 141 MW to 173 MW</t>
  </si>
  <si>
    <t>Mortlake</t>
  </si>
  <si>
    <t>Origin Energy Power Limited</t>
  </si>
  <si>
    <t>MORTLK11, MORTLK12</t>
  </si>
  <si>
    <t>Updated from 283 MW to 292 MW</t>
  </si>
  <si>
    <t>Bells Mountain</t>
  </si>
  <si>
    <t>Duplicate removed.</t>
  </si>
  <si>
    <t>Finley Solar Farm</t>
  </si>
  <si>
    <t>Finley Solar Farm Pty Ltd as The trustee for Finley Solar Trust</t>
  </si>
  <si>
    <t>FINLYSF1</t>
  </si>
  <si>
    <t>Limondale Solar Farm 2</t>
  </si>
  <si>
    <t>LIMOSF21</t>
  </si>
  <si>
    <t>Haughton Solar Farm Stage 1</t>
  </si>
  <si>
    <t>Pacific Hydro Haughton Solar Farm Pty Ltd</t>
  </si>
  <si>
    <t>HAUGHT11</t>
  </si>
  <si>
    <t>Barker Inlet Power Station</t>
  </si>
  <si>
    <t>AGL Barker Inlet Pty Ltd</t>
  </si>
  <si>
    <t>BARKIPS1</t>
  </si>
  <si>
    <t>Correction to the Expected Closure Year value, due to a data system error.</t>
  </si>
  <si>
    <t>Eraring GT</t>
  </si>
  <si>
    <t>ERGT01</t>
  </si>
  <si>
    <t>Ladbroke Grove</t>
  </si>
  <si>
    <t>LADBROK1, LADBROK2</t>
  </si>
  <si>
    <t>Quarantine</t>
  </si>
  <si>
    <t>QPS1, QPS2, QPS3, QPS4</t>
  </si>
  <si>
    <t>Lake Bonney BESS1</t>
  </si>
  <si>
    <t>Lake Bonney BESS Pty Ltd</t>
  </si>
  <si>
    <t>LBBG1</t>
  </si>
  <si>
    <t xml:space="preserve">Changes in schedule capacity due to mothballed period. </t>
  </si>
  <si>
    <t>Full Commercial Use Date for some Committed projects have been delayed.</t>
  </si>
  <si>
    <t>Correction of previous Commissioning note, plant is "In Commissioning".</t>
  </si>
  <si>
    <t>MortLK11, MortLK12</t>
  </si>
  <si>
    <t>Gippsland Power Pty Ltd ABN 30 077 851 079 / LYB Ventures Australia Pty Ltd ABN 57 055 984 499 / Traralgon Power Pty Ltd ABN 64 056 292 623 / Latrobe Power Pty Ltd ABN 42 055 983 563 / LYB Australia Limited ABN 87 055 563 785</t>
  </si>
  <si>
    <t>Corrected from 1000 MW to 1115 MW</t>
  </si>
  <si>
    <t>Changes in Winter 2020 scheduled capacity</t>
  </si>
  <si>
    <t>MORTLK12</t>
  </si>
  <si>
    <t>Origin Energy expects to bring the unit back online by 20 December 2019, as specified here: https://www.originenergy.com.au/about/investors-media/media-centre/statement_on_mortlake_power_station.html</t>
  </si>
  <si>
    <t>Changes in expected closure date.</t>
  </si>
  <si>
    <t>Changes in schedule capacity.</t>
  </si>
  <si>
    <t>South Johnstone Mill</t>
  </si>
  <si>
    <t>MSF Sugar</t>
  </si>
  <si>
    <t>Impact Investment Group</t>
  </si>
  <si>
    <t>Corrected from Proposed to Committed.</t>
  </si>
  <si>
    <t>Hallett Repower (expansion)</t>
  </si>
  <si>
    <t>Unit Status</t>
  </si>
  <si>
    <t>Willogoleche Wind Farm</t>
  </si>
  <si>
    <t>Willogoleche Power Pty Ltd</t>
  </si>
  <si>
    <t>WGWF1</t>
  </si>
  <si>
    <t>Corrected from In Service to In Commissioning.</t>
  </si>
  <si>
    <t>Bogong / Mackay</t>
  </si>
  <si>
    <t>MCKAY1</t>
  </si>
  <si>
    <t>Corrected from 1240 MW to 300 MW (-940 MW).</t>
  </si>
  <si>
    <t>Commissioning</t>
  </si>
  <si>
    <t>Beryl Solar Farm</t>
  </si>
  <si>
    <t>FS NSW Project No 1 AT Pty Ltd as trustee of FS NSW Project No 1 Asset Trust</t>
  </si>
  <si>
    <t xml:space="preserve">BERYLSF1  </t>
  </si>
  <si>
    <t>Commissioning complete.</t>
  </si>
  <si>
    <t>Bodangora Wind Farm</t>
  </si>
  <si>
    <t>Bodangora Wind Farm Pty Ltd</t>
  </si>
  <si>
    <t xml:space="preserve">BODWF1    </t>
  </si>
  <si>
    <t>Coleambally Solar Farm</t>
  </si>
  <si>
    <t>Coleambally Solar Pty Ltd</t>
  </si>
  <si>
    <t xml:space="preserve">COLEASF1  </t>
  </si>
  <si>
    <t>Changed from 180 MW to 150.3 MW (-29.7 MW).</t>
  </si>
  <si>
    <t>Crookwell 2 Wind Farm</t>
  </si>
  <si>
    <t>Crookwell Development Pty Ltd</t>
  </si>
  <si>
    <t xml:space="preserve">CROOKWF2  </t>
  </si>
  <si>
    <t>Changed from 91 MW to 96.04 MW (+5.04 MW).</t>
  </si>
  <si>
    <t>FINLEYSF1</t>
  </si>
  <si>
    <t>Changed from 133 MW to 162.36 MW (29.36 MW).</t>
  </si>
  <si>
    <t xml:space="preserve">SITHE01   </t>
  </si>
  <si>
    <t>Changed from 170.9 MW to 185 MW (+14.1 MW).</t>
  </si>
  <si>
    <t>John Laing/Maoneng Group</t>
  </si>
  <si>
    <t>Changed from 200 MW to 228.8 MW (+28.8 MW).</t>
  </si>
  <si>
    <t>Tallawarra</t>
  </si>
  <si>
    <t xml:space="preserve">TALWA1    </t>
  </si>
  <si>
    <t>Changed from 435 MW to 440 MW (+5 MW).</t>
  </si>
  <si>
    <t>Eastern Creek Energy from Waste Facility</t>
  </si>
  <si>
    <t>Next Generation NSW</t>
  </si>
  <si>
    <t>Gloucester Gas Project</t>
  </si>
  <si>
    <t>Jupiter Wind Farm</t>
  </si>
  <si>
    <t>EPYC Pty Ltd</t>
  </si>
  <si>
    <t>Amp Power Pty Limited</t>
  </si>
  <si>
    <t>Committed.</t>
  </si>
  <si>
    <t>West Narrabri Electricity Generating Facility</t>
  </si>
  <si>
    <t>Woolbrook Wind Farm</t>
  </si>
  <si>
    <t>Newtricity</t>
  </si>
  <si>
    <t>Childers Solar Farm</t>
  </si>
  <si>
    <t>Childers Solar Pty Ltd</t>
  </si>
  <si>
    <t>CHILDSF1</t>
  </si>
  <si>
    <t>Clermont Solar Farm</t>
  </si>
  <si>
    <t>Clermont Asset Co Pty Ltd as Trustee for Clerrmont Solar Unit Trust</t>
  </si>
  <si>
    <t>CLERMSF1</t>
  </si>
  <si>
    <t>Collinsville PV</t>
  </si>
  <si>
    <t xml:space="preserve">CSPVPS1   </t>
  </si>
  <si>
    <t>Daydream Solar Farm</t>
  </si>
  <si>
    <t>The Daydream Solar Farm Trust</t>
  </si>
  <si>
    <t xml:space="preserve">DAYDSF1   </t>
  </si>
  <si>
    <t>Emerald Solar Park</t>
  </si>
  <si>
    <t>Lighthouse Infrastructure Management Limited</t>
  </si>
  <si>
    <t xml:space="preserve">EMERASF1  </t>
  </si>
  <si>
    <t>Hayman Solar Farm</t>
  </si>
  <si>
    <t>The Hayman Solar Farm Trust</t>
  </si>
  <si>
    <t>HAYMSF1</t>
  </si>
  <si>
    <t>Mount Emerald</t>
  </si>
  <si>
    <t xml:space="preserve">MEWF1     </t>
  </si>
  <si>
    <t>Susan River Solar Farm</t>
  </si>
  <si>
    <t>Susan River Solar Pty Ltd</t>
  </si>
  <si>
    <t>SRSF1</t>
  </si>
  <si>
    <t>Clare Solar Farm</t>
  </si>
  <si>
    <t>Clare Asset Co Pty Ltd ATF Clare Asset Trust</t>
  </si>
  <si>
    <t xml:space="preserve">CLARESF1  </t>
  </si>
  <si>
    <t>Changed from 100 MW to 110.4 MW (+10.4 MW).</t>
  </si>
  <si>
    <t>Darling Downs Solar Farm</t>
  </si>
  <si>
    <t>Darling Downs Solar Farm Pty Ltd</t>
  </si>
  <si>
    <t xml:space="preserve">DDSF1     </t>
  </si>
  <si>
    <t>Changed from 108.5 MW to 121 MW (+12.5 MW).</t>
  </si>
  <si>
    <t>Changed from 100 MW to 132.6 MW (+32.6 MW).</t>
  </si>
  <si>
    <t>Group Linen - Princess Alexandra</t>
  </si>
  <si>
    <t xml:space="preserve">Impact Investment Group_x000D_
</t>
  </si>
  <si>
    <t>Teebar Solar One</t>
  </si>
  <si>
    <t>Teebar Clean Energy Pty Ltd</t>
  </si>
  <si>
    <t>Changed from Committed* to Publicly Announced.</t>
  </si>
  <si>
    <t>Windy Hill II</t>
  </si>
  <si>
    <t xml:space="preserve">LGAPWF1   </t>
  </si>
  <si>
    <t xml:space="preserve">WGWF1     </t>
  </si>
  <si>
    <t>Bungala One Solar Farm</t>
  </si>
  <si>
    <t>BNGSF1</t>
  </si>
  <si>
    <t>Changed from 110 MW to 135 MW (+25 MW).</t>
  </si>
  <si>
    <t xml:space="preserve">QPS1      </t>
  </si>
  <si>
    <t>Changed from 224 MW to 229 MW (+5 MW).</t>
  </si>
  <si>
    <t>Changed from Committed* to Emerging.</t>
  </si>
  <si>
    <t>Lincoln Gap Wind Farm PTY LTD</t>
  </si>
  <si>
    <t>Port Augusta Graphite Energy - CST</t>
  </si>
  <si>
    <t>Solastor Pty Ltd</t>
  </si>
  <si>
    <t>On hold.</t>
  </si>
  <si>
    <t>Port Augusta Graphite Energy - PV</t>
  </si>
  <si>
    <t>SA Government Virtual Power Plant - stage 2</t>
  </si>
  <si>
    <t>Government of South Australia</t>
  </si>
  <si>
    <t>Simply Energy VPP</t>
  </si>
  <si>
    <t>Simply Energy</t>
  </si>
  <si>
    <t>Yorke Peninsula Biomass</t>
  </si>
  <si>
    <t>Kallis Family Trust</t>
  </si>
  <si>
    <t>Announced Withdrawal – Short Term Recall</t>
  </si>
  <si>
    <t>Tamar Valley CCGT</t>
  </si>
  <si>
    <t>AETV Pty Ltd advises that Tamar Valley combined-cycle gas turbine (CCGT) is not in regular service and may return to service at its discretion with less than three months’ lead time. .</t>
  </si>
  <si>
    <t>Changed from 144 MW to 153.6 MW (+9.6 MW).</t>
  </si>
  <si>
    <t>G7 Generation</t>
  </si>
  <si>
    <t>Bannerton Solar Park</t>
  </si>
  <si>
    <t>Foresight Solar Australia Pty Ltd</t>
  </si>
  <si>
    <t>BANN1</t>
  </si>
  <si>
    <t>Wemen Solar Farm</t>
  </si>
  <si>
    <t>Wemen Asset Co Pty Ltd as Trustee to Wemen Solar Unit Trust</t>
  </si>
  <si>
    <t>WEMENSF1</t>
  </si>
  <si>
    <t>Changed from 194 MW to 204.4 MW (+10.4 MW).</t>
  </si>
  <si>
    <t>Newport</t>
  </si>
  <si>
    <t xml:space="preserve">NPS       </t>
  </si>
  <si>
    <t>Changed from 510 MW to 500 MW (-10 MW).</t>
  </si>
  <si>
    <t>Numurkah Solar Farm</t>
  </si>
  <si>
    <t>Numurkah Solar Farm Pty Ltd</t>
  </si>
  <si>
    <t xml:space="preserve">NUMURSF1  </t>
  </si>
  <si>
    <t>Changed from 100 MW to 112 MW (+12 MW).</t>
  </si>
  <si>
    <t>Somerton</t>
  </si>
  <si>
    <t>AGL Hydro partnership</t>
  </si>
  <si>
    <t xml:space="preserve">AGLSOM    </t>
  </si>
  <si>
    <t>Changed from 160 MW to 170 MW (+10 MW).</t>
  </si>
  <si>
    <t>West Kiewa</t>
  </si>
  <si>
    <t xml:space="preserve">WKIEWA1   </t>
  </si>
  <si>
    <t>Changed from 60 MW to 68 MW (+8 MW).</t>
  </si>
  <si>
    <t>Changed from 81 MW to 94 MW (+13 MW).</t>
  </si>
  <si>
    <t>Cohuna Solar Farm Pty Ltd</t>
  </si>
  <si>
    <t>Changed from Committed to Committed*.</t>
  </si>
  <si>
    <t>Spring Hill Wind Farm</t>
  </si>
  <si>
    <t>BayWa r.e.</t>
  </si>
  <si>
    <t>Service commenced</t>
  </si>
  <si>
    <t xml:space="preserve">Crookwell 2 Wind Farm </t>
  </si>
  <si>
    <t>Crookwell Development Pty Ltd advises that Crookwell 2 Wind Farm (91 MW) is operational.</t>
  </si>
  <si>
    <t>Tailem Bend - Solar</t>
  </si>
  <si>
    <t>Vena Energy advises that Tailem Bend - Solar (108MW) is operational.</t>
  </si>
  <si>
    <t xml:space="preserve">Bannerton Solar Farm </t>
  </si>
  <si>
    <t>Foresight Solar Australia Pty Ltd advises that Bannerton Solar Park (88MW) is undergoing commissioning testing.</t>
  </si>
  <si>
    <t>Pacific Hydro Crowlands Pty Ltd advises that Crowlands Wind Farm (79.95MW) is undergoing commissioning testing.</t>
  </si>
  <si>
    <t xml:space="preserve"> Neoen advises that Numurkah Solar Farm (100MW) is undergoing commissioning testing.</t>
  </si>
  <si>
    <t>Lal Lal Wind Energy System - Elaine</t>
  </si>
  <si>
    <t xml:space="preserve"> Northleaf /InfraRed/Macquarie Capital advises that Lal Lal Wind Energy Facility - Elaine end (83.6 MW) is now a committed project. .</t>
  </si>
  <si>
    <t>Lal Lal Wind Energy System - Yendon</t>
  </si>
  <si>
    <t xml:space="preserve"> Northleaf /InfraRed/Macquarie Capital advises that Lal Lal Wind Energy Facility - Yendon end (144.4 MW) is now a committed project. .</t>
  </si>
  <si>
    <t>BayWa r.e. advises that Yatpool Solar Farm (81 MW) is now a committed project.</t>
  </si>
  <si>
    <t>Ballarat Energy Storage System</t>
  </si>
  <si>
    <t>AusNet Services advises that Ballarat Energy Storage System (30 MW) is operational.  .</t>
  </si>
  <si>
    <t>Karadoc Solar Farm</t>
  </si>
  <si>
    <t>Overland Sun Farming Pty Ltd advises that Karadoc Solar Farm (90 MW) is operational.</t>
  </si>
  <si>
    <t>AEMO has changed the Unit Status of Bomen Solar Farm from Committed to Emerging, and revised the nameplate capacity of Bomen Solar Farm from 120 MW to 100 MW. Consequently, the generation capacity charts in the 'New South Wales Summary' worksheet, and on the Generation Information Page website, have also been updated.</t>
  </si>
  <si>
    <t>Capacity</t>
  </si>
  <si>
    <t>Townsville Power Station</t>
  </si>
  <si>
    <t>AEMO has revised the Summer Scheduled Capacities of Townsville Power Station in 201819, 201920 from 115 MW to 233 MW; AEMO has also revised the Winter Scheduled Capacities of Townsville Power Station in 2019, 2020 from 163 MW, 161 MW to 245 MW, 243 MW.</t>
  </si>
  <si>
    <t>PARF Company 6 Pty Limited advises that the capacity of Coopers Gap Wind Farm (previously reported as 350 MW) needs to be corrected to 453 MW.</t>
  </si>
  <si>
    <t>Hayman Solar Farm Pty Ltd advises that the nameplate capacity of Hayman Solar Farm (previously 50 MW) needs to be corrected to Hayman Solar Farm (57.75 MW).</t>
  </si>
  <si>
    <t>AEMO has revised the Summer Scheduled Capacities of Townsville Power Station in 201819, 201920 from 115 MW to 233 MW; AEMO has also revised the Winter Scheduled Capacities of Townsville Power Station in 2019, 2020 from 163 MW,161 MW to 245 MW, 243 MW.</t>
  </si>
  <si>
    <t>Brigalow Solar Farm</t>
  </si>
  <si>
    <t>Brigalow Solar Farm (34.5 MW) is now reported as committed since Impact Investment Group advises that it has commenced construction.</t>
  </si>
  <si>
    <t>Hughenden Sun Farm</t>
  </si>
  <si>
    <t>BayWa r.e. advises that Hughenden Sun Farm (18 MW) is now a committed project.</t>
  </si>
  <si>
    <t>University of Queensland advises that Warwick Solar Farm (64.2 MW) is now a committed project.</t>
  </si>
  <si>
    <t>Pelican Point</t>
  </si>
  <si>
    <t>Pelican Point Power Limited advises that Pelican Point Nameplate capacity has been revised from 478 MW to 529 MW (+51 MW). The available capacity has been revised from 458 MW to 478 MW (+20 MW) in summer, and from 474 MW to 529 MW (+55 MW) in winter.</t>
  </si>
  <si>
    <t>AEMO advises that due to an error, the Nameplate Capacity of Willogoleche Wind Farm (previously 95-125 MW) has been corrected to Willogoleche Wind Farm (119.4 MW).</t>
  </si>
  <si>
    <t>BHP Olympic Dam Backup Generation</t>
  </si>
  <si>
    <t>BHP Billiton advises that BHP Olympic Dam Backup Generation (30 MW) is installed for emergency back-up supplies to the Olympic Dam Plant and township of Roxby Downs.</t>
  </si>
  <si>
    <t>Temporary Generation North and Temporary Generation South</t>
  </si>
  <si>
    <t>SA Power Networks advises that Temporary Generation North (154 MW) and Temporary Generation South (123.2 MW) has changed registration status from Scheduled to Non-Scheduled.</t>
  </si>
  <si>
    <t>Enel Green Power advises that Bungala Two Solar Farm (110 MW) is now a committed project.</t>
  </si>
  <si>
    <t>Lake Bonney Battery Energy Storage</t>
  </si>
  <si>
    <t>Lake Bonney Battery Energy Storage (25 MW/ 52MWh) is now reported as committed since Infigen Energy advises that it has commenced construction.</t>
  </si>
  <si>
    <t>Gannawarra Solar Farm</t>
  </si>
  <si>
    <t>Gannawarra Solar Farm Pty Ltd advises that the nameplate capacity of Gannawarra Solar Farm (previously 50 MW) needs to be corrected to Gannawarra Solar Farm (55 MW).</t>
  </si>
  <si>
    <t>Bannerton Solar Farm</t>
  </si>
  <si>
    <t>Berrybank Development Pty Ltd advises that Berrybank Wind Farm (331.8 MW) should be reported as Berrybank Wind Farm - Stage 1 (180.6 MW) and Berrybank Wind Farm - Stage 2 (151.2 MW).</t>
  </si>
  <si>
    <t>Gannawarra Energy Storage System</t>
  </si>
  <si>
    <t>GESS Co advises that Gannawarra Energy Storage System (25 MW/50 MWh) is undergoing commissioning testing.</t>
  </si>
  <si>
    <t>Neoen advises that Numurkah Solar Farm (100MW) is undergoing commissioning testing.</t>
  </si>
  <si>
    <t>Cherry Tree Wind Farm (57.6 MW) is now reported as committed since Cherry Tree Wind Farm Pty Limited A.T.F. Cherry Tree Project Trust advises that it has commenced construction.</t>
  </si>
  <si>
    <t>Cohuna Solar Farm Pty. Ltd advises that Cohuna Solar Farm (27.27 MW) is now a committed project.</t>
  </si>
  <si>
    <t>Dundonnell Wind Farm (336MW) is now reported as committed since Tilt Renewables advises that it has commenced construction.</t>
  </si>
  <si>
    <t>Northleaf /InfraRed/Macquarie Capital advises that Lal Lal Wind Energy Facility - Elaine end (83.6 MW) is now a committed project.</t>
  </si>
  <si>
    <t>Northleaf /InfraRed/Macquarie Capital advises that Lal Lal Wind Energy Facility - Yendon end (144.4 MW) is now a committed project.</t>
  </si>
  <si>
    <t>AusNet Services advises that Ballarat Energy Storage System (30 MW) is operational.</t>
  </si>
  <si>
    <t>AGL SA Generation Pty Ltd has advised that all four Torrens Island A units will be mothballed with six month minimum recall notice, starting from 30/11/2019 for TORRA2 and TORRA4,starting from 30/9/2020 for TORRA1, and starting from 30/9/21 for TORRA3, lasting until the expected full closure year 2035.</t>
  </si>
  <si>
    <t>Charlestown Square Cogeneration</t>
  </si>
  <si>
    <t>GPT RE Limited advises that Charlestown Square Cogeneration (2.8 MW) has been permanently decommissioned (withdrawn) since June 2018.</t>
  </si>
  <si>
    <t>Renew Estate advises that Bomen Solar Farm (120 MW) is now a committed project.</t>
  </si>
  <si>
    <t>Darlington Point Solar Farm Pty Ltd advises that Darlington Point Solar Farm (275 MW) is now a committed project.</t>
  </si>
  <si>
    <t>Finley Solar Farm Pty Ltd as trustee of the Finley Solar Trust advises that Finley Solar Farm (133 MW) is now a committed project.</t>
  </si>
  <si>
    <t>Bluff Point Wind Farm</t>
  </si>
  <si>
    <t>Woolnorth Wind Farm Holding Pty Ltd advises that Bluff Point Wind Farm (65 MW) is accounted for within Woolnorth Studland Bay / Bluff Point (140 MW).</t>
  </si>
  <si>
    <t>Neoen advises that Coleambally Solar Farm (180 MW) is undergoing commissioning testing.</t>
  </si>
  <si>
    <t>Limondale solar plant 1</t>
  </si>
  <si>
    <t>Innogy advises that Limondale solar plant 1 (220 MW) is now a committed project.</t>
  </si>
  <si>
    <t>Limondale solar plant 2</t>
  </si>
  <si>
    <t>Innogy advises that Limondale solar plant 2 (29 MW) is now a committed project.</t>
  </si>
  <si>
    <t>Nevertire Solar Farm (105MW) is now reported as committed since Elliott Nevertire Solar Pty Ltd advises that it has commenced construction.</t>
  </si>
  <si>
    <t>John Laing/Maoneng Group advise that Sunraysia Solar Farm (200MW) is now a committed project.</t>
  </si>
  <si>
    <t>Darling Downs Solar Farm Pty Ltd advises that Darling Downs Solar Farm (108.5 MW) is undergoing commissioning testing.</t>
  </si>
  <si>
    <t>Hamilton Solar Farm</t>
  </si>
  <si>
    <t>Hamilton Solar Farm Pty Ltd advises that Hamilton Solar Farm (57.5 MW) is undergoing commissioning testing.</t>
  </si>
  <si>
    <t>Ross River Solar Farm</t>
  </si>
  <si>
    <t>Ross River Operations Pty Ltd advises that Ross River Solar Farm (128 MW) is undergoing commissioning testing.</t>
  </si>
  <si>
    <t>Kennedy Energy Park</t>
  </si>
  <si>
    <t>Kennedy Energy Park (Solar (15 MW), Wind (43.2 MW), Storage (2 MW)) is now reported as a committed project since Kennedy Energy Park Pty advises that it has commenced construction .</t>
  </si>
  <si>
    <t>Rugby Run Solar Farm</t>
  </si>
  <si>
    <t>Rugby Run Solar Farm (65MW) is now reported as committed since Adani Rugby Run Pty Ltd advises that it has commenced construction.</t>
  </si>
  <si>
    <t>ESCRI Dalrymple</t>
  </si>
  <si>
    <t>ElectraNet advises that ESCRI Dalrymple (30MW/8MWh) is operational.</t>
  </si>
  <si>
    <t>Bulgana Green Power Hub - Wind Farm (194MW) is now reported as committed since Neoen advises that it has commenced construction.</t>
  </si>
  <si>
    <t>Kiamal Solar Farm - Stage 1 (200MW) is now reported as committed since Total Eren advises that it has commenced construction.</t>
  </si>
  <si>
    <t>Lal Lal Wind Energy Facility - Yendon end</t>
  </si>
  <si>
    <t>Lal Lal Wind Energy Facility - Yendon end (144.4MW) is now reported as committed since Northleaf /InfraRed/Macquarie Capital advise that it has commenced construction.</t>
  </si>
  <si>
    <t>Goldwind advises that Moorabool Wind Farm (320MW) is now a committed project.</t>
  </si>
  <si>
    <t>Neoen advises that Numurkah Solar Farm (100MW) is now a committed project.</t>
  </si>
  <si>
    <t>Gannawarra Solar Farm Pty Ltd advises that Gannawarra Solar Farm (50 MW) is operational.</t>
  </si>
  <si>
    <t>FS NSW Project No 1 AT Pty Ltd advises that Beryl Solar Farm (98.4 MW) is now a committed project.</t>
  </si>
  <si>
    <t>Coleambally Solar Farm (180 MW) is now reported as committed since Neoen advises that it has commenced construction.</t>
  </si>
  <si>
    <t>Crudine Ridge Wind Farm (135 MW) is now reported as committed since CRWF Nominees Pty Ltd advises that it has commenced construction.</t>
  </si>
  <si>
    <t>Childers Solar Farm (56 MW) is now reported as a committed project since ESCO Pacific advises that it has commenced construction.</t>
  </si>
  <si>
    <t>Clermont Asset Co Pty Ltd as Trustee advises that Clermont Solar Farm (92.5 MW) is now a committed project.</t>
  </si>
  <si>
    <t>Emerald Solar Park (72 MW) is now reported as a committed project since Lighthouse Infrastructure Management Limited advises that it has commenced construction.</t>
  </si>
  <si>
    <t>Haughton Solar Farm</t>
  </si>
  <si>
    <t>Pacific Hydro advises that Haughton Solar Farm (100 MW) is now a committed project.</t>
  </si>
  <si>
    <t>Susan River Solar Farm (100 MW) is now reported as a committed project since ESCO Pacific advises it has commenced construction.</t>
  </si>
  <si>
    <t>TeeBar Solar Farm</t>
  </si>
  <si>
    <t>TeeBar Solar Farm (52.5 MW) is now reported as a committed project since TeeBar Clean Energy Pty Ltd advises it has commenced construction.</t>
  </si>
  <si>
    <t>Yarranlea Solar</t>
  </si>
  <si>
    <t>Yarranlea Solar (102.5 MW) is now reported as a committed project since Risen Energy Australia advises it has commenced construction.</t>
  </si>
  <si>
    <t>Vena Energy advises that Tailem Bend - Solar (108 MW) is now a committed project.</t>
  </si>
  <si>
    <t>Wild Cattle Hill Wind Farm</t>
  </si>
  <si>
    <t>Wild Cattle Hill Wind Farm (144 MW) is now reported as committed as Wild Cattle Hill Pty Ltd advises construction has commenced.</t>
  </si>
  <si>
    <t>Alinta Energy is reviewing the Loy Yang B upgrade project, and will provide an update before the 2018-19 Summer season.</t>
  </si>
  <si>
    <t>Ballarat Energy Storage System (30 MW) is now reported as committed since AusNet Services advises that it has commenced construction.</t>
  </si>
  <si>
    <t>Bulgana Green Power Hub - Battery Energy Storage System (BESS) (21 MW) is now reported as committed since Neoen advises that it has commenced construction.</t>
  </si>
  <si>
    <t>Bulgana Green Power Hub - Wind Farm (204 MW) is now reported as committed since Neoen advises that it has commenced construction.</t>
  </si>
  <si>
    <t>Gannawarra Energy Storage System (25 MW) is now reported as committed since GESS Co advises that it has commenced construction.</t>
  </si>
  <si>
    <t>Karadoc Solar Farm (90 MW) is now reported as committed since Overland Sun Farming Pty Ltd advises that it has commenced construction.</t>
  </si>
  <si>
    <t>Lal Lal Wind Energy Facility - Elaine end</t>
  </si>
  <si>
    <t>Lal Lal Wind Energy Facility - Elaine end (79 MW) is now reported as committed since Westwind Energy Pty Ltd advises that it has commenced construction.</t>
  </si>
  <si>
    <t>Moorabool Wind Farm (320 MW) is now reported as committed since Goldwind advises that it has commenced construction.</t>
  </si>
  <si>
    <t>Murra Warra Wind Farm - stage 1</t>
  </si>
  <si>
    <t>RES Australia advises that Murra Warra Wind Farm - stage 1 (226 MW) is now a committed project.</t>
  </si>
  <si>
    <t>Stockyard Hill</t>
  </si>
  <si>
    <t>Goldwind advises that Stockyard Hill (532 MW) is now a committed project.</t>
  </si>
  <si>
    <t>Wemen Asset Co Pty Ltd advises that Wemen Solar Farm (87.75 MW) is now a committed project.</t>
  </si>
  <si>
    <t>Oakey 2 Solar Farm (55 MW) is now reported as a committed project since Canadian Solar Pty Ltd advises that it has commenced construction.</t>
  </si>
  <si>
    <t>Torrens Island A Power Station</t>
  </si>
  <si>
    <t>AGL Energy advises that the four units of Torrens Island A Power Station (480 MW) will be progressively mothballed between 2019 and 2021. Two units (240 MW) will be mothballed after winter 2019, one unit (120 MW) after winter 2020 and the final unit (120 MW) after winter 2021.</t>
  </si>
  <si>
    <t>Barker Inlet Power Station (210 MW) is now reported as a committed project since AGL advises that it has commenced construction.</t>
  </si>
  <si>
    <t>Dalrymple Battery storage</t>
  </si>
  <si>
    <t>Dalrymple Battery storage (30 MW) is now reported as a committed project since ElectraNet advises that it has commenced construction.</t>
  </si>
  <si>
    <t>Salt Creek Wind Farm</t>
  </si>
  <si>
    <t>Tilt Renewables advises that Salt Creek Wind Farm (54 MW) is now a committed project.</t>
  </si>
  <si>
    <t>AGL has advised Bayswater Power Station will increase capacity by 25 MW each Winter from 2019 to 2022.</t>
  </si>
  <si>
    <t>Visy Power Generation advises that Smithfield Energy Facility, which closed in July 2017, has been brought back into service with up to 109 MW of capacity available, with a further 62 MW available on recall with lead time to be determined.</t>
  </si>
  <si>
    <t>Bodangora Wind Farm (113 MW) is now reported as committed since Infigen Energy has advised construction has commenced.</t>
  </si>
  <si>
    <t>Crookwell 2 Wind Farm (91 MW) is reported as committed as Crookwell Development Pty Ltd has advised construction has commenced.</t>
  </si>
  <si>
    <t>Hunter Economic Zone Diesel</t>
  </si>
  <si>
    <t>Hunter Economic Zone Diesels (28.8 MW) is now reported at committed as Snowy Hydro Ltd advises construction has commenced.</t>
  </si>
  <si>
    <t>Sapphire Wind Farm Phase 1 and 2</t>
  </si>
  <si>
    <t>Sapphire Wind Farm Pty Ltd advises that Sapphire Wind Farm Phase 1 and 2 (270 MW) is now committed.</t>
  </si>
  <si>
    <t>Silverton Wind Farm</t>
  </si>
  <si>
    <t>PARF Company Pty Ltd as trustee for the Silverton Project Trust advises that Silverton Wind Farm (198.94 MW) is now a committed project.</t>
  </si>
  <si>
    <t>White Rock Solar Farm</t>
  </si>
  <si>
    <t>White Rock Solar Farm (20 MW) is now reported as committed since White Rock Wind Farm Pty Ltd has advised construction has commenced.</t>
  </si>
  <si>
    <t>CS Energy have advised that Callide C capacity has been reduced from 1,000 MW to 840 MW.</t>
  </si>
  <si>
    <t>Swanbank E GT</t>
  </si>
  <si>
    <t>Stanwell Corporation Limited advises that Swanbank E GT (385 MW) has returned to service.</t>
  </si>
  <si>
    <t>Clare Asset Co Pty Ltd ATF Clare Asset Trust advises that Clare Solar Farm (150MW) is a committed project.</t>
  </si>
  <si>
    <t>Collinsville Solar Power Station</t>
  </si>
  <si>
    <t>Ratch Australia Corporation advises that Collinsville Solar Power Station (42.5 MW) is a committed project.</t>
  </si>
  <si>
    <t>PARF Company Pty Ltd, as a trustee for the Coopers Gap Project Trust advises that Coopers Gap Wind Farm (453 MW) is a committed project.</t>
  </si>
  <si>
    <t>APA advises that Darling Downs Solar Farm (110MW) is a committed project.</t>
  </si>
  <si>
    <t>Hayman Solar Farm Pty Ltd advises that Daydream Solar Farm (167.5MW) is a committed project.</t>
  </si>
  <si>
    <t>Dunblane Solar Farm</t>
  </si>
  <si>
    <t>YellowDot Energy Pty Ltd advises that Dunblane Solar Farm (7.2MW) is a committed project.</t>
  </si>
  <si>
    <t>Hamilton Solar Farm Pty Ltd advises that Hamilton Solar Farm (57.5MW) is a committed project.</t>
  </si>
  <si>
    <t>Hayman Solar Farm Pty Ltd advises that Hayman Solar Farm (57.5 MW) is a committed project.</t>
  </si>
  <si>
    <t>Kennedy Energy Park Pty advises that Kennedy Energy Park (Solar (15 MW), Wind (43.2 MW), Storage (2 MW)) is a committed project.</t>
  </si>
  <si>
    <t>Kidston Solar Project</t>
  </si>
  <si>
    <t>Genex Power Ltd advises that Kidston Solar Project (50 MW) is a committed project.</t>
  </si>
  <si>
    <t>Lake Somerset</t>
  </si>
  <si>
    <t>Seqwater advises that Lake Somerset (4.3MW) is a committed project.</t>
  </si>
  <si>
    <t>Lakeland Solar and Storage Project</t>
  </si>
  <si>
    <t>Lakeland Solar &amp; Storage Pty Ltd advises that Lakeland Solar and Storage Project (12.5MW) is a committed project.</t>
  </si>
  <si>
    <t>Lilyvale Solar Farm (100 MW) is now reported as committed since FRV Services Australia Pty Ltd advises that it has commenced construction.</t>
  </si>
  <si>
    <t>Longreach Solar Farm</t>
  </si>
  <si>
    <t>Longreach HoldCo Pty Ltd advises that Longreach Solar Farm (15 MW) is a committed project.</t>
  </si>
  <si>
    <t>Mt Emerald Wind Farm</t>
  </si>
  <si>
    <t>Ratch Australia Corporation advises that Mt Emerald Wind Farm (180.5MW) is a committed project.</t>
  </si>
  <si>
    <t>Oakey 1 Solar Farm</t>
  </si>
  <si>
    <t>Oakey 1 AssetCo Pty Ltd advises that Oakey 1 Solar Farm (25MW) is a committed project.</t>
  </si>
  <si>
    <t>Ross River Solar Farm (116MW) is now reported as a committed project since Ross River Operations Pty Ltd advises that it has commenced construction.</t>
  </si>
  <si>
    <t>Rugby Run Solar Farm (65MW) is now reported as a committed project sinceAdani Rugby Run Pty Ltd advises that it has commenced construction.</t>
  </si>
  <si>
    <t>Sun Metals Solar Farm</t>
  </si>
  <si>
    <t>Sun Metals Solar Farm (124MW) is now reported as a committed project since Sun Metals Corporation Pty Ltd advises that it has commenced construction.</t>
  </si>
  <si>
    <t>Sunshine Coast Solar Farm</t>
  </si>
  <si>
    <t>Sunshine Coast Regional Council advises that Sunshine Coast Solar Farm (15 MW) is a committed project.</t>
  </si>
  <si>
    <t>Tableland Mill</t>
  </si>
  <si>
    <t>MSF Sugar advises Tableland Mill (24 MW) is a committed project.</t>
  </si>
  <si>
    <t>Whitsunday</t>
  </si>
  <si>
    <t>Whitsunday Solar Farm Pty Ltd advises that Whitsunday (57.5MW) is a committed project.</t>
  </si>
  <si>
    <t>Lincoln Gap Wind Farm Stage 1</t>
  </si>
  <si>
    <t>Lincoln Gap Wind Farm Pty Ltd advises that Lincoln Gap Wind Farm Stage 1 (126 MW) is now a committed project.</t>
  </si>
  <si>
    <t>Willogoleche Power Pty Ltd advises that Willogoleche Wind Farm (119 MW) is now a committed project.</t>
  </si>
  <si>
    <t>Hornsdale Power Reserve</t>
  </si>
  <si>
    <t>Hornsdale Power Reserve Pty Ltd advises that Hornsdale Power Reserve Unit 1 (100 MW / 129 MWh) battery storage is operational.</t>
  </si>
  <si>
    <t>Hornsdale Wind Farm Stage 2</t>
  </si>
  <si>
    <t>HWF2 Pty Ltd advises that Hornsdale Wind Farm Stage 2 (102 MW) is operational.</t>
  </si>
  <si>
    <t>Hornsdale Wind Farm Stage 3</t>
  </si>
  <si>
    <t>HWF3 Pty Ltd advises that Hornsdale Wind Farm Stage 3 (109 MW) is operational.</t>
  </si>
  <si>
    <t>Hydro Tasmania advises that the Tamar Valley CCGT (208 MW) will be withdrawn after April 2018, but is available for operation with less than 3 months' notice.</t>
  </si>
  <si>
    <t>Gannawarra Solar Farm Pty Ltd advises that Gannawarra Solar Farm has increased from 50 MW to 55 MW.</t>
  </si>
  <si>
    <t>Foresight Solar Australia Pty Ltd advises that Bannerton Solar Park (88 MW) is now a committed project.</t>
  </si>
  <si>
    <t>Energy Pacific Vic Pty Ltd advises that Crowlands Wind Farm (80 MW) is now a committed project.</t>
  </si>
  <si>
    <t>Kiata Wind Farm</t>
  </si>
  <si>
    <t>Kiata Wind Farm Pty Ltd advises that Kiata Wind Farm (31.05 MW) is now a committed project.</t>
  </si>
  <si>
    <t>Loy Yang B (upgrade)</t>
  </si>
  <si>
    <t>Loy Yang B upgrade (78 MW) is now reported as committed since Alinta advises that it has commenced construction.</t>
  </si>
  <si>
    <t>Acciona Energy advises that Mt Gellibrand (132 MW) is a committed project.</t>
  </si>
  <si>
    <t>Swan Hill Solar Farm</t>
  </si>
  <si>
    <t>Swan Hill Solar Farm (15 MW) is now reported as committed since Solar PowerStation Victoria Pty Ltd advises that it has commenced construction.</t>
  </si>
  <si>
    <t>Yatpool Solar Farm (81 MW) is now reported as committed since Overland Sun Farming Pty Ltd advises that it has commenced construction.</t>
  </si>
  <si>
    <t>Mugga Lane Solar Park</t>
  </si>
  <si>
    <t>Mugga Lane Solar Park Pty Ltd advises that Mugga Lane Solar Park (13 MW) is now an existing generator with full commercial operation having commenced in 2017.</t>
  </si>
  <si>
    <t>Gullen Range Solar Farm</t>
  </si>
  <si>
    <t>New Gullen Range Wind Farm Pty Ltd advises that Gullen Range Solar Farm (10 MW) is now a committed project.</t>
  </si>
  <si>
    <t>Manildra Photovoltaic Solar Farm</t>
  </si>
  <si>
    <t>Manildra Prop Pty Ltd as trustee for the Manildra Asset Trust advises that Manildra Photovoltaic Solar Farm (50 MW) is now a committed project.</t>
  </si>
  <si>
    <t>Barcaldine Remote Community Solar Farm</t>
  </si>
  <si>
    <t>Barcaldine Remote Community Solar Farm Pty Ltd advises that Barcaldine Remote Community Solar Farm (20 MW) is now completed with full commercial having commenced in April 2017.</t>
  </si>
  <si>
    <t>Callide A</t>
  </si>
  <si>
    <t>Oxyfuel Technologies Pty Ltd advises that Callide A (30 MW) has been permanently decommissioned (withdrawn) since March 2015 and will be demolished and deregistered from the network in the future.</t>
  </si>
  <si>
    <t>Grosvenor 1</t>
  </si>
  <si>
    <t>EDL Projects Australia Pty Ltd advises that Grosvenor 1 (21 MW) is now an existing generator with full commercial operation having commenced in April 2017.</t>
  </si>
  <si>
    <t>Stanwell Corporation Limited advises that Swanbank E GT (385 MW) is currently in cold storage and at this time is scheduled to return to service on 1 December 2018.</t>
  </si>
  <si>
    <t>Clare Asset Co Pty Ltd (the Trustee for Clare Asset Trust) advises that the Clare Solar Farm (total of 150 MW nameplate) is a committed project.</t>
  </si>
  <si>
    <t>Conergy advises that the committed Cook Shire Solar Storage Project is now called Lakeland Solar and Storage Project, with an updated nameplate capacity of 12.5 MW.</t>
  </si>
  <si>
    <t>Ratch Australia advises that Mount Emerald (180.5 MW) is now a committed project with full commercial use expected September 2018.</t>
  </si>
  <si>
    <t>Whitsunday Solar Farm</t>
  </si>
  <si>
    <t>Whitsunday Solar Farm Pty Ltd advises that Whitsunday Solar Farm (57.5 MW) is now a committed project, with full commercial use expected March 2018.</t>
  </si>
  <si>
    <t>Pelican Point Power Limited advises that Pelican Point (478 MW) is currently operating at half capacity (239 MW), but will make the full capacity available to market as of July 1 2017.</t>
  </si>
  <si>
    <t>HWF 3 Pty Ltd advises that Hornsdale Wind Farm Stage 3 (109 MW) is now a committed project.</t>
  </si>
  <si>
    <t>Bastyan Power Station</t>
  </si>
  <si>
    <t>Hydro-Electric Corporation advises that Bastyan's available capacity will be (zero) 0 MW during summer 2021-22.</t>
  </si>
  <si>
    <t>Gordon Power Station</t>
  </si>
  <si>
    <t>Hydro-Electric Corporation advises that Gordon's available capacity will reduced to 371 MW (-25) MW during summer and winter due to lower storage levels. Also, the station will undergo the following outages:.</t>
  </si>
  <si>
    <t>Lake Echo Power Station</t>
  </si>
  <si>
    <t>Hydro-Electric Corporation advises that Lake Echo's available capacity will be (zero) 0 MW during winter 2018, 2019, 2020 and 2024.</t>
  </si>
  <si>
    <t>Lemonthyme/Wilmot Power Station</t>
  </si>
  <si>
    <t>Hydro-Electric Corporation advises that Lemonthyme/Wilmot's available capacity will be 54 MW during summer 2017-18 and summer 2020-21, and 32 MW during summer 2019-20.</t>
  </si>
  <si>
    <t>Reece Power Station</t>
  </si>
  <si>
    <t>Hydro-Electric Corporation advises that Reece's available capacity will be 116 MW during summer 2023-24 and 2025-26 due to an outage.</t>
  </si>
  <si>
    <t>Hydro Tasmania advises that the Tamar Valley CCGT (208 MW) will be withdrawn after May 2017, but is available for operation with less than 3 months' notice.</t>
  </si>
  <si>
    <t>Longford</t>
  </si>
  <si>
    <t>Longford Gas Plant advises that Longford has increased its total nameplate capacity from 32 MW to 45 MW in December 2016.</t>
  </si>
  <si>
    <t>Ararat</t>
  </si>
  <si>
    <t>Ararat Wind Farm Pty Ltd advises that Ararat (240MW) is now completed and is undergoing commissioning tests with full commercial operation having commenced in May 2017.</t>
  </si>
  <si>
    <t>Hazelwood</t>
  </si>
  <si>
    <t>Hazelwood Power advises that Hazelwood Power Station (1600 MW) has closed operations at the end of March 2017 and is undergoing decommissioning.</t>
  </si>
  <si>
    <t>Gannawarra Solar Farm Pty Ltd advises that Gannawarra Solar Farm (50 MW) is now a committed project, with full commercial use expected April 2018.</t>
  </si>
  <si>
    <t>Yaloak South</t>
  </si>
  <si>
    <t>Energy Pacific Vic Pty Ltd advises that Yaloak South (28.7 MW) is now a committed project.</t>
  </si>
  <si>
    <t>Granville Harbour Wind Farm</t>
  </si>
  <si>
    <t>Granville Harbour Wind Farm (111.6 MW) is now reported as committed as Palisade Investment Partners Pty Ltd advises construction has commenced.</t>
  </si>
  <si>
    <t>Woodlawn Bioreactor Energy Generation (expansion)</t>
  </si>
  <si>
    <t>AEMO has corrected the capacity totals shown below to include this existing new development (7.455 MW) in the Biomass (Proposed) category.</t>
  </si>
  <si>
    <t>Williamsdale Solar Farm</t>
  </si>
  <si>
    <t>OneSun advises that Williamsdale Solar Farm (10MW) is now completed and is undergoing commissioning tests with full commercial operation expected in March 2017.</t>
  </si>
  <si>
    <t>Griffith Solar Farm</t>
  </si>
  <si>
    <t>Griffith Solar Farm Pty Ltd advises that Griffith Solar Farm (29 MW) is now a committed project.</t>
  </si>
  <si>
    <t>Parkes Solar Farm</t>
  </si>
  <si>
    <t>Parkes Solar Farm Pty Ltd advises that Parkes Solar Farm (55 MW) is now a committed project.</t>
  </si>
  <si>
    <t>HWF2 Pty Ltd advises that Hornsdale Wind Farm Stage 2 is undergoing construction and first/early generation happened on the 21st of February of 2017. Practical Completion under the EPC Contract is expected on 08/06/17 and Full Commercial Operation (FiT ACT Government) will commence on 01/12/18.</t>
  </si>
  <si>
    <t>Hydro Tasmania advises that the Tamar Valley CCGT (208 MW) has returned to service in summer 2016-17. It will be withdrawn after summer 2016-17, but available for operation with less than 3 months' notice.</t>
  </si>
  <si>
    <t>Kiata Wind Farm Pty Ltd advises that Kiata Wind Farm (31.05 MW) is now a committed project with full commercial use expected December 2017.</t>
  </si>
  <si>
    <t>AEMO has corrected the entry on the worksheet titled 'Existing NS Generation' to show OCGT for the Technology Type. This also updates the capacity totals shown below, moving 42 MW of Existing/Existing less announced withdrawal capacity from the "Other" category to the "OCGT" category.</t>
  </si>
  <si>
    <t>Mackay GT Power Station</t>
  </si>
  <si>
    <t>Stanwell Corporation advises that Mackay GT (34 MW) will be retired at the end of financial year 2020-21.</t>
  </si>
  <si>
    <t>EDL OCI advises that Oaky Creek 2 (15 MW) is now completed and in full commercial operation since August 2016.</t>
  </si>
  <si>
    <t>Stanwell advises that Swanbank E will no longer be returned to service on 01/07/2017 – Expected to return in Summer 2018.</t>
  </si>
  <si>
    <t>Hornsdale Wind Farm Stage 1</t>
  </si>
  <si>
    <t>HWF1 Pty Ltd advises that Hornsdale Wind Farm Stage 1 (102.4 MW) is now completed and undergoing commissioning tests.</t>
  </si>
  <si>
    <t>Waterloo</t>
  </si>
  <si>
    <t>Waterloo Windfarm Pty Ltd advises that the Waterloo Wind Farm expansion (+19.8 MW) is now completed and undergoing commissioning tests.</t>
  </si>
  <si>
    <t>Hydro Tasmania advises that the Tamar Valley CCGT (208 MW) is available for operation with less than 3 months' notice and will next return to service in summer 2016-17.</t>
  </si>
  <si>
    <t>Hazelwood Power advises that Hazelwood Power Station will cease generation at the end of March 2017.</t>
  </si>
  <si>
    <t>Moree Solar Farm</t>
  </si>
  <si>
    <t>Moree Solar Farm Pty Ltd advises that Moree Solar Farm (56 MW) has been completed and is in full commercial operation since late March 2016.</t>
  </si>
  <si>
    <t>New Development</t>
  </si>
  <si>
    <t>Gullen Solar Project, Narromine Solar Farm, South Keswick Solar Farm, Boco Rock Wind Farm (expansion), Woodlawn Bioreactor Energy Generation (expansion).</t>
  </si>
  <si>
    <t>Zhenfa Canberra Solar Farm One advises that Mugga Lane Solar Park (13MW) is a committed project.</t>
  </si>
  <si>
    <t>White Rock Wind Farm</t>
  </si>
  <si>
    <t>Goldwind Australia advises that White Rock Wind Farm (175 MW) is a committed project.</t>
  </si>
  <si>
    <t>Elementus Energy Ptd Ltd. advises that Williamsdale Solar Farm (10MW) is a committed project.</t>
  </si>
  <si>
    <t>Stanwell Corporation advised that Mackay GT (30 MW) will no longer be retired at the end of financial year 2016-17.</t>
  </si>
  <si>
    <t>Mt Stuart Power Station</t>
  </si>
  <si>
    <t>Origin Energy advised that Mt Stuart Power Station (419 MW) will no longer retire in July 2023.</t>
  </si>
  <si>
    <t>Clare Solar Farm, Lilyvale Solar Farm.</t>
  </si>
  <si>
    <t>Cook Shire Solar Storage Project</t>
  </si>
  <si>
    <t>Lyon Infrastructure Investments advises that Cook Shire Solar Storage Project (28MW) is a committed project.</t>
  </si>
  <si>
    <t>EDL OCI advises that Oaky Creek 2 (15MW) is a committed project.</t>
  </si>
  <si>
    <t>Angaston</t>
  </si>
  <si>
    <t>Lumo Generation SA Pty Ltd. advises that Angaston Power Station (50 MW) has changed registration status from Non-Scheduled to Scheduled.</t>
  </si>
  <si>
    <t>Aurora Solar Energy Project, Bungala Solar Power Project, Port Augusta Solar, Yorke Peninsula Biomass.</t>
  </si>
  <si>
    <t>Northern Power Station</t>
  </si>
  <si>
    <t>Alinta Energy advises that Northern Power Station (546 MW) has closed operations in May 2016.</t>
  </si>
  <si>
    <t>Playford B Power Station</t>
  </si>
  <si>
    <t>Alinta Energy advises that Playford B Power Station (240 MW) has closed operations in May 2016.</t>
  </si>
  <si>
    <t>Torrens Island Power Station A</t>
  </si>
  <si>
    <t>AGL Energy advises that it will defer the previously planned mothballing of four generating units from its Torrens Island A Power Station (480 MW) in June 2016.</t>
  </si>
  <si>
    <t>Hornsdale Wind Farm (Stage 2)</t>
  </si>
  <si>
    <t>HWF 2 advises that Stage 2 of Hornsdale Wind Farm (102.4 MW) is a committed project.</t>
  </si>
  <si>
    <t>Waterloo Expansion</t>
  </si>
  <si>
    <t>Waterloo Windfarm Ptd Ltd. advises that Waterloo Expansion Wind Farm (19.8 MW) is a committed project.</t>
  </si>
  <si>
    <t>Bell Bay Power Station</t>
  </si>
  <si>
    <t>Hydro Tasmania advises that Bell Bay Power Station (105 MW) will no longer be withdrawn from service from 1 January 2018 onwards.</t>
  </si>
  <si>
    <t>Hydro Tasmania advises that Tamar Valley CCGT (208 MW) has been withdrawn from service since May 2016.</t>
  </si>
  <si>
    <t>Mallee Solar Park, Kiata Wind Farm.</t>
  </si>
  <si>
    <t>Acciona Energy advises that Mt Gellibrand Stage 1 (66 MW) is a committed project.</t>
  </si>
  <si>
    <t>Moree Solar Farm advises that Moree Solar Farm (56 MW) full commercial operation is planned for the end of March 2016.</t>
  </si>
  <si>
    <t>Gidginbung Solar Farm, White Rock Solar Farm, Manildra Solar Farm, Capital Solar Farm, Parkes Solar Farm, Griffith Solar Farm, Dubbo Solar Hub, Griffith Solar Farm.</t>
  </si>
  <si>
    <t>SmithField Energy Facility</t>
  </si>
  <si>
    <t>Smithfield Power Partnership advises that SmithField Energy Facility 170.9 MW) is to close on 31 July 2017.</t>
  </si>
  <si>
    <t>Barcaldine Power Station</t>
  </si>
  <si>
    <t>Correction on the 18-MW Steam Turbine being already decommissioned.</t>
  </si>
  <si>
    <t>Kogan Creek Solar Boost</t>
  </si>
  <si>
    <t>CS Energy stated that the solar boost will not be completed.</t>
  </si>
  <si>
    <t>Stanwell Corporation advised that Mackay GT will be retired at the end of financial year 2016-17.</t>
  </si>
  <si>
    <t>Oakey Solar Farm, Longreach Solar Farm, Baralaba Solar Farm, Kidston Solar Project, Ebenezer Solar Project, North Queensland Solar Farm, Kennedy Energy Park, Darling Downs Solar Farm, Hughenden Sun Farm, Collinsville Solar Power Station, Landfill Gas Industries biogas-fired generators, Barcaldine Remote Community Solar Farm are added to the list.</t>
  </si>
  <si>
    <t>Swanbank E</t>
  </si>
  <si>
    <t>has been placed into cold storage until 1 July 2017. So at this stage will be available in July 2017, Summer 2018 and beyond.</t>
  </si>
  <si>
    <t>Tarong Power Station</t>
  </si>
  <si>
    <t>Stanwell Corporation advises that Tarong Unit 2 has returned to service.</t>
  </si>
  <si>
    <t>Leigh Creek Energy Project, Lincoln Gap Wind Farm, Mount Hill, Palmer Wind Farm, Pelican Point S2, Port Augusta Renewable Energy Park, Stony Gap, Waterloo, Willogoleche, Woakwine Wind Farm, Kingfisher solar storage project, Roxby Downs Solar Farm, Yorke Peninsula Biomass Energy, Infratech’s floating PV plant, are added to the list.</t>
  </si>
  <si>
    <t>Alinta Energy advises that Northern Power Station (546 MW) is planned to cease generation around March – May 2016.</t>
  </si>
  <si>
    <t>Alinta Energy advises that Playford B Power Station (240 MW) is planned to will retire around March - May 2016.</t>
  </si>
  <si>
    <t>Hornsdale Wind Farm (Stage 1)</t>
  </si>
  <si>
    <t>HWF 1 Pty Ltd advises that Stage 1 of Hornsdale Wind Farm (102.4 MW) is a committed project. Full commercial operation is expected in November 2016.</t>
  </si>
  <si>
    <t>Bell Bay Three Power Station</t>
  </si>
  <si>
    <t>Hydro Tasmania have advised that Bell Bay Three Power Stations available capacity will be 105 MW (15 MW) for Summer 2015-16, 2016-17 and Winter 2016, 2017. Hydro Tasmania also advised the power station is to be withdrawn from service from 1 January 2018 and onwards.</t>
  </si>
  <si>
    <t>Hydro Tasmania have advised that Tamar Valley CCGT (208 MW) unit has been recommissioned and running since 19 January 2016.</t>
  </si>
  <si>
    <t>Tamar Valley OCGT</t>
  </si>
  <si>
    <t>Hydro Tasmania have advised that Tamar Valley Peaking (58 MW) unit is currently withdrawn and is to return back to service in April 2016.</t>
  </si>
  <si>
    <t>Ararat Wind Farm</t>
  </si>
  <si>
    <t>Ararat Wind Farm Pty Ltd advises that Ararat wind farm (240 MW) is to be in full commercial operation expected in May 2017.</t>
  </si>
  <si>
    <t>Coonooer Bridge Wind Farm</t>
  </si>
  <si>
    <t>Windlab Systems Pty Ltd advises that Coonooer Bridge wind farm (19.8 MW) is now a committed project. Full commercial operation is expected in March 2016.</t>
  </si>
  <si>
    <t>Leigh Creek Energy Project, Lincoln Gap Wind Farm, Mount Hill, Palmer Wind Farm, Pelican Point S2, Port Augusta Renewable Energy Park, Stony Gap, Waterloo, Willogoleche, Woakwine Wind Farm, Kingfisher solar storage project, Roxby Downs Solar Farm, Yorke Peninsula Biomass Energy, Infratech’s floating PV plant, Epuron Uluru PV plant are added to the list.</t>
  </si>
  <si>
    <t>Broken Hill Solar Plant</t>
  </si>
  <si>
    <t>AGL PV Solar Development Pty Limited advises that Broken Hill Solar Plant (53 MW) has been in full commercial operation since October 2015.</t>
  </si>
  <si>
    <t>Pelican Point Power Station</t>
  </si>
  <si>
    <t>Pelican Point Power Limited advises Pelican Point Power Station’s available capacity has been reduced to 0 MW (-239 MW) in winter 2016 given the current dynamics and outlook in the electricity and gas markets.</t>
  </si>
  <si>
    <t>Alinta Energy advises that Northern Power Station (546 MW) is planned to cease generation around 31 March 2016.</t>
  </si>
  <si>
    <t>Alinta Energy advises that Playford B Power Station (240 MW) is planned to cease generation around 31 March 2016.</t>
  </si>
  <si>
    <t>Point Paterson Project</t>
  </si>
  <si>
    <t>Acquasol Infrastructure Pty Ltd advises that the proposed Point Paterson Projects has been put on hold.</t>
  </si>
  <si>
    <t>Port Augusta Renewable Energy Park</t>
  </si>
  <si>
    <t>DP Energy advises of the Port Augusta Renewable Energy Park wind and solar project totalling 375 MW.</t>
  </si>
  <si>
    <t>Hornsdale Wind Farm Pty Ltd advises that Stage 1 of Hornsdale Wind Farm (102.4 MW) is a committed project. Full commercial operation is expected in November 2016.</t>
  </si>
  <si>
    <t>Liddell Power Station</t>
  </si>
  <si>
    <t>AGL Energy Limited advises that Liddell C Power Station (2000 MW) is to shut down in 2022.</t>
  </si>
  <si>
    <t>Nyngan Solar Plant</t>
  </si>
  <si>
    <t>AGL Energy Limited advises the Nyngan Solar Plant(102 MW) has been completed and in full commercial operation since July 2015.</t>
  </si>
  <si>
    <t>Redbank Power Station</t>
  </si>
  <si>
    <t>Redbank Energy Ltd advises that Redbank Power Station (143.8 MW black coal) has been removed from service from August 2014 and shut down. There are no future plans at this stage for Redbank to return to service.</t>
  </si>
  <si>
    <t>Smithfield Power Partnership advises that SmithField Energy Facility 170.9 MW) is to retire in 2017.</t>
  </si>
  <si>
    <t>Taralga Wind Farm</t>
  </si>
  <si>
    <t>CBD Energy/Banco Santander advises that Taralga Wind Farm (106.7 MW) has been completed and in full commercial operation since May 2015.</t>
  </si>
  <si>
    <t>Wallerawang C Power Station</t>
  </si>
  <si>
    <t>EnergyAustralia advises that Wallerawang C Power Station (1000 MW black coal) has permanently closed in November 2014.</t>
  </si>
  <si>
    <t>Stanwell Corporation advises that the Tarong station will revise its available capacity revised to 1400 MW (+350 MW) in winter 2016, due to the return of service of Unit 2 (DUID TARONG#2).</t>
  </si>
  <si>
    <t>Alinta Energy advised in June 2015 that Northern Power Station would retire by March 2018 at the latest, but not before March 2016. In late July Alinta Energy advised that Northern Power Station will retire by March 2017.</t>
  </si>
  <si>
    <t>Alinta energy advises that Playford B power station (240 MW) will retire by April 2017.</t>
  </si>
  <si>
    <t>Hydro Tasmania have advised that Bell Bay Three Power Stations available capacity will be 75 MW (-45 MW) for Summer 2015-16, 2016-17 and Winter 2016, 2017. Hydro Tasmania also advised the power station is to be withdrawn from service from 1 January 2018 and onwards.</t>
  </si>
  <si>
    <t>Hydro Tasmania have advised that Tamar Valley CCGT (208 MW) unit is currently in dry lay up. On 13 August 2015, the Tasmanian Government gave approval for Hydro Tasmania to decommission and sell the combined cycle gas turbine.</t>
  </si>
  <si>
    <t>Tamar Valley Peaking</t>
  </si>
  <si>
    <t>Hydro Tasmania have advised that Tamar Valley Peaking (58 MW) unit is currently withdrawn and is to return back to service in June 2016.</t>
  </si>
  <si>
    <t>Loy Yang A</t>
  </si>
  <si>
    <t>AGL Energy advises Loy Yang A Power Station has revised its available capacity to 2070 MW (-30 MW) in summer due to change in performance re-evaluation. Also, revised its available capacity to 2210 MW (-60 MW) in winter due to the difficulty of producing maximum daily capacity for extended periods.</t>
  </si>
  <si>
    <t>AGL Energy advises Loy Yang B Power Station has revised its available capacity to 980 MW (+15 MW) in summer due to increase in condenser vacuum limit. Also, revised its available capacity to 1070 MW (+20 MW) in winter due to increase in condenser vacuum limit.</t>
  </si>
  <si>
    <t>Yallourn W Power Station</t>
  </si>
  <si>
    <t>EnergyAustralia Holdings Pty Ltd advises Yallourn W Power Station has revised its available capacity to 1516 MW (+12 MW) in summer due to turbine upgrades.</t>
  </si>
  <si>
    <t>Ararat Wind Farm Pty Ltd advises that Ararat wind farm (240 MW) is to start construction in July 2015 with full commercial operation expected in May 2017.</t>
  </si>
  <si>
    <t>Morwell/Energy Brix</t>
  </si>
  <si>
    <t>Energy Brix Australia Corporation Pty Ltd advises Morwell/Energy Brix Power Station has temporarily closed its operations from August 2014.</t>
  </si>
  <si>
    <t>Anglesea Power Station</t>
  </si>
  <si>
    <t>Alcoa of Australia Limited advises Anglesea Power Station will retire from service from 31 August 2015 and to be decommissioned.</t>
  </si>
  <si>
    <t>Ararat Wind Farm Pty Ltd advises that Ararat wind farm (240 MW) is to start construction in July 2015 with full commercial operation expected in May 2016.</t>
  </si>
  <si>
    <t>Windlab Systems Pty Ltd advises that Coonooer Bridge wind farm (19.8 MW) is to start construction in April 2015 with full commercial operation expected in March 2016.</t>
  </si>
  <si>
    <t>Portland Stage 4 Cape Nelson North and Cape Sir William Grant</t>
  </si>
  <si>
    <t>Pacific Hydro Portland Wind Farm Pty Ltd advises that Portland Stage 4 (47.15 MW) project is completed and in full commercial operation since end of Feb 2015.</t>
  </si>
  <si>
    <t>Boco Rock Wind Farm</t>
  </si>
  <si>
    <t>Boco Rock Wind Farm Pty Ltd advises that Boco Rock Wind Farm (113 MW) has been completed and in full commercial operation since March 2015.</t>
  </si>
  <si>
    <t>Gullen Range Solar Project</t>
  </si>
  <si>
    <t>Goldwind Australia Pty Ltd advises has announced plans to add a solar plant at the Gullen Range wind farm site.</t>
  </si>
  <si>
    <t>Moree Solar Farm advises that Moree Solar Farm (56 MW) is under construction since November 2014 and full commercial operation is planned for the end of March 2016.</t>
  </si>
  <si>
    <t>Royalla Solar Farm</t>
  </si>
  <si>
    <t>Royalla Asset Pty Ltd ATF Royalla Asset Trust advises that Royalla Solar Farm(20 MW) has been completed and in full commercial operation since February 2015.</t>
  </si>
  <si>
    <t>CBD Energy/Banco Santander advises that Taralga Wind Farm (106.7 MW) is under construction and full commercial operation is planned for May 2015.</t>
  </si>
  <si>
    <t>Wilga Park Power Station B</t>
  </si>
  <si>
    <t>Santos advises the Wilga Park Power Station B (6 MW) project has been completed and in full commercial operation since January 2015.</t>
  </si>
  <si>
    <t>Kidston Pumped Storage Hydro Project</t>
  </si>
  <si>
    <t>Genex Power announces the Kidston Pumped Hydro Storage capacity is revised to 330 MW.</t>
  </si>
  <si>
    <t>CS Energy advises that the Kogan Creek Solar Boost project (44 MW) due to be completed in late 2016.</t>
  </si>
  <si>
    <t>Pelican Point Power Limited advises that Pelican Point Power Station is to reduce the stations capacity to half from 1 April 2015 with unit 2 only being available on a 48 hour recall.</t>
  </si>
  <si>
    <t>Hornsdale Wind Farm Pty Ltd advises construction to start in October 2015 and full commercial operation expected in November 2017.</t>
  </si>
  <si>
    <t>AGL Energy advises that Torrens Island Power Station is to be taken out of service in 2017.</t>
  </si>
  <si>
    <t>Gullen Range Wind Farm</t>
  </si>
  <si>
    <t>Gullen Range Wind Farm Pty Ltd advises that Gullen Range Wind Farm (165.5 MW) project has been completed and in full commercial operation since November 2014.</t>
  </si>
  <si>
    <t>EnergyAustralia advises that Wallerawang C Power Station (1000 MW black coal) has been removed from service in January 2014 (Unit 8 500 MW) and March 2014 (Unit 7 500 MW), and will permanently closed and decommissioned.</t>
  </si>
  <si>
    <t>Santos advises the Wilga Park Power Station B (6 MW) project has been completed and in full commercial operation since September 2014.</t>
  </si>
  <si>
    <t>Boco Rock Wind Farm Pty Ltd advises that Boco Rock Wind Farm (113 MW) is a committed project. Construction of the first phase at the site has commenced and commissioning is planned for January 2015.</t>
  </si>
  <si>
    <t>Moree Solar Farm advises that Moree Solar Farm (56 MW) is a committed project. Construction commenced in November 2014 and commissioning is planned for February 2016.</t>
  </si>
  <si>
    <t>Royalla Asset Pty Ltd ATF Royalla Asset Trust advises that Royalla Solar Farm(20 MW) is a committed project. Construction has commenced, and full commissioning is planned for February 2015.</t>
  </si>
  <si>
    <t>CBD Energy/Banco Santander advises that Taralga Wind Farm (106.7 MW) is a committed project. Construction at the site has commenced and commissioning is planned for May 2015.</t>
  </si>
  <si>
    <t>Swanbank E Gas Power Station</t>
  </si>
  <si>
    <t>Stanwell Corporation advises that the existing scheduled Swanbank E Gas Power Station (385 MW combined cycle gas turbine) will be placed in cold storage from December 2014.</t>
  </si>
  <si>
    <t>Alinta Energy advises that Northern Power Station Returned back to normal service in October 2014.</t>
  </si>
  <si>
    <t>Snowtown S2</t>
  </si>
  <si>
    <t>TrustPower advises that the Snowtown 2 wind farm (270 MW) project is now completed and in full commercial operation since November 2014.</t>
  </si>
  <si>
    <t>Cethana Power Station</t>
  </si>
  <si>
    <t>Hydro-Electric Corporation advises that Cethana’s available capacity will be (zero) 0 MW during summer 2014-15, specifically between 5/1/2015 and 21/9/2015 due to a major refurbishment project.</t>
  </si>
  <si>
    <t>AETV advises that Tamar Valley Combined Cycle's available capacity will be (zero) 0 MW during winter 2015 and winter 2016 due to winter layover (dry storage) specifically between 1/1/2015 and 19/4/2015 and then 24/4/2015 until 18/4/2016 and then again between 22/4/2016 and 31/12/2016.31/12/2015 and then again between 1/4/2016 and 31/12/2016.</t>
  </si>
  <si>
    <t>Tamar Valley OCGT (Bell Bay Three &amp; TVPP104)</t>
  </si>
  <si>
    <t>Hydro-Electric Corporation advises that TVPP104 available capacity will be (zero) 0 MW during summer 2015-16, specifically between 4/9/2015 and 4/3/2016 due to a major outage.</t>
  </si>
  <si>
    <t>Tarraleah Power Station</t>
  </si>
  <si>
    <t>Hydro-Electric Corporation advises that Tarraleah’s available capacity will be:.</t>
  </si>
  <si>
    <t>Tungatinah Power Station</t>
  </si>
  <si>
    <t>Hydro-Electric Corporation advises that Tungatinah’s available capacity will be:.</t>
  </si>
  <si>
    <t>Energy Brix Australia Corporation Pty Ltd advises Morwell/Energy Brix Power Station has been withdrawn from service since August 2014.</t>
  </si>
  <si>
    <t>Mt Mercer Wind Farm</t>
  </si>
  <si>
    <t>Mt Mercer Wind Farm Pty Ltd advises that Mt Mercer wind farm (131.2 MW) project is completed and in full commercial operation since mid 2014.</t>
  </si>
  <si>
    <t>Bald Hills Wind Farm (Phase 1)</t>
  </si>
  <si>
    <t>Mitsui and Co. Australia Ltd advises that Bald Hills wind farm (106.6 MW) is a committed project. The wind farm is under construction with expected commissioning in May 2015.</t>
  </si>
  <si>
    <t>OneSun Capital</t>
  </si>
  <si>
    <t>Elementus Energy Pty Ltd advises that OneSun Capital (10 MW) construction is to commence in October 2014 and commissioning is planned for April 2015.</t>
  </si>
  <si>
    <t>Moree Solar Farm advises that Moree Solar Farm (56 MW) is a committed project. Construction is to commence in July 2014 and commissioning is planned for February 2016.</t>
  </si>
  <si>
    <t>Cook Shire Solar Project</t>
  </si>
  <si>
    <t>Lyon Infrastructure announces the Cook Shire Solar (26 MW) project in far north Queensland. Construction is to commence in December 2014 and commissioning is planned for July 2015.</t>
  </si>
  <si>
    <t>Genex Power announces the Kidston Pumped Hydro Storage (200 MW) project in far north Queensland.</t>
  </si>
  <si>
    <t>Paralana Project</t>
  </si>
  <si>
    <t>Pertatherm Limited advises that Paralana project capacity has been revised to 3.5 MW.</t>
  </si>
  <si>
    <t>Paralana Stage 2</t>
  </si>
  <si>
    <t>Pertatherm Limited advises that Paralana Stage 2 capacity has been revised to 3.5 MW.</t>
  </si>
  <si>
    <t>Alcoa of Australia Limited advises that Anglesea Power Station is changed its registration classification from Non-Scheduled to a Scheduled generator.</t>
  </si>
  <si>
    <t>Mt Mercer Wind Farm Pty Ltd advises that Mt Mercer wind farm has been in full production since July 2014. The commissioning date has been revised to February 2015.</t>
  </si>
  <si>
    <t>Bayswater Power Station</t>
  </si>
  <si>
    <t>Macquarie Generation advises that the Bayswater Power Station available capacity has been revised from 2,720 MW to 2,700 MW (-20 MW) in summer and winter due to a reassessment of plant capacity.</t>
  </si>
  <si>
    <t>Guthega Power Station</t>
  </si>
  <si>
    <t>Snowy Hydro Ltd advises that Guthega's available capacity has been revised from 68 MW to 34 MW (-34 MW) for summer 2022–23, due to major refurbishment of unit 1; and 68 MW to 34 MW (-34 MW) for summer 2023–24, due to major refurbishment of unit 2.</t>
  </si>
  <si>
    <t>Boco Rock Wind Farm Pty Ltd advises that Boco Rock Wind Farm (113 MW) is a committed project. Construction of the first phase at the site has commenced and commissioning is planned for March 2015.</t>
  </si>
  <si>
    <t>AGL PV Solar Development Pty Limited advises that Broken Hill Solar Plant (53 MW) is a committed project. Construction of the 53 MW at the site is to commence in July 2014 and commissioning is planned for August 2015.</t>
  </si>
  <si>
    <t>Stanwell Corporation advises that the Tarong station will revise its available capacity from 700 MW to 1050 MW (+350 MW) in summer 2014, due to the return of service of Unit 4 (DUID TARONG#4) in July 2014. The available capacity will be revised to 1400 MW (+350 MW) in summer 2015, due to the return of service of Unit 2 (DUID TARONG#2) in June 2015.</t>
  </si>
  <si>
    <t>Collinsville Power Station</t>
  </si>
  <si>
    <t>Ratch Australia advised that Collinsville Power Station will be retired in June 2016.</t>
  </si>
  <si>
    <t>Energy infrastructure Investments Pty Ltd advised that Daandine Power Station will be retired in June 2022.</t>
  </si>
  <si>
    <t>Origin Energy Mt Stuart advised that Mt Stuart Power Station will be retired in July 2023.</t>
  </si>
  <si>
    <t>Stanwell Corporation advises that the existing scheduled Swanbank E Gas Power Station (385 MW combined cycle gas turbine) will be placed in cold storage from October 2014.</t>
  </si>
  <si>
    <t>CS Energy advises that the Kogan Creek Solar Boost project (44 MW) is now a committed project and due to be completed in July 2015. Note that the 44 MW capacity is not additional to the 730/744 MW summer/winter capacities of Kogan Creek, rather it is a contribution towards the total generation.</t>
  </si>
  <si>
    <t>Port Macdonnell</t>
  </si>
  <si>
    <t>Oceanlinx Limited advises that the future of the Port Macdonnell (1 MW) wave energy project is uncertain and rests with company receivers. This project remains as a committed project with a commissioning date to be advised.</t>
  </si>
  <si>
    <t>Macarthur</t>
  </si>
  <si>
    <t>AGL Energy advises Macarthur Power Station has revised its available capacity to 315 MW (-105 MW) in summer to reflect the actual behaviour of the wind generation assets during high temperature days.</t>
  </si>
  <si>
    <t>Energy Brix Australia Corporation Pty Ltd advises Morwell/Energy Brix Power Station has revised its available capacity to 65 MW (-10 MW) in summer due to the Morwell mine fire destroying conveyors, thus restricting coal supply.</t>
  </si>
  <si>
    <t>Bald Hill Wind Farm (Phase 1)</t>
  </si>
  <si>
    <t>Mitsui and Co. Australia Ltd advises that Bald Hill wind farm is a committed project. The 106.6 MW wind farm expected commissioning is May 2015.</t>
  </si>
  <si>
    <t>Mt Mercer Wind Farm Pty Ltd advises that Mt Mercer wind farm is a committed project. The 131.2 MW wind farm expected commissioning is July 2014.</t>
  </si>
  <si>
    <t>Pacific Hydro Portland Wind Farm Pty Ltd advises that Portland Stage 4 Cape Nelson North and Cape Sir William Grant wind farm is a committed project. The 47.15 MW wind farm expected commissioning is May 2015.</t>
  </si>
  <si>
    <t>AGL Energy advises Loy Yang A Power Station has revised its available capacity to 2100 MW (-90 MW) in summer due to operational experience in ambient conditions.</t>
  </si>
  <si>
    <t>Jupiter Wind Farm Project</t>
  </si>
  <si>
    <t>EPYC Pty Ltd has announced the Jupiter Wind Farm Project (up to 100 wind turbines). If approved, construction and commissioning of the wind farm near Tarago would be completed by the end of 2016. The capacity of the project is yet to be advised.</t>
  </si>
  <si>
    <t>Wallerawang C</t>
  </si>
  <si>
    <t>EnergyAustralia advises that Wallerawang C unit 7 (500 MW black coal) has been removed from service in January 2014. Unit 8 (500 MW) will remain available until the end of March 2014, and will then be placed on a three-month recall should market conditions change.</t>
  </si>
  <si>
    <t>AGL Engergy Limited advises the Nyngan Solar Plant(102 MW solar) is now classified as a committed project. Construction has commenced, and full commissioning is planned for July 2015.</t>
  </si>
  <si>
    <t>Stanwell Corporation advises that the existing scheduled Swanbank E Gas Power Station (385 MW combined cycle gas turbine) will withdraw from service for up to three years from 1 October 2014.</t>
  </si>
  <si>
    <t>Oceanlinx Limited advises that the Port Macdonnell (1 MW) wave energy project commissioning date was revised to March 2014.</t>
  </si>
  <si>
    <t>AGL Energy Limited advises that both the Broken Hill (53 MW) large-scale solar photovoltaic (PV) project is set to proceed after achieving financial close. Construction of the Broken Hill project is expected to commence in July 2014, and is scheduled to be completed around November 2015.</t>
  </si>
  <si>
    <t>Capital East Solar Farm P1</t>
  </si>
  <si>
    <t>Infigen's Capital East Solar Farm (0.13 MW) demonstration facility project is was completed in June 2013.</t>
  </si>
  <si>
    <t>Mugga Lane Solar Facility</t>
  </si>
  <si>
    <t>Zhenfa Canberra Solar Farm One Pty Ltd advises that Mugga Lane Solar Facility (13 MW) in ACT expects construction to commence in June 2014, with full commissioning planned for Q4 2014.</t>
  </si>
  <si>
    <t>Nyngan</t>
  </si>
  <si>
    <t>AGL Energy Limited advises that both the Nyngan (102 MW) large-scale solar photovoltaic (PV) projects is set to proceed after achieving financial close. Construction of the Nyngan project is expected to commence in February 2014, with completion scheduled by mid 2015.</t>
  </si>
  <si>
    <t>Onesun Capital Solar Farm</t>
  </si>
  <si>
    <t>Elementus Energy Pty Ltd advises that Onesun Capital Solar Farm (7 MW) in ACT expects construction to commence in June 2014, with full commissioning planned for April 2015.</t>
  </si>
  <si>
    <t>Royalla Asset Pty Ltd ATF Royalla Asset Trust advises that Royalla Solar Farm (20 MW) in ACT is now classified as a committed project, and construction at the site has commenced, with full commissioning planned for August 2014.</t>
  </si>
  <si>
    <t>Westlink Power Project</t>
  </si>
  <si>
    <t>Westlink Pty Ltd as trustee for Westlink Industrial Trust advised thatWestlink Power Project (Stage 1-3 up to 1000 MW), has revised construction start estimates by 1 year – from 2015 to 2016 for stage 1, from 2017 to 2018 for stage 2 and from 2019 to 2020 for stage 3. This remains a publicly announced project only.</t>
  </si>
  <si>
    <t>Palmer Wind Farm</t>
  </si>
  <si>
    <t>TrustPower Australia advises that Palmer Wind Farm (up to 390 MW) has been newly announced. At this stage there has been no advice on construction and commissioning dates.</t>
  </si>
  <si>
    <t>Oceanlinx Limited advises that the status of the Port Macdonnell (1 MW) wave energy project is now Committed, with full commissioning in December 2013.</t>
  </si>
  <si>
    <t>Musselroe Wind Farm</t>
  </si>
  <si>
    <t>Hydro Tasmania Wind Operations Pty Ltd advises that Musselroe (168 MW) project was completed in June 2013.</t>
  </si>
  <si>
    <t>TasWind (King Island)</t>
  </si>
  <si>
    <t>Hydro Tasmania advises that the TasWind (King Island) project is publicly announced.</t>
  </si>
  <si>
    <t>Mildura Power Station</t>
  </si>
  <si>
    <t>Solar Systems advises that Mildura Power Station demonstration facility (1.5 MW) project was completed in July 2013.</t>
  </si>
  <si>
    <t>Pacific Hydro Australia advises that Portland Stage 4 Cape Nelson North and Cape Sir William Grant (47.15 MW) construction at the site is to commence in September 2013, with full commissioning planned for September 2015.</t>
  </si>
  <si>
    <t>Boco Rock Wind Farm Pty Ltd advises that this is a committed project. Construction of the first phase of 113 MW at the site has commenced and commissioning is planned for December 2014.</t>
  </si>
  <si>
    <t>CBD Energy/Banco Santander advises that this 106.7 MW Wind Farm is a committed project. Construction at the site has commenced and commissioning is planned for October 2014.</t>
  </si>
  <si>
    <t>Solar Systems advises that Mildura Power Station Stage 2 of the project is to be 100 MW of capacity.</t>
  </si>
  <si>
    <t>Energy Australia advises that the Liddell plant available capacity has been revised from 2,060 MW to 2,020 MW (-40 MW) in summer and winter due to a reassessment of plant capacity.</t>
  </si>
  <si>
    <t>Tallawarra Power Station</t>
  </si>
  <si>
    <t>Energy Australia advises that the Tallawarra plant's available capacity has been revised from 435 MW to 440 MW (+5 MW) in winter.</t>
  </si>
  <si>
    <t>Wallerawang Power Station</t>
  </si>
  <si>
    <t>Energy Australia advises that the Wallerawang plant available capacity has been revised from 500 MW to 1,000 MW (+500 MW) in summer 2013–14, where both units are available dependant on demand.</t>
  </si>
  <si>
    <t>Infigen's Capital East Solar Farm demonstration facility is a committed project. Construction at site has commenced.</t>
  </si>
  <si>
    <t>Gullen Range Wind Farm Pty Ltd advises that this is a committed project. Construction at the site has commenced and commissioning is planned for July 2014.</t>
  </si>
  <si>
    <t>Braemar Power Station</t>
  </si>
  <si>
    <t>Alinta Energy advises that Braemar's available capacity has been revised from 435 MW to 465 MW (+30 MW) in summer (an increase from last years ESOO), due to the regular use of Evaporative Cooling and Peak Firing of the units. These modes of operation result in the units achieving higher levels of output than would be typically expected during periods of high temperature.</t>
  </si>
  <si>
    <t>Darling Downs Power Station</t>
  </si>
  <si>
    <t>Origin Energy advises that Darling Downs available capacity has been revised from 605 MW to 580 MW (-25 MW) in summer, reflecting capability at higher temperatures.</t>
  </si>
  <si>
    <t>CS Energy advises that the Kogan Creek Solar Boost project is now a committed project and due to be completed in Jan 2014.</t>
  </si>
  <si>
    <t>Hallett 4 North Brown Hill</t>
  </si>
  <si>
    <t>AGL advises that Hallett 4 North Brown Hill's available capacity has been revised from 81.9 MW to 99.2 MW (+17.3 MW) in summer,.</t>
  </si>
  <si>
    <t>Hallett Stage 1 Brown Hill</t>
  </si>
  <si>
    <t>AGL advises that Hallett Stage 1 Brown Hill's available capacity has been revised from 58.5 MW to 70.9 MW (+12.4 MW) in summer,.</t>
  </si>
  <si>
    <t>Alinta energy advises that Playford B power station will be available with a recall time of around 90 days.</t>
  </si>
  <si>
    <t>Tungatinah (Upgrade)</t>
  </si>
  <si>
    <t>Hydro-Electric Corporation advises an upgrade to Unit 2, a revamp of the existing unit where some efficiency gains are expected. The upgrade to be completed in November 2013.</t>
  </si>
  <si>
    <t>Hydro-Electric Corporation advises the upgrade to Unit 1 was completed and returned back to service on February 2013. The upgrade was a revamp of the unit where some efficiency gains are expected.</t>
  </si>
  <si>
    <t>Hallam Road Power Station</t>
  </si>
  <si>
    <t>LMS Energy advises that the upgrades to Unit 7 was completed in June 2012 and Unit 8 in November 2012 increasing the capacity by 2.2 MW.</t>
  </si>
  <si>
    <t>Macarthur Wind Farm</t>
  </si>
  <si>
    <t>AGL Energy advises that the 420 MW Macarthur wind farm project was completed in January 2013.</t>
  </si>
  <si>
    <t>Mortons Lane Wind Farm</t>
  </si>
  <si>
    <t>Mortons Lane Windfarm Pty Ltd advises that the 19.5 MW Mortons Lane wind farm project was completed in December 2012.</t>
  </si>
  <si>
    <t>Qenos Cogeneration Facility</t>
  </si>
  <si>
    <t>AGL Energy advises that 21 MW Qenos Cogeneration Facility project was completed in March 2013.</t>
  </si>
  <si>
    <t>Solar Systems advises that Mildura Power Station demonstration facility is a committed project. The 1.5 MW solar plant is under construction and expected completion is July 2013.</t>
  </si>
  <si>
    <t>Mt Mercer Wind Farm Pty Ltd advises that Mt Mercer wind farm is a committed project. The 131.2 MW wind farm expected commissioning is January 2015.</t>
  </si>
  <si>
    <t>Colongra Power Station</t>
  </si>
  <si>
    <t>Delta Electricity advises that the Colongra plant available capacity has been revised from 668 MW to 724 MW (+56 MW) in summer, based on operating with distillate fuel.</t>
  </si>
  <si>
    <t>Energy Australia advises that the Wallerawang plant has revised its available capacity from 1,000 MW to 500 MW (-500 MW) for summer 2013–14 and winter 2013, due to the unit with DUID (dispatchable unit ID) WW7 being unavailable and only being brought back into service under extreme weather conditions.</t>
  </si>
  <si>
    <t>Alinta Energy advises that Braemar's available capacity has been revised from 435 MW to 480 MW (+45 MW) in summer, due to use of Evaporative Cooling and Peak Firing of the units.</t>
  </si>
  <si>
    <t>Millmerran Power Station</t>
  </si>
  <si>
    <t>Millmerran Power Partners advises that the Millmerran plant has revised its available capacity from 856 MW to 760 MW (-96 MW) in summer, based on operating experience on higher temperature days.</t>
  </si>
  <si>
    <t>Poatina Power Station</t>
  </si>
  <si>
    <t>Hydro Tasmania advises that the Poatina plant has revised its available capacity from 300 MW to 342 MW (+42 MW) in summer and winter, based on operating experience.</t>
  </si>
  <si>
    <t>Hydro Tasmania Wind Operations Pty Ltd advises that Musselroe (168 MW) is now a committed project. Construction is expected be completed around June 2013.</t>
  </si>
  <si>
    <t>Eraring Power Station</t>
  </si>
  <si>
    <t>Eraring Energy advises that the upgrade of unit 4 was completed in November 2012.</t>
  </si>
  <si>
    <t>Ratch Australia advises that the Collinsville plant has revised its available capacity from 190 MW to 0 MW (-190 MW) in summer and winter, due to the withdrawal of service of all generation units from 31 December 2012, until wholesale electricity demand improves.</t>
  </si>
  <si>
    <t>Stanwell Corporation advises that the Tarong plant has revised its available capacity from 1,400 MW to 700 MW (-700 MW) in summer and winter, due to the withdrawal of service of Unit 2 (DUID TARONG#2) in October 2012 and Unit 4 (DUID TARONG#4) in December 2012, both for a period of at least two years or until wholesale electricity demand improves.</t>
  </si>
  <si>
    <t>Solar Dawn Project</t>
  </si>
  <si>
    <t>Areva and the Solar Dawn Consortium advised it would no longer develop the proposed 250 MW solar thermal power facility in South-West Queensland.</t>
  </si>
  <si>
    <t>TrustPower advises that the Snowtown 2 project is now in a Committed status. Snowtown Stage 2 project will consist of two separately.</t>
  </si>
  <si>
    <t>Hydro-Electric Corporation advises the upgrade to Unit 1 is committed and scheduled to return to service in December 2012.</t>
  </si>
  <si>
    <t>AGL Energy advises that Qenos Cogeneration Facility is a committed project. The 21 MW combined-cycle gas turbine (CCGT) construction completion achieved in October 2012 and full commissioning at the end of March 2013.</t>
  </si>
  <si>
    <t>Morwell Power Station</t>
  </si>
  <si>
    <t>Energy Brix Australia Corporation Pty Ltd advises that the Morwell plant has revised its available capacity from 104 MW to 75 MW (-29 MW) in summer and winter, due to generation units with DUID MOR1 in operation and generation unit with DUID MOR2 operational when generation unit with DUID MOR1 is under maintenance. Generation unit with DUID MOR3 will be available on a 30 day recall.</t>
  </si>
  <si>
    <t>Existing Generation and New Developments</t>
  </si>
  <si>
    <t>Technology Type</t>
  </si>
  <si>
    <t>Fuel Type</t>
  </si>
  <si>
    <t>Number of Units</t>
  </si>
  <si>
    <t>Nameplate Capacity (MW)</t>
  </si>
  <si>
    <t>Storage Capacity (MWh)</t>
  </si>
  <si>
    <t>Status Bucket Summary</t>
  </si>
  <si>
    <t>Fuel Bucket Summary</t>
  </si>
  <si>
    <t>Survey Version DateTime</t>
  </si>
  <si>
    <t>Project</t>
  </si>
  <si>
    <t>Abermain BESS</t>
  </si>
  <si>
    <t>FIrm Power P/L</t>
  </si>
  <si>
    <t>Storage - Battery</t>
  </si>
  <si>
    <t>Other - Other</t>
  </si>
  <si>
    <t>S</t>
  </si>
  <si>
    <t>Q00086</t>
  </si>
  <si>
    <t>18-03-2025</t>
  </si>
  <si>
    <t>ACT BESS</t>
  </si>
  <si>
    <t>QBYNB1</t>
  </si>
  <si>
    <t>N00010</t>
  </si>
  <si>
    <t>13-03-2025</t>
  </si>
  <si>
    <t>16-09-2025</t>
  </si>
  <si>
    <t>Solar PV - Fixed</t>
  </si>
  <si>
    <t>Solar - Solar</t>
  </si>
  <si>
    <t>SS</t>
  </si>
  <si>
    <t>Solar</t>
  </si>
  <si>
    <t>NS</t>
  </si>
  <si>
    <t>Hydro - Run of River</t>
  </si>
  <si>
    <t>Hydro - Water</t>
  </si>
  <si>
    <t>Alberton Wind Farm</t>
  </si>
  <si>
    <t>Synergy Wind Pty Ltd</t>
  </si>
  <si>
    <t>Wind Turbine - Onshore</t>
  </si>
  <si>
    <t>Wind - Wind</t>
  </si>
  <si>
    <t>26-05-2018</t>
  </si>
  <si>
    <t>200.00 - 400.00</t>
  </si>
  <si>
    <t>Q00118</t>
  </si>
  <si>
    <t>24-09-2025</t>
  </si>
  <si>
    <t>Solar PV - Single axis tracking</t>
  </si>
  <si>
    <t>Q00036</t>
  </si>
  <si>
    <t>Alligator Creek BESS</t>
  </si>
  <si>
    <t>Alligator Creek BESS Pty Ltd</t>
  </si>
  <si>
    <t>Q00239</t>
  </si>
  <si>
    <t>02-07-2025</t>
  </si>
  <si>
    <t>Altona BESS</t>
  </si>
  <si>
    <t>Ausnet Transmission Group Pty Ltd</t>
  </si>
  <si>
    <t>V00085</t>
  </si>
  <si>
    <t>14-03-2025</t>
  </si>
  <si>
    <t>Reciprocating Engine - Compression ignition</t>
  </si>
  <si>
    <t>Fossil - Diesel</t>
  </si>
  <si>
    <t>ANGAST1</t>
  </si>
  <si>
    <t>Appin</t>
  </si>
  <si>
    <t>EDL CSM NSW Pty Ltd</t>
  </si>
  <si>
    <t>Reciprocating Engine - Spark ignition</t>
  </si>
  <si>
    <t>Fossil - Waste Coal Mine Gas</t>
  </si>
  <si>
    <t>APPIN</t>
  </si>
  <si>
    <t>09-10-2024</t>
  </si>
  <si>
    <t>Apsley BESS Project</t>
  </si>
  <si>
    <t xml:space="preserve"> ACENergy Pty Ltd </t>
  </si>
  <si>
    <t>N00063</t>
  </si>
  <si>
    <t>Aquila Wind</t>
  </si>
  <si>
    <t>ACEN Australia Pty Ltd</t>
  </si>
  <si>
    <t>N00038</t>
  </si>
  <si>
    <t>Aramara Solar Farm</t>
  </si>
  <si>
    <t>Aramara Solar Pty Ltd</t>
  </si>
  <si>
    <t>Ararat Wind Farm Pty Ltd</t>
  </si>
  <si>
    <t>ARWF1</t>
  </si>
  <si>
    <t>12-03-2025</t>
  </si>
  <si>
    <t>Ardandra Solar Farm And BESS</t>
  </si>
  <si>
    <t>Ardandra SF Pty Ltd as trustee for Ardandra SF Trust</t>
  </si>
  <si>
    <t>Argoon Wind Farm (RES Group) - KCI</t>
  </si>
  <si>
    <t>04-10-2024</t>
  </si>
  <si>
    <t>Argyle Solar Farm</t>
  </si>
  <si>
    <t>Argyle Solar Farm Pty Ltd</t>
  </si>
  <si>
    <t>Armidale BESS</t>
  </si>
  <si>
    <t>Armidale BESS Project Pty Ltd</t>
  </si>
  <si>
    <t>N00182</t>
  </si>
  <si>
    <t>13-03-2024</t>
  </si>
  <si>
    <t>Armidale BESS (Elgin)</t>
  </si>
  <si>
    <t>N00026</t>
  </si>
  <si>
    <t>03-10-2025</t>
  </si>
  <si>
    <t>Armidale East BESS</t>
  </si>
  <si>
    <t>FRV</t>
  </si>
  <si>
    <t>Arundel BESS</t>
  </si>
  <si>
    <t>N00197</t>
  </si>
  <si>
    <t>19-03-2025</t>
  </si>
  <si>
    <t>Augusta BESS</t>
  </si>
  <si>
    <t>Augusta BESS Pty Ltd</t>
  </si>
  <si>
    <t>21-03-2025</t>
  </si>
  <si>
    <t>Aurora Solar Energy Project - Phase 1</t>
  </si>
  <si>
    <t>SiliconAurora</t>
  </si>
  <si>
    <t>23-03-2023</t>
  </si>
  <si>
    <t>Australia Plains Solar Farm</t>
  </si>
  <si>
    <t>Gree</t>
  </si>
  <si>
    <t>S00015</t>
  </si>
  <si>
    <t>Awaba BESS</t>
  </si>
  <si>
    <t>firmpower_NR</t>
  </si>
  <si>
    <t>Axedale Solar Farm</t>
  </si>
  <si>
    <t>UPC Renewables Australia</t>
  </si>
  <si>
    <t>V00025</t>
  </si>
  <si>
    <t>Bairnsdale</t>
  </si>
  <si>
    <t>Alinta DEBO</t>
  </si>
  <si>
    <t>Turbine - OCGT</t>
  </si>
  <si>
    <t>Fossil - Natural Gas Pipeline</t>
  </si>
  <si>
    <t>BDL01</t>
  </si>
  <si>
    <t>11-03-2025</t>
  </si>
  <si>
    <t>BDL02</t>
  </si>
  <si>
    <t>Bairnsdale BESS</t>
  </si>
  <si>
    <t>Bison Energy</t>
  </si>
  <si>
    <t>Baking Board BESS (MMT)</t>
  </si>
  <si>
    <t>MMT Projects T/A Renewable Projects Management</t>
  </si>
  <si>
    <t>Q00144</t>
  </si>
  <si>
    <t>24-01-2024</t>
  </si>
  <si>
    <t>Baking Board Solar Farm (MMT)</t>
  </si>
  <si>
    <t>Baking Board Solar Farm Chinchilla</t>
  </si>
  <si>
    <t>Chinchilla Solar Pty Ltd</t>
  </si>
  <si>
    <t>BAKING1</t>
  </si>
  <si>
    <t>24-09-2024</t>
  </si>
  <si>
    <t>Bald Hills Wind Farm</t>
  </si>
  <si>
    <t>Bald Hills Wind Farm Pty Ltd</t>
  </si>
  <si>
    <t>BALDHWF1</t>
  </si>
  <si>
    <t>10-03-2025</t>
  </si>
  <si>
    <t>Baldon Wind Farm</t>
  </si>
  <si>
    <t>Baldon Wind Farm Pty Ltd</t>
  </si>
  <si>
    <t>N00082</t>
  </si>
  <si>
    <t>25-09-2025</t>
  </si>
  <si>
    <t>Baldon Wind Farm Stage 2</t>
  </si>
  <si>
    <t>N00138</t>
  </si>
  <si>
    <t>Baldon Wind Farm Stage 2 - BESS</t>
  </si>
  <si>
    <t>Ballarat Base Hospital Plant</t>
  </si>
  <si>
    <t>Ballarat Health Services</t>
  </si>
  <si>
    <t>18-10-2024</t>
  </si>
  <si>
    <t>BALB1</t>
  </si>
  <si>
    <t>Banana Range Wind Farm</t>
  </si>
  <si>
    <t>Orange Creek Energy Pty Ltd</t>
  </si>
  <si>
    <t>Q00041</t>
  </si>
  <si>
    <t>09-10-2025</t>
  </si>
  <si>
    <t>07-03-2025</t>
  </si>
  <si>
    <t>N00019</t>
  </si>
  <si>
    <t>Banimboola</t>
  </si>
  <si>
    <t>Hydro - Dam</t>
  </si>
  <si>
    <t>BAPS</t>
  </si>
  <si>
    <t>Venn Energy Pty / Banksia Solar Project Pty Ltd</t>
  </si>
  <si>
    <t>22-09-2025</t>
  </si>
  <si>
    <t>Bannaby BESS</t>
  </si>
  <si>
    <t>Penso Power Australia Pty Ltd.</t>
  </si>
  <si>
    <t>N00144</t>
  </si>
  <si>
    <t>12-01-2024</t>
  </si>
  <si>
    <t>Baranduda Electrical Energy Reserve</t>
  </si>
  <si>
    <t xml:space="preserve"> Birdwood Energy Reserve Pty Ltd (ACN 658 507 441) as Trustee for Birdwood Energy Reserve Trust</t>
  </si>
  <si>
    <t>V00083</t>
  </si>
  <si>
    <t>15-03-2025</t>
  </si>
  <si>
    <t>Ergon Energy Queensland Pty Ltd</t>
  </si>
  <si>
    <t>BARCALDN</t>
  </si>
  <si>
    <t>Barcaldine Remote Community Solar Farm Pty Ltd</t>
  </si>
  <si>
    <t>19-09-2024</t>
  </si>
  <si>
    <t>20-03-2025</t>
  </si>
  <si>
    <t>Barker Inlet Power Station 2</t>
  </si>
  <si>
    <t>S00077</t>
  </si>
  <si>
    <t>17-03-2025</t>
  </si>
  <si>
    <t>Barn Hill</t>
  </si>
  <si>
    <t>Barn HIll Wind Farm Pty Ltd</t>
  </si>
  <si>
    <t>124.00 - 186.00</t>
  </si>
  <si>
    <t>Barn Hill BESS</t>
  </si>
  <si>
    <t>S00073</t>
  </si>
  <si>
    <t>Barnawartha Solar &amp; Energy Storage</t>
  </si>
  <si>
    <t>Barnawartha Solar Pty Ltd</t>
  </si>
  <si>
    <t>10-10-2025</t>
  </si>
  <si>
    <t>Baroota Pumped Hydro Project</t>
  </si>
  <si>
    <t>25-03-2025</t>
  </si>
  <si>
    <t>19-05-2025</t>
  </si>
  <si>
    <t>V00172</t>
  </si>
  <si>
    <t>Bashan 1 Wind Farm</t>
  </si>
  <si>
    <t>T00028</t>
  </si>
  <si>
    <t>09-10-2023</t>
  </si>
  <si>
    <t>Bass Offshore Wind Energy Project</t>
  </si>
  <si>
    <t xml:space="preserve"> Nexsphere Pty Ltd</t>
  </si>
  <si>
    <t>Wind Turbine - Offshore</t>
  </si>
  <si>
    <t>T00010</t>
  </si>
  <si>
    <t>18-01-2023</t>
  </si>
  <si>
    <t>Bastyan</t>
  </si>
  <si>
    <t>BASTYAN</t>
  </si>
  <si>
    <t>Battery of the Nation - Stage 2b</t>
  </si>
  <si>
    <t>Storage - Pumped hydro</t>
  </si>
  <si>
    <t>27-09-2024</t>
  </si>
  <si>
    <t>Battery of the Nation - Stage 3b</t>
  </si>
  <si>
    <t>Turbine - Steam Sub Critical</t>
  </si>
  <si>
    <t>Fossil - Black Coal</t>
  </si>
  <si>
    <t>BW01</t>
  </si>
  <si>
    <t>BW02</t>
  </si>
  <si>
    <t>BW03</t>
  </si>
  <si>
    <t>BW04</t>
  </si>
  <si>
    <t>Beebo Battary - KCI</t>
  </si>
  <si>
    <t>BEEBO SOLAR FARM PTY LTD as Trustee For BEEBO SOLAR FARM UNIT TRUST</t>
  </si>
  <si>
    <t>Q00148</t>
  </si>
  <si>
    <t>Beebo Solar Farm - KCI</t>
  </si>
  <si>
    <t>Beelbee Solar Farm</t>
  </si>
  <si>
    <t xml:space="preserve"> Vena Energy Services (Australia) Pty Ltd</t>
  </si>
  <si>
    <t>N00078</t>
  </si>
  <si>
    <t>12-12-2023</t>
  </si>
  <si>
    <t>Bell Bay BESS</t>
  </si>
  <si>
    <t>Equis Energy (Australia) Projects (Ngumi 6) Pty Ltd as trustee for the Equis Energy(Australia) Ngumi 6 Asset Trust</t>
  </si>
  <si>
    <t>Bell Bay Three</t>
  </si>
  <si>
    <t>BBTHREE1</t>
  </si>
  <si>
    <t>BBTHREE2</t>
  </si>
  <si>
    <t>BBTHREE3</t>
  </si>
  <si>
    <t>N00163</t>
  </si>
  <si>
    <t>30-09-2025</t>
  </si>
  <si>
    <t>Bellbay Wind Farm (Low Heads Wind Farm Stage 2)</t>
  </si>
  <si>
    <t>The Trustee for Equis Wind (Australia) LHWF2 Asset Trust</t>
  </si>
  <si>
    <t>T00024</t>
  </si>
  <si>
    <t>Ben Bullen BESS</t>
  </si>
  <si>
    <t>Bendemeer Renewable Energy Hub - Solar And BESS</t>
  </si>
  <si>
    <t>Athena Energy Australia (Holdings) Pty Ltd</t>
  </si>
  <si>
    <t>N00100</t>
  </si>
  <si>
    <t>17-09-2025</t>
  </si>
  <si>
    <t>Bendemeer Renewable Energy Hub - Wind</t>
  </si>
  <si>
    <t>V00045</t>
  </si>
  <si>
    <t>01-10-2025</t>
  </si>
  <si>
    <t>Beresfield BESS</t>
  </si>
  <si>
    <t>Berrybank 1 BESS - Storage - KCI</t>
  </si>
  <si>
    <t>V00087</t>
  </si>
  <si>
    <t>06-10-2023</t>
  </si>
  <si>
    <t>Beryl BESS</t>
  </si>
  <si>
    <t>Ratch-Australia Corporation</t>
  </si>
  <si>
    <t>N00123</t>
  </si>
  <si>
    <t>BERYLSF1</t>
  </si>
  <si>
    <t>BESS Finley</t>
  </si>
  <si>
    <t>BESS Finley P/L</t>
  </si>
  <si>
    <t>N00114</t>
  </si>
  <si>
    <t>01-07-2025</t>
  </si>
  <si>
    <t>Big G Pumped Hydro Project</t>
  </si>
  <si>
    <t>Big-T Project</t>
  </si>
  <si>
    <t>Q00051</t>
  </si>
  <si>
    <t>Birkins Solar Farm - Storage - KCI</t>
  </si>
  <si>
    <t xml:space="preserve"> FRV Services Australia Pty Ltd</t>
  </si>
  <si>
    <t>V00047</t>
  </si>
  <si>
    <t>Birriwa BESS</t>
  </si>
  <si>
    <t>Birriwa Solar Farm</t>
  </si>
  <si>
    <t>Blackstone BESS</t>
  </si>
  <si>
    <t>Q00088</t>
  </si>
  <si>
    <t>Blackstone BESS 2 - KCI</t>
  </si>
  <si>
    <t>Q00149</t>
  </si>
  <si>
    <t>Blacktop BESS - KCI</t>
  </si>
  <si>
    <t xml:space="preserve"> BESS Officer Pty Ltd</t>
  </si>
  <si>
    <t>S00028</t>
  </si>
  <si>
    <t>Blackwater Hybrid System</t>
  </si>
  <si>
    <t>Blackwater Project Nominees Pty Ltd as trustee for the Blackwater Project Trust</t>
  </si>
  <si>
    <t>Q00048</t>
  </si>
  <si>
    <t>Blair Athol Solar Power Station</t>
  </si>
  <si>
    <t>TerraCom Ltd</t>
  </si>
  <si>
    <t>20-09-2022</t>
  </si>
  <si>
    <t>Blanche BESS - KCI</t>
  </si>
  <si>
    <t>Blanche BESS Pty Ltd as trustee for Blanche BESS Trust</t>
  </si>
  <si>
    <t>S00063</t>
  </si>
  <si>
    <t>02-04-2024</t>
  </si>
  <si>
    <t>Blenheim BESS - KCI</t>
  </si>
  <si>
    <t>EE AUSTRALIA PTY LTD</t>
  </si>
  <si>
    <t>Q00025</t>
  </si>
  <si>
    <t>23-09-2025</t>
  </si>
  <si>
    <t>Blenheim Solar Farm - KCI</t>
  </si>
  <si>
    <t>N00044</t>
  </si>
  <si>
    <t>Blowering</t>
  </si>
  <si>
    <t>BLOWERNG</t>
  </si>
  <si>
    <t>Blue Grass BESS</t>
  </si>
  <si>
    <t>28-08-2025</t>
  </si>
  <si>
    <t>Blue Mackerel North Off Shore Wind Farm</t>
  </si>
  <si>
    <t>Arup Australia Pty Ltd</t>
  </si>
  <si>
    <t>V00102</t>
  </si>
  <si>
    <t>04-07-2023</t>
  </si>
  <si>
    <t>Blue Mackerel North Offshore Wind Farm</t>
  </si>
  <si>
    <t>Blue Mackerel North</t>
  </si>
  <si>
    <t>BLUEGSF1</t>
  </si>
  <si>
    <t>S00021</t>
  </si>
  <si>
    <t>South Pacific Power Pty Ltd</t>
  </si>
  <si>
    <t>BOCORWF1</t>
  </si>
  <si>
    <t>BODWF1</t>
  </si>
  <si>
    <t>21-05-2025</t>
  </si>
  <si>
    <t>Bogandilla Wind Farm</t>
  </si>
  <si>
    <t>Q00100</t>
  </si>
  <si>
    <t>Boggabri solar and storage project</t>
  </si>
  <si>
    <t>Cleanpeak Energy</t>
  </si>
  <si>
    <t>Boiling Down BESS</t>
  </si>
  <si>
    <t>Hanwha Energy Australia Pty Ltd</t>
  </si>
  <si>
    <t>N00111</t>
  </si>
  <si>
    <t>19-04-2023</t>
  </si>
  <si>
    <t>BOWWBA1</t>
  </si>
  <si>
    <t>05-03-2025</t>
  </si>
  <si>
    <t>Renewable Biomass or Waste - Biogas</t>
  </si>
  <si>
    <t>Bonnie Brae Hybrid Plant</t>
  </si>
  <si>
    <t>Barathrum Energy Pty Ltd</t>
  </si>
  <si>
    <t>N00205</t>
  </si>
  <si>
    <t>Bonshaw Solar Farm</t>
  </si>
  <si>
    <t>GAIA Australia Pty Ltd</t>
  </si>
  <si>
    <t>N00008</t>
  </si>
  <si>
    <t>Bookaar Solar Farm</t>
  </si>
  <si>
    <t>Bookaar Renewables Pty ltd </t>
  </si>
  <si>
    <t>V00118</t>
  </si>
  <si>
    <t>Bookham WF &amp; BESS</t>
  </si>
  <si>
    <t>Bookham Wind Farm Pty Ltd</t>
  </si>
  <si>
    <t>Boomber Green Energy Hub</t>
  </si>
  <si>
    <t>Boomer Green Energy Hub Pty Ltd (a subsidiary of the Ark Energy Group)</t>
  </si>
  <si>
    <t>Boomer Green Energy Hub</t>
  </si>
  <si>
    <t>ARK Energy Corporation Pty Ltd</t>
  </si>
  <si>
    <t>Q00091</t>
  </si>
  <si>
    <t>Boort Wind Farm</t>
  </si>
  <si>
    <t>feraaustralia_nr</t>
  </si>
  <si>
    <t>Boree Solar Project</t>
  </si>
  <si>
    <t>Venn Energy Pty Ltd</t>
  </si>
  <si>
    <t>04-04-2025</t>
  </si>
  <si>
    <t>Borumba</t>
  </si>
  <si>
    <t xml:space="preserve">Boulder Creek Wind Farm Pty Ltd as trustee for BCWF Unit Trust ABN and BCWF 2 Pty Limited </t>
  </si>
  <si>
    <t>Q00013</t>
  </si>
  <si>
    <t>BBATTERY1</t>
  </si>
  <si>
    <t>Q00004</t>
  </si>
  <si>
    <t>Bouldercombe Battery project - Stage 2 - KCI</t>
  </si>
  <si>
    <t>Q00150</t>
  </si>
  <si>
    <t>Bouldercombe North BESS - Quintas</t>
  </si>
  <si>
    <t>Bouldercombe North BESS Pty Ltd</t>
  </si>
  <si>
    <t>Q00209</t>
  </si>
  <si>
    <t>Boulka Park BESS</t>
  </si>
  <si>
    <t>The Trustee for X-ELIO BOULKA PARK TRUST</t>
  </si>
  <si>
    <t>V00136</t>
  </si>
  <si>
    <t>Boulka Park Solar Farm</t>
  </si>
  <si>
    <t>Bowen Basin Sun Farm - KCI</t>
  </si>
  <si>
    <t>Bowen Basin Sun Farm Pty Ltd</t>
  </si>
  <si>
    <t>Q00066</t>
  </si>
  <si>
    <t>13-01-2025</t>
  </si>
  <si>
    <t>Bowmans Creek Wind Farm</t>
  </si>
  <si>
    <t>N00061</t>
  </si>
  <si>
    <t>Bracewell Energy Park</t>
  </si>
  <si>
    <t>TE H2 Australia</t>
  </si>
  <si>
    <t>Q00115</t>
  </si>
  <si>
    <t>Fossil - Coal Seam Methane</t>
  </si>
  <si>
    <t>06-03-2025</t>
  </si>
  <si>
    <t>BRAEMAR2</t>
  </si>
  <si>
    <t>BRAEMAR3</t>
  </si>
  <si>
    <t>Braemar 2 Power Station</t>
  </si>
  <si>
    <t>NewGen Braemar 2 Partnership comprising Arrow Braemar 2 Pty Ltd and Arrow Southern Generation Pty Ltd</t>
  </si>
  <si>
    <t>BRAEMAR5</t>
  </si>
  <si>
    <t>BRAEMAR6</t>
  </si>
  <si>
    <t>BRAEMAR7</t>
  </si>
  <si>
    <t>Braemar BESS</t>
  </si>
  <si>
    <t>Q00210</t>
  </si>
  <si>
    <t>Bremer Battery 1</t>
  </si>
  <si>
    <t>Libra Energy Pty Ltd</t>
  </si>
  <si>
    <t>Q00211</t>
  </si>
  <si>
    <t>02-04-2025</t>
  </si>
  <si>
    <t>Bremer Battery 2</t>
  </si>
  <si>
    <t>Q00212</t>
  </si>
  <si>
    <t>Bremer Battery 3</t>
  </si>
  <si>
    <t>Q00213</t>
  </si>
  <si>
    <t>Bremer Battery 4</t>
  </si>
  <si>
    <t>Q00214</t>
  </si>
  <si>
    <t>BRNDBES1</t>
  </si>
  <si>
    <t>Q00037</t>
  </si>
  <si>
    <t>N00221</t>
  </si>
  <si>
    <t>18-09-2025</t>
  </si>
  <si>
    <t>Bridle Track Solar Project</t>
  </si>
  <si>
    <t>Brigalow GT (Kogan Creek GT)</t>
  </si>
  <si>
    <t>CSE H2 Pty Ltd</t>
  </si>
  <si>
    <t>Fossil - Natural Gas</t>
  </si>
  <si>
    <t>Q00083</t>
  </si>
  <si>
    <t>Brinkworth BESS</t>
  </si>
  <si>
    <t>Brinkworth Solar Farm Pty Ltd</t>
  </si>
  <si>
    <t>S00061</t>
  </si>
  <si>
    <t>Q00021</t>
  </si>
  <si>
    <t>11-09-2025</t>
  </si>
  <si>
    <t>Broadwater</t>
  </si>
  <si>
    <t>Cape Byron Management PTY LTD</t>
  </si>
  <si>
    <t>Renewable Biomass or Waste - Biomass</t>
  </si>
  <si>
    <t>BWTR1</t>
  </si>
  <si>
    <t>05-04-2023</t>
  </si>
  <si>
    <t>BHB1</t>
  </si>
  <si>
    <t>N00067</t>
  </si>
  <si>
    <t>Broken Hill GT</t>
  </si>
  <si>
    <t>Transgrid</t>
  </si>
  <si>
    <t>GB01</t>
  </si>
  <si>
    <t>BROKENH1</t>
  </si>
  <si>
    <t>BROOKLYN</t>
  </si>
  <si>
    <t>Brown Mountain Hydro Power Station</t>
  </si>
  <si>
    <t>Cochrane Dam Pty Ltd</t>
  </si>
  <si>
    <t xml:space="preserve"> BROWNMT</t>
  </si>
  <si>
    <t>10-10-2024</t>
  </si>
  <si>
    <t>Bulabul BESS - Stage 1</t>
  </si>
  <si>
    <t>AMPYR Australia</t>
  </si>
  <si>
    <t>N00055</t>
  </si>
  <si>
    <t>02-10-2025</t>
  </si>
  <si>
    <t>BULBES1</t>
  </si>
  <si>
    <t>23-05-2025</t>
  </si>
  <si>
    <t>Bullawah Wind Farm – Stage 1</t>
  </si>
  <si>
    <t>Bullawah Wind Farm Pty Ltd</t>
  </si>
  <si>
    <t>N00122</t>
  </si>
  <si>
    <t>28-09-2023</t>
  </si>
  <si>
    <t>Bulli Creek Battery</t>
  </si>
  <si>
    <t>Q00151</t>
  </si>
  <si>
    <t>Bulli Creek BESS (Trina)</t>
  </si>
  <si>
    <t>Bulli Creek Hybrid Nominee Pty Ltd on behalf of Bulli Creek Hybrid Trust</t>
  </si>
  <si>
    <t>Q00136</t>
  </si>
  <si>
    <t>Bulli Creek Solar Farm</t>
  </si>
  <si>
    <t>Q00077</t>
  </si>
  <si>
    <t>Bulli Creek Solar Farm (Trina)</t>
  </si>
  <si>
    <t>Bundaberg Renewable Energy Park</t>
  </si>
  <si>
    <t>Q00101</t>
  </si>
  <si>
    <t>09-01-2025</t>
  </si>
  <si>
    <t>29-09-2025</t>
  </si>
  <si>
    <t>Bundey BESS and Solar Project</t>
  </si>
  <si>
    <t>Genaspi Energy Group Pty Ltd</t>
  </si>
  <si>
    <t>S00067</t>
  </si>
  <si>
    <t>Bundy Energy Hub A (BESS)</t>
  </si>
  <si>
    <t>Syn-Co Global</t>
  </si>
  <si>
    <t>S00042</t>
  </si>
  <si>
    <t>27-02-2025</t>
  </si>
  <si>
    <t>Bundy Energy Hub B (BESS)</t>
  </si>
  <si>
    <t>S00050</t>
  </si>
  <si>
    <t>Bungaban BESS</t>
  </si>
  <si>
    <t>Windlab Developments Pty Ltd</t>
  </si>
  <si>
    <t>Bungaban Wind Farm</t>
  </si>
  <si>
    <t xml:space="preserve"> Windlab Developments Pty Ltd</t>
  </si>
  <si>
    <t>Q00049</t>
  </si>
  <si>
    <t>Bungala One Operations Pty Ltd as trustee for the Bungala One Operations Trust</t>
  </si>
  <si>
    <t>Bungala Two Operations Pty Ltd as trustee for the Bungala Two Operations Trust</t>
  </si>
  <si>
    <t>03-03-2025</t>
  </si>
  <si>
    <t>Bungama BESS (ARENA )</t>
  </si>
  <si>
    <t>Bungama Bess Trust</t>
  </si>
  <si>
    <t>12-09-2025</t>
  </si>
  <si>
    <t>S00004</t>
  </si>
  <si>
    <t>Bunkers Hill Pumped Hydro</t>
  </si>
  <si>
    <t>Pacific Hydro</t>
  </si>
  <si>
    <t>Q00071</t>
  </si>
  <si>
    <t>Bunkers Hill Wind Farm</t>
  </si>
  <si>
    <t>Q00114</t>
  </si>
  <si>
    <t>Bunyip North Battery Energy Storage System</t>
  </si>
  <si>
    <t>Bunyip North Project Co Pty Ltd as trustee for Bunyip North Project Trust</t>
  </si>
  <si>
    <t>Burdekin BESS</t>
  </si>
  <si>
    <t>Q00131</t>
  </si>
  <si>
    <t>13-06-2024</t>
  </si>
  <si>
    <t>Q00035</t>
  </si>
  <si>
    <t>Burgmanns BESS</t>
  </si>
  <si>
    <t>Burgmanns BESS Pty Ltd</t>
  </si>
  <si>
    <t>N00210</t>
  </si>
  <si>
    <t>Buronga BESS - Storage - KCI</t>
  </si>
  <si>
    <t>BESS Clyde North Pty Ltd</t>
  </si>
  <si>
    <t>N00105</t>
  </si>
  <si>
    <t>05-01-2023</t>
  </si>
  <si>
    <t>Burrenbring Wind Farm</t>
  </si>
  <si>
    <t>Q00102</t>
  </si>
  <si>
    <t>Burrendong</t>
  </si>
  <si>
    <t>BDONGHYD</t>
  </si>
  <si>
    <t>Burrendong Wind Farm</t>
  </si>
  <si>
    <t>N00065</t>
  </si>
  <si>
    <t>Burrinjuck</t>
  </si>
  <si>
    <t>GSP Energy Pty Ltd</t>
  </si>
  <si>
    <t>BURRIN</t>
  </si>
  <si>
    <t>Burroway BESS</t>
  </si>
  <si>
    <t>Burroway Energy Hub</t>
  </si>
  <si>
    <t>Bushranger Hybrid Facility - Solar</t>
  </si>
  <si>
    <t>N00149</t>
  </si>
  <si>
    <t>Butlers Gorge</t>
  </si>
  <si>
    <t>BUTLERSG</t>
  </si>
  <si>
    <t>16-09-2024</t>
  </si>
  <si>
    <t>N00150</t>
  </si>
  <si>
    <t>The Trustee for Calala A2 Asset Trust</t>
  </si>
  <si>
    <t>CALL_B_1</t>
  </si>
  <si>
    <t>CALL_B_2</t>
  </si>
  <si>
    <t>Turbine - Steam Super Critical</t>
  </si>
  <si>
    <t>CPP_3</t>
  </si>
  <si>
    <t>CPP_4</t>
  </si>
  <si>
    <t>Callide Energy Hub - KCI</t>
  </si>
  <si>
    <t>CSE BESS P/L</t>
  </si>
  <si>
    <t>Q00158</t>
  </si>
  <si>
    <t>13-10-2024</t>
  </si>
  <si>
    <t>Callide Gas Peaker - KCI</t>
  </si>
  <si>
    <t>Turbine - Other</t>
  </si>
  <si>
    <t>Q00195</t>
  </si>
  <si>
    <t>07-10-2024</t>
  </si>
  <si>
    <t>Callide Power Station Solar Farm</t>
  </si>
  <si>
    <t>Q00092</t>
  </si>
  <si>
    <t>Callide Solar Power Station BESS</t>
  </si>
  <si>
    <t>Q00137</t>
  </si>
  <si>
    <t>Callide Wind Farm</t>
  </si>
  <si>
    <t>DP Green Energy Pty Limited</t>
  </si>
  <si>
    <t>Q00016</t>
  </si>
  <si>
    <t>14-12-2023</t>
  </si>
  <si>
    <t>Calliope BESS</t>
  </si>
  <si>
    <t>ekuenergy_nr</t>
  </si>
  <si>
    <t>Calvale LDES BESS</t>
  </si>
  <si>
    <t>Released Energy Pty Ltd</t>
  </si>
  <si>
    <t>Q00215</t>
  </si>
  <si>
    <t>04-07-2025</t>
  </si>
  <si>
    <t>Campbells Forest Solar Farm</t>
  </si>
  <si>
    <t>Risen Energy Australia</t>
  </si>
  <si>
    <t>Camperdown BESS - Quintas</t>
  </si>
  <si>
    <t>Camperdown BESS Pty Ltd</t>
  </si>
  <si>
    <t>Canunda</t>
  </si>
  <si>
    <t>Canunda Power Pty Ltd</t>
  </si>
  <si>
    <t>CNUNDAWF</t>
  </si>
  <si>
    <t>Canyonleigh BESS</t>
  </si>
  <si>
    <t>N00141</t>
  </si>
  <si>
    <t>Cape Winds Offshore Wind Farm</t>
  </si>
  <si>
    <t>NeuGen Technology P/L</t>
  </si>
  <si>
    <t>V00101</t>
  </si>
  <si>
    <t>Capital 2 Wind Farm</t>
  </si>
  <si>
    <t>Capital Wind Farm 2 Pty Ltd</t>
  </si>
  <si>
    <t>70.40 - 134.40</t>
  </si>
  <si>
    <t>N00085</t>
  </si>
  <si>
    <t>N00183</t>
  </si>
  <si>
    <t>IBERDROLA AUSTRALIA HOLDINGS PTY LIMITED</t>
  </si>
  <si>
    <t>CESF1</t>
  </si>
  <si>
    <t>25-09-2024</t>
  </si>
  <si>
    <t>Capital Wind Farm</t>
  </si>
  <si>
    <t>Renewable Power Ventures Pty Ltd</t>
  </si>
  <si>
    <t>CAPTL_WF</t>
  </si>
  <si>
    <t>Capricorn BESS - KCI</t>
  </si>
  <si>
    <t>ENEL Green Power Australia</t>
  </si>
  <si>
    <t>Q00159</t>
  </si>
  <si>
    <t>Capricornia Energy Hub (CEH) PHES</t>
  </si>
  <si>
    <t>CI QLD PHES PTY LTD</t>
  </si>
  <si>
    <t>Q00120</t>
  </si>
  <si>
    <t>21-06-2025</t>
  </si>
  <si>
    <t>Q00046</t>
  </si>
  <si>
    <t>Carag Solar Farm</t>
  </si>
  <si>
    <t>01-11-2024</t>
  </si>
  <si>
    <t>Carmody's Hill BESS</t>
  </si>
  <si>
    <t>Georgetown Hills Renewable Energy Pty Ltd as trustee for the Georgetown Hills Renewable Energy Trust</t>
  </si>
  <si>
    <t>S00058</t>
  </si>
  <si>
    <t>Carmody's Hill Wind Farm</t>
  </si>
  <si>
    <t>S00036</t>
  </si>
  <si>
    <t>20-05-2025</t>
  </si>
  <si>
    <t>Carwarp BESS</t>
  </si>
  <si>
    <t>V00121</t>
  </si>
  <si>
    <t>23-10-2023</t>
  </si>
  <si>
    <t>Carwarp Solar Farm - Stage I</t>
  </si>
  <si>
    <t>Canadian Solar (Australia) Pty Ltd</t>
  </si>
  <si>
    <t>29-09-2022</t>
  </si>
  <si>
    <t>Carwarp Solar Farm - Stage II</t>
  </si>
  <si>
    <t>Catagunya / Liapootah / Wayatinah</t>
  </si>
  <si>
    <t>LI_WY_CA</t>
  </si>
  <si>
    <t>Cathedral Rocks</t>
  </si>
  <si>
    <t>JV Cathedral Rock Investments Pty Ltd  - Acciona Energy Australia Global Pty Ltd and EnergyAustralia Pty Ltd</t>
  </si>
  <si>
    <t>CATHROCK</t>
  </si>
  <si>
    <t>Cattle Creek Wind Farm - KCI</t>
  </si>
  <si>
    <t>Q00160</t>
  </si>
  <si>
    <t>Ceduna BESS</t>
  </si>
  <si>
    <t>tetrisenergy_nr</t>
  </si>
  <si>
    <t>Ceduna Solar Farm</t>
  </si>
  <si>
    <t>Ceduna Wind Farm</t>
  </si>
  <si>
    <t>Central Para Wind Farm (KCI)</t>
  </si>
  <si>
    <t>Macleay Ventures Pty Ltd.</t>
  </si>
  <si>
    <t>N00192</t>
  </si>
  <si>
    <t>03-10-2024</t>
  </si>
  <si>
    <t>Central Queensland Energy Storage Project - Stage 1</t>
  </si>
  <si>
    <t>Highview Power Pty Ltd</t>
  </si>
  <si>
    <t>26-09-2025</t>
  </si>
  <si>
    <t>Central Queensland Energy Storage Project - Stage 2</t>
  </si>
  <si>
    <t>Highview Power</t>
  </si>
  <si>
    <t>Storage - Other</t>
  </si>
  <si>
    <t>Cethana</t>
  </si>
  <si>
    <t>CETHANA</t>
  </si>
  <si>
    <t>Cethana Pumped Hydro Option</t>
  </si>
  <si>
    <t>T00001</t>
  </si>
  <si>
    <t>Challicum Hills</t>
  </si>
  <si>
    <t>Pacific Hydro Challicum Hills Pty Ltd</t>
  </si>
  <si>
    <t>CHALLHWF</t>
  </si>
  <si>
    <t>Chances Plain Solar Farm</t>
  </si>
  <si>
    <t>06-06-2023</t>
  </si>
  <si>
    <t>Chepstowe Wind Farm - VIC</t>
  </si>
  <si>
    <t>Chepstowe Wind Farm Pty Ltd</t>
  </si>
  <si>
    <t>CHPSTWF1</t>
  </si>
  <si>
    <t>06-10-2022</t>
  </si>
  <si>
    <t>Childers Solar Pty Ltd as trustee for the Childers Solar Trust</t>
  </si>
  <si>
    <t>CHBESS1</t>
  </si>
  <si>
    <t>Q00032</t>
  </si>
  <si>
    <t>Chinchilla Solar Farm</t>
  </si>
  <si>
    <t>First Solar Australia Pty Ltd</t>
  </si>
  <si>
    <t>11-09-2023</t>
  </si>
  <si>
    <t>Chipping Norton Waste to Energy</t>
  </si>
  <si>
    <t>Benedict Indistries P/L</t>
  </si>
  <si>
    <t>23-09-2024</t>
  </si>
  <si>
    <t>19-09-2025</t>
  </si>
  <si>
    <t>Cimitiere Plains Solar Farm</t>
  </si>
  <si>
    <t>Sun Spot 9 Pty Ltd</t>
  </si>
  <si>
    <t>T00026</t>
  </si>
  <si>
    <t>CLARESF1</t>
  </si>
  <si>
    <t>24-02-2025</t>
  </si>
  <si>
    <t>Clarke Creek 2 BESS - KCI</t>
  </si>
  <si>
    <t>Isaac Wind and Solar Energy Pty Ltd</t>
  </si>
  <si>
    <t>Zero Capacity Or None Specified</t>
  </si>
  <si>
    <t>Q00161</t>
  </si>
  <si>
    <t>01-07-2024</t>
  </si>
  <si>
    <t>Clarke Creek Wind Farm Stage 2</t>
  </si>
  <si>
    <t>Q00043</t>
  </si>
  <si>
    <t>Clayton</t>
  </si>
  <si>
    <t>Renewable Biomass or Waste - Landfill Gas</t>
  </si>
  <si>
    <t>S00020</t>
  </si>
  <si>
    <t>Clements Gap Wind Farm</t>
  </si>
  <si>
    <t>CLEMGPWF</t>
  </si>
  <si>
    <t>12-06-2025</t>
  </si>
  <si>
    <t>09-03-2025</t>
  </si>
  <si>
    <t>Clover</t>
  </si>
  <si>
    <t>CLOVER</t>
  </si>
  <si>
    <t>Cluny</t>
  </si>
  <si>
    <t>CLUNY</t>
  </si>
  <si>
    <t>Cobbora BESS</t>
  </si>
  <si>
    <t>Cobbora Solar Farm</t>
  </si>
  <si>
    <t>pacificp_NR</t>
  </si>
  <si>
    <t>Cobden BESS - Quintas</t>
  </si>
  <si>
    <t>Cobden BESS Pty Ltd</t>
  </si>
  <si>
    <t>Codrington Wind Farm</t>
  </si>
  <si>
    <t>Energy Pacific (Vic) Pty Ltd</t>
  </si>
  <si>
    <t>CODRNGTON</t>
  </si>
  <si>
    <t>Coleambally BESS</t>
  </si>
  <si>
    <t xml:space="preserve">Coleambally BESS Trust </t>
  </si>
  <si>
    <t>N00024</t>
  </si>
  <si>
    <t>27-03-2025</t>
  </si>
  <si>
    <t>COLEASF1</t>
  </si>
  <si>
    <t>26-03-2025</t>
  </si>
  <si>
    <t>Collinsville Green Energy Hub</t>
  </si>
  <si>
    <t xml:space="preserve">COLLINSVILLE GREEN ENERGY HUB PTY LTD </t>
  </si>
  <si>
    <t>Q00242</t>
  </si>
  <si>
    <t>Collinsville North Battery Project</t>
  </si>
  <si>
    <t>24-03-2023</t>
  </si>
  <si>
    <t>CSPVPS1</t>
  </si>
  <si>
    <t>Colongra</t>
  </si>
  <si>
    <t>CG1</t>
  </si>
  <si>
    <t>CG2</t>
  </si>
  <si>
    <t>CG3</t>
  </si>
  <si>
    <t>CG4</t>
  </si>
  <si>
    <t>Colosseum Solar Farm and BESS</t>
  </si>
  <si>
    <t>Q00226</t>
  </si>
  <si>
    <t>Columboola BESS</t>
  </si>
  <si>
    <t>Columboola BESS Nominees Pty Ltd</t>
  </si>
  <si>
    <t>Q00116</t>
  </si>
  <si>
    <t>Columboola BESS - KCI</t>
  </si>
  <si>
    <t>StorEnergy 1 Pty Ltd</t>
  </si>
  <si>
    <t>Q00176</t>
  </si>
  <si>
    <t>COLUMSF1</t>
  </si>
  <si>
    <t>Q00121</t>
  </si>
  <si>
    <t>Comet Energy Park</t>
  </si>
  <si>
    <t>Comet Energy Pty Ltd</t>
  </si>
  <si>
    <t>Q00181</t>
  </si>
  <si>
    <t>26-02-2025</t>
  </si>
  <si>
    <t>Comet Park BESS - KCI</t>
  </si>
  <si>
    <t>Samsung C&amp;T Renewable Energy Australia Pty Ltd.</t>
  </si>
  <si>
    <t>N00172</t>
  </si>
  <si>
    <t>Condamine A</t>
  </si>
  <si>
    <t>QGC Sales QLD Pty Ltd</t>
  </si>
  <si>
    <t>Turbine - CCGT</t>
  </si>
  <si>
    <t>CPSA</t>
  </si>
  <si>
    <t>14-05-2025</t>
  </si>
  <si>
    <t>Condong</t>
  </si>
  <si>
    <t>Renewable Biomass or Waste - Bagasse</t>
  </si>
  <si>
    <t>CONDONG1</t>
  </si>
  <si>
    <t>Connewarren BESS</t>
  </si>
  <si>
    <t>Akaysha Energy Pty Ltd</t>
  </si>
  <si>
    <t>V00161</t>
  </si>
  <si>
    <t>Conroys Gap WF - KCI</t>
  </si>
  <si>
    <t>Waldren Construction Pty Ltd.</t>
  </si>
  <si>
    <t>N00170</t>
  </si>
  <si>
    <t>Cooba Solar Farm - KCI</t>
  </si>
  <si>
    <t xml:space="preserve"> Venn Energy Pty Ltd / Cooba Solar Project Pty Ltd</t>
  </si>
  <si>
    <t>V00058</t>
  </si>
  <si>
    <t>Cooma Hybrid BESS and Solar Farm (ACEN)</t>
  </si>
  <si>
    <t>N00151</t>
  </si>
  <si>
    <t>Cooma Solar And BESS (ACEN)</t>
  </si>
  <si>
    <t>Coonooer Bridge Wind Farm Pty Ltd</t>
  </si>
  <si>
    <t>CBWF1</t>
  </si>
  <si>
    <t>Cooroy BESS</t>
  </si>
  <si>
    <t>Enervest Operations Pty Ltd</t>
  </si>
  <si>
    <t>Copeton</t>
  </si>
  <si>
    <t>COPTNHYD</t>
  </si>
  <si>
    <t>N00029</t>
  </si>
  <si>
    <t>Corop BESS</t>
  </si>
  <si>
    <t>Leeson Solar Pty Ltd.</t>
  </si>
  <si>
    <t>V00132</t>
  </si>
  <si>
    <t>17-10-2023</t>
  </si>
  <si>
    <t>Corop Solar Farm</t>
  </si>
  <si>
    <t>Cranbourne BESS (Macquarie)</t>
  </si>
  <si>
    <t xml:space="preserve"> Macquarie Corporate Holdings Pty Ltd</t>
  </si>
  <si>
    <t>V00035</t>
  </si>
  <si>
    <t>27-04-2023</t>
  </si>
  <si>
    <t>CROOKWF2</t>
  </si>
  <si>
    <t>N00041</t>
  </si>
  <si>
    <t>Cross Roads Energy Solar Farm - KCI</t>
  </si>
  <si>
    <t xml:space="preserve"> Crossroads Energy Pty Ltd</t>
  </si>
  <si>
    <t>Q00011</t>
  </si>
  <si>
    <t>27-02-2023</t>
  </si>
  <si>
    <t>Croydon Hybrid Facility - Solar And BESS</t>
  </si>
  <si>
    <t>Q00229</t>
  </si>
  <si>
    <t>03-07-2025</t>
  </si>
  <si>
    <t>0.22 - 349.98</t>
  </si>
  <si>
    <t>Cullerin Range Wind Farm</t>
  </si>
  <si>
    <t>Cullerin Range Wind Farm Pty Ltd</t>
  </si>
  <si>
    <t>CULLRGWF</t>
  </si>
  <si>
    <t>Dalby Solar Farm</t>
  </si>
  <si>
    <t>Dalby Asset Trust</t>
  </si>
  <si>
    <t>29-02-2024</t>
  </si>
  <si>
    <t>Dalrymple BESS</t>
  </si>
  <si>
    <t>ElectraNet</t>
  </si>
  <si>
    <t>DALNTH1</t>
  </si>
  <si>
    <t>Dalvui BESS</t>
  </si>
  <si>
    <t>V00022</t>
  </si>
  <si>
    <t>Dapper Solar Farm</t>
  </si>
  <si>
    <t>11-10-2024</t>
  </si>
  <si>
    <t>Darling Downs</t>
  </si>
  <si>
    <t>DDPS1</t>
  </si>
  <si>
    <t>Darling Downs Battery</t>
  </si>
  <si>
    <t>Q00031</t>
  </si>
  <si>
    <t>02-10-2024</t>
  </si>
  <si>
    <t>Darling Downs BESS (APA)</t>
  </si>
  <si>
    <t>Q00134</t>
  </si>
  <si>
    <t>Darling Downs Power Station 2</t>
  </si>
  <si>
    <t>Geothermal - Other</t>
  </si>
  <si>
    <t>Q00234</t>
  </si>
  <si>
    <t>DDSF1</t>
  </si>
  <si>
    <t>DPNTB1</t>
  </si>
  <si>
    <t>Darlington Wind Farm - GPG</t>
  </si>
  <si>
    <t>globalpower-generation_NR</t>
  </si>
  <si>
    <t>Darnum BESS</t>
  </si>
  <si>
    <t>samsung_NR</t>
  </si>
  <si>
    <t>Daroobalgie Solar Farm</t>
  </si>
  <si>
    <t>Pacific Hydro Australia Developments Pty Ltd</t>
  </si>
  <si>
    <t>Dartmouth</t>
  </si>
  <si>
    <t>DARTM1</t>
  </si>
  <si>
    <t>Davenport BESS</t>
  </si>
  <si>
    <t>Green Gold Energy Pty Ltd</t>
  </si>
  <si>
    <t>S00054</t>
  </si>
  <si>
    <t>Dawson Wind Farm</t>
  </si>
  <si>
    <t>Highland Energy Australia Pty Ltd</t>
  </si>
  <si>
    <t>Q00197</t>
  </si>
  <si>
    <t>DAYDSF1</t>
  </si>
  <si>
    <t>Deal 1 (West) Off Shore Wind Farm</t>
  </si>
  <si>
    <t>BayWa r.e. Australia Offshore Wind Projects 1 Pty Ltd</t>
  </si>
  <si>
    <t>V00107</t>
  </si>
  <si>
    <t>26-09-2023</t>
  </si>
  <si>
    <t>Deal 2 (East) Off Shore Wind Farm</t>
  </si>
  <si>
    <t>BayWa r.e. Australia Offshore Wind Projects 2 Pty Ltd</t>
  </si>
  <si>
    <t>V00108</t>
  </si>
  <si>
    <t>Deargee Solar And BESS</t>
  </si>
  <si>
    <t>Dederang BESS</t>
  </si>
  <si>
    <t>Mint Renewables</t>
  </si>
  <si>
    <t>V00143</t>
  </si>
  <si>
    <t>Deepwater Hybrid Facility</t>
  </si>
  <si>
    <t>Ib vogt Development Australia Pty Ltd</t>
  </si>
  <si>
    <t>N00200</t>
  </si>
  <si>
    <t>Deer Park BESS - Akaysha</t>
  </si>
  <si>
    <t>Delburn Wind Farm</t>
  </si>
  <si>
    <t>Delburn Wind Farm Pty Ltd</t>
  </si>
  <si>
    <t>204.60 - 217.80</t>
  </si>
  <si>
    <t>V00131</t>
  </si>
  <si>
    <t>27-03-2023</t>
  </si>
  <si>
    <t>Deniliquin BESS - Storage - KCI</t>
  </si>
  <si>
    <t>Enervest Pty Ltd</t>
  </si>
  <si>
    <t>N00107</t>
  </si>
  <si>
    <t>27-09-2023</t>
  </si>
  <si>
    <t>Deniliquin East BESS</t>
  </si>
  <si>
    <t>BESS Arctic Pty Ltd</t>
  </si>
  <si>
    <t>N00101</t>
  </si>
  <si>
    <t>Denman BESS - KCI</t>
  </si>
  <si>
    <t>NEMMCOM Renewables Australia Developments Pty Ltd</t>
  </si>
  <si>
    <t>N00161</t>
  </si>
  <si>
    <t>12-02-2025</t>
  </si>
  <si>
    <t>Derwent Valley Wind Farm</t>
  </si>
  <si>
    <t xml:space="preserve"> West Coast Renewable Energy</t>
  </si>
  <si>
    <t>T00012</t>
  </si>
  <si>
    <t>Devils Gate</t>
  </si>
  <si>
    <t>DEVILS_G</t>
  </si>
  <si>
    <t>Devlins Bridge Battery Storage</t>
  </si>
  <si>
    <t xml:space="preserve">Devlins Bridge Wind Farm Holdco Pty Ltd </t>
  </si>
  <si>
    <t>N00220</t>
  </si>
  <si>
    <t>Devlins Wind Farm</t>
  </si>
  <si>
    <t>DIAPURWF1</t>
  </si>
  <si>
    <t>18-09-2024</t>
  </si>
  <si>
    <t>Dinawan Energy Hub</t>
  </si>
  <si>
    <t>Spark Renewables Pty Ltd</t>
  </si>
  <si>
    <t>N00155</t>
  </si>
  <si>
    <t>08-03-2025</t>
  </si>
  <si>
    <t>Dingo Solar Farm</t>
  </si>
  <si>
    <t>Direk BESS</t>
  </si>
  <si>
    <t>BESS DIREK PTY LTD</t>
  </si>
  <si>
    <t>Doreen BESS</t>
  </si>
  <si>
    <t>V00173</t>
  </si>
  <si>
    <t>Dry Creek GT</t>
  </si>
  <si>
    <t>DRYCGT1</t>
  </si>
  <si>
    <t>DRYCGT2</t>
  </si>
  <si>
    <t>DRYCGT3</t>
  </si>
  <si>
    <t>Dugald River Wind Faarm</t>
  </si>
  <si>
    <t>MMG</t>
  </si>
  <si>
    <t>03-04-2025</t>
  </si>
  <si>
    <t>Dumaresq Solar Farm</t>
  </si>
  <si>
    <t>Dumaresq Solar Farm Pty Limited</t>
  </si>
  <si>
    <t>N00005</t>
  </si>
  <si>
    <t>04-08-2023</t>
  </si>
  <si>
    <t>DUNDWF2</t>
  </si>
  <si>
    <t>DUNDWF3</t>
  </si>
  <si>
    <t>Dunedoo Solar Farm</t>
  </si>
  <si>
    <t>ib vogt GmbH / Sun Spot 4</t>
  </si>
  <si>
    <t>Dungowan 3,000 MWH PHES</t>
  </si>
  <si>
    <t>Dungowan Pumped Hydro Pty Ltd</t>
  </si>
  <si>
    <t>N00075</t>
  </si>
  <si>
    <t>Dunmore BESS</t>
  </si>
  <si>
    <t>Samsung C&amp;T</t>
  </si>
  <si>
    <t>Q00089</t>
  </si>
  <si>
    <t>Dunmore Solar Farm</t>
  </si>
  <si>
    <t>East End BESS</t>
  </si>
  <si>
    <t>TE H2 Australia Pty Ltd</t>
  </si>
  <si>
    <t>Q00216</t>
  </si>
  <si>
    <t>Eastern Creek</t>
  </si>
  <si>
    <t>EASTCRK</t>
  </si>
  <si>
    <t>Eastern Creek 2 Gas Utilisation Facility</t>
  </si>
  <si>
    <t>Eastern Rise Offshore Wind</t>
  </si>
  <si>
    <t>Eastern Rise OWP Project Pty Ltd</t>
  </si>
  <si>
    <t>N00119</t>
  </si>
  <si>
    <t>30-09-2023</t>
  </si>
  <si>
    <t>Ebor BESS</t>
  </si>
  <si>
    <t>Bridge Energy Pty Ltd</t>
  </si>
  <si>
    <t>N00236</t>
  </si>
  <si>
    <t>Edderton Hybrid Faciility - Solar</t>
  </si>
  <si>
    <t>Voltere Pty Ltd.</t>
  </si>
  <si>
    <t>N00147</t>
  </si>
  <si>
    <t>Edderton Hybrid Facility - BESS</t>
  </si>
  <si>
    <t>Eden Offshore Wind Farm</t>
  </si>
  <si>
    <t>OceanEx Energy</t>
  </si>
  <si>
    <t>09-06-2022</t>
  </si>
  <si>
    <t>EDENVSF1</t>
  </si>
  <si>
    <t>24-03-2025</t>
  </si>
  <si>
    <t>Egans Hills BESS</t>
  </si>
  <si>
    <t>Silo Energy</t>
  </si>
  <si>
    <t>Eildon</t>
  </si>
  <si>
    <t>EILDON1</t>
  </si>
  <si>
    <t>EILDON2</t>
  </si>
  <si>
    <t>EIWA Gin Gin Renewable Energy Park</t>
  </si>
  <si>
    <t>EIWA Gin Gin Renewable Energy Park Pty Ltd</t>
  </si>
  <si>
    <t>Q00177</t>
  </si>
  <si>
    <t>EIWA Golden Fleece Renewable Energy Park</t>
  </si>
  <si>
    <t>EIWA Golden Fleece Renewable Energy Park Pty Ltd</t>
  </si>
  <si>
    <t>Q00198</t>
  </si>
  <si>
    <t>EIWA Richmond Valley BESS</t>
  </si>
  <si>
    <t>EIWA RICHMOND VALLEY BESS PTY LTD</t>
  </si>
  <si>
    <t>2.86 - 300.00</t>
  </si>
  <si>
    <t>N00207</t>
  </si>
  <si>
    <t>Elai Genesis Battery Storage System</t>
  </si>
  <si>
    <t>Elai Energy Pty Ltd</t>
  </si>
  <si>
    <t>60.00 - 120.00</t>
  </si>
  <si>
    <t>06-09-2024</t>
  </si>
  <si>
    <t>V00011</t>
  </si>
  <si>
    <t>Elaine Solar Farm &amp; BESS Hybrid</t>
  </si>
  <si>
    <t xml:space="preserve"> Elgin Energy Pty Ltd</t>
  </si>
  <si>
    <t>V00080</t>
  </si>
  <si>
    <t>EMERASF1</t>
  </si>
  <si>
    <t>Emeroo BESS</t>
  </si>
  <si>
    <t>Potentia Energy Group Pty Ltd</t>
  </si>
  <si>
    <t>40.04 - 61.46</t>
  </si>
  <si>
    <t>S00026</t>
  </si>
  <si>
    <t>Emu Park BESS</t>
  </si>
  <si>
    <t>M Renweables Australia</t>
  </si>
  <si>
    <t>N00204</t>
  </si>
  <si>
    <t>10-01-2025</t>
  </si>
  <si>
    <t>Emu Park Solar Farm</t>
  </si>
  <si>
    <t>ER01</t>
  </si>
  <si>
    <t>In Service - Announced Withdrawal (Permanent)</t>
  </si>
  <si>
    <t>ER02</t>
  </si>
  <si>
    <t>ER03</t>
  </si>
  <si>
    <t>ER04</t>
  </si>
  <si>
    <t>N00140</t>
  </si>
  <si>
    <t>Eurimbula Hybrid Facility - Battery Storage</t>
  </si>
  <si>
    <t>unitedgreen_NR</t>
  </si>
  <si>
    <t>Eurimbula Solar Farm</t>
  </si>
  <si>
    <t>Unitedgreen_NR</t>
  </si>
  <si>
    <t>4.00 - 4.20</t>
  </si>
  <si>
    <t>Euston Wind Farm - KCI</t>
  </si>
  <si>
    <t>Balranald Wind Farm Pty Ltd</t>
  </si>
  <si>
    <t>N00098</t>
  </si>
  <si>
    <t>Everleigh Solar Farm &amp; BESS - KCI</t>
  </si>
  <si>
    <t>Everleigh Solar Park Pty Ltd</t>
  </si>
  <si>
    <t>Q00162</t>
  </si>
  <si>
    <t>Ferguson Wind Farm</t>
  </si>
  <si>
    <t>FNWF1</t>
  </si>
  <si>
    <t>Fisher</t>
  </si>
  <si>
    <t>FISHER</t>
  </si>
  <si>
    <t>Fletcher Creek Wind Farm &amp; BESS</t>
  </si>
  <si>
    <t>Private Energy Partners</t>
  </si>
  <si>
    <t>Q00217</t>
  </si>
  <si>
    <t>FNQ BESS 1 (KCI)</t>
  </si>
  <si>
    <t>Solquartz Holdings Pty Ltd</t>
  </si>
  <si>
    <t>Q00178</t>
  </si>
  <si>
    <t>FNQ BESS 2 (KCI)</t>
  </si>
  <si>
    <t>Q00179</t>
  </si>
  <si>
    <t>FNQ BESS 3 (KCI)</t>
  </si>
  <si>
    <t>Q00180</t>
  </si>
  <si>
    <t>Forbes Solar Farm &amp; BESS</t>
  </si>
  <si>
    <t xml:space="preserve"> Forbes Solar Farm Pty Ltd ATF Forbes Genesis Project Trust</t>
  </si>
  <si>
    <t>N00060</t>
  </si>
  <si>
    <t>Forest Glen BESS</t>
  </si>
  <si>
    <t>Forest Glen Solar Farm</t>
  </si>
  <si>
    <t>X-Elio Roma Hub Solar Farm Pty Ltd</t>
  </si>
  <si>
    <t>Forest Wind</t>
  </si>
  <si>
    <t>Forest Wind Holdings Pty Ltd</t>
  </si>
  <si>
    <t>Q00074</t>
  </si>
  <si>
    <t>31-03-2025</t>
  </si>
  <si>
    <t>Fosterville SF and BESS</t>
  </si>
  <si>
    <t>V00073</t>
  </si>
  <si>
    <t>Forsayth Wind Farm</t>
  </si>
  <si>
    <t>Forsayth Wind Farm Pty Ltd</t>
  </si>
  <si>
    <t>75.00 - 165.00</t>
  </si>
  <si>
    <t>Q00002</t>
  </si>
  <si>
    <t>GESS ProjectCo</t>
  </si>
  <si>
    <t>Gannawarra Solar Farm Pty Ltd</t>
  </si>
  <si>
    <t>GANNSF1</t>
  </si>
  <si>
    <t>Ganymirra Solar Power Station</t>
  </si>
  <si>
    <t>Gara BESS</t>
  </si>
  <si>
    <t>N00152</t>
  </si>
  <si>
    <t>Garoo BESS</t>
  </si>
  <si>
    <t>N00198</t>
  </si>
  <si>
    <t>Garoo Solar Farm</t>
  </si>
  <si>
    <t>Gawara Baya Wind And BESS</t>
  </si>
  <si>
    <t>Q00039</t>
  </si>
  <si>
    <t>Geelong BESS</t>
  </si>
  <si>
    <t>V00176</t>
  </si>
  <si>
    <t>08-10-2025</t>
  </si>
  <si>
    <t>Gelston Energy Park</t>
  </si>
  <si>
    <t>Gelston Energy Park Pty Ltd (ACN 690796788) as trustee for Gelston Energy Park Trust</t>
  </si>
  <si>
    <t>Gemfields Integrated Facility - Wind And Solar</t>
  </si>
  <si>
    <t>Energy Estate</t>
  </si>
  <si>
    <t>George Town BESS - KCI</t>
  </si>
  <si>
    <t>Recurrent Energy</t>
  </si>
  <si>
    <t>T00035</t>
  </si>
  <si>
    <t>08-10-2024</t>
  </si>
  <si>
    <t>George Town Wind Farm</t>
  </si>
  <si>
    <t xml:space="preserve"> West Coast Renewables</t>
  </si>
  <si>
    <t>T00008</t>
  </si>
  <si>
    <t>Geranium Plains Solar and BESS</t>
  </si>
  <si>
    <t xml:space="preserve"> Risen Energy (Australia) Pty Ltd</t>
  </si>
  <si>
    <t>S00018</t>
  </si>
  <si>
    <t>German Creek</t>
  </si>
  <si>
    <t>EDL CSM Qld Pty Ltd</t>
  </si>
  <si>
    <t>GERMCRK</t>
  </si>
  <si>
    <t>Gerogery Battery - KCI</t>
  </si>
  <si>
    <t>N00160</t>
  </si>
  <si>
    <t>Gerogery Solar Farm - KCI</t>
  </si>
  <si>
    <t>GIDDI BESS (Trafalgar East BESS - Stage 1)</t>
  </si>
  <si>
    <t>Gin Gin BESS</t>
  </si>
  <si>
    <t>Q00122</t>
  </si>
  <si>
    <t>Gippsland Dawn Offshore Wind Project</t>
  </si>
  <si>
    <t>Gippsland Dawn OWP Project Pty Ltd</t>
  </si>
  <si>
    <t>V00051</t>
  </si>
  <si>
    <t>Glen Inness BESS - KCI</t>
  </si>
  <si>
    <t>N00154</t>
  </si>
  <si>
    <t>Glenbawn</t>
  </si>
  <si>
    <t>GLBWNHYD</t>
  </si>
  <si>
    <t>Glenbawn Pumped Hydro Project</t>
  </si>
  <si>
    <t>Water NSW</t>
  </si>
  <si>
    <t>Glenbrae BESS</t>
  </si>
  <si>
    <t>Acenergy</t>
  </si>
  <si>
    <t>V00065</t>
  </si>
  <si>
    <t>Glenellen Solar Farm</t>
  </si>
  <si>
    <t xml:space="preserve"> Glenellen Solar Farm Pty Ltd</t>
  </si>
  <si>
    <t>N00012</t>
  </si>
  <si>
    <t>Glenmaggie Hydro</t>
  </si>
  <si>
    <t>GLENMAG1</t>
  </si>
  <si>
    <t>Glennies Creek</t>
  </si>
  <si>
    <t>GLENNCRK</t>
  </si>
  <si>
    <t>Glennis Creek Pumped Hydro Project</t>
  </si>
  <si>
    <t>Glenrowan BESS</t>
  </si>
  <si>
    <t>V00167</t>
  </si>
  <si>
    <t>Glenrowan BESS - Storage - KCI</t>
  </si>
  <si>
    <t>V00154</t>
  </si>
  <si>
    <t>GLENSF1</t>
  </si>
  <si>
    <t>Glenrowan West Solar Farm</t>
  </si>
  <si>
    <t>Glenroy Hybrid Facility - Solar And BESS</t>
  </si>
  <si>
    <t>M Renewables Australia Developments Pty Ltd</t>
  </si>
  <si>
    <t>Q00240</t>
  </si>
  <si>
    <t>324.80 - 470.40</t>
  </si>
  <si>
    <t>V00033</t>
  </si>
  <si>
    <t>Goat Hill Pumped Hydro</t>
  </si>
  <si>
    <t>Altura Group</t>
  </si>
  <si>
    <t>Gol Gol Wind Farm</t>
  </si>
  <si>
    <t>Squadron Energy Developments Pty Ltd</t>
  </si>
  <si>
    <t>V00104</t>
  </si>
  <si>
    <t>GPWFEST1</t>
  </si>
  <si>
    <t>V00061</t>
  </si>
  <si>
    <t>GPWFEST2</t>
  </si>
  <si>
    <t>GPWFEST3</t>
  </si>
  <si>
    <t>V00004</t>
  </si>
  <si>
    <t>GoodNight Hybrid Facility - Solar And BESS</t>
  </si>
  <si>
    <t>GoodNight One Pty Ltd</t>
  </si>
  <si>
    <t>Q00235</t>
  </si>
  <si>
    <t>Goombi Renewable Energy Hub</t>
  </si>
  <si>
    <t>Tag Energy Australia Pty Ltd</t>
  </si>
  <si>
    <t>Q00227</t>
  </si>
  <si>
    <t>Goorambat BESS (LightsourceBP)</t>
  </si>
  <si>
    <t>V00074</t>
  </si>
  <si>
    <t>Gordon</t>
  </si>
  <si>
    <t>GORDON</t>
  </si>
  <si>
    <t>Goulburn River BESS</t>
  </si>
  <si>
    <t xml:space="preserve"> Lightsource Development Services Australia Pty Ltd</t>
  </si>
  <si>
    <t>N00051</t>
  </si>
  <si>
    <t>Gould Creek BESS</t>
  </si>
  <si>
    <t>Gould Creek BESS Project Pty Ltd</t>
  </si>
  <si>
    <t>S00081</t>
  </si>
  <si>
    <t>Goyder BESS</t>
  </si>
  <si>
    <t>S00078</t>
  </si>
  <si>
    <t>2.00 - 600.00</t>
  </si>
  <si>
    <t>S00072</t>
  </si>
  <si>
    <t>S00003</t>
  </si>
  <si>
    <t>Grahamvale BESS - KCI</t>
  </si>
  <si>
    <t>AE BESS 3 Pty Ltd as Trustee for AE BESS 3 Unit Trust</t>
  </si>
  <si>
    <t>V00148</t>
  </si>
  <si>
    <t>Grange Avenue</t>
  </si>
  <si>
    <t>GRANGEAV</t>
  </si>
  <si>
    <t>Granite Hills Wind Farm</t>
  </si>
  <si>
    <t>Akuo Energy</t>
  </si>
  <si>
    <t>02-07-2018</t>
  </si>
  <si>
    <t>Granville Harbour Operations Pty Ltd as trustee for Granville Harbour Operations Trust</t>
  </si>
  <si>
    <t>GRANWF1</t>
  </si>
  <si>
    <t>02-06-2025</t>
  </si>
  <si>
    <t>Great Eastern Offshore Wind - KCI</t>
  </si>
  <si>
    <t>GIG Australian Offshore Wind Energy Holdings Pty Ltd</t>
  </si>
  <si>
    <t>V00100</t>
  </si>
  <si>
    <t>06-01-2023</t>
  </si>
  <si>
    <t>Great Lakes Battery</t>
  </si>
  <si>
    <t>T00013</t>
  </si>
  <si>
    <t>Great Western Battery Project</t>
  </si>
  <si>
    <t>N00032</t>
  </si>
  <si>
    <t>Greater Southern Offshore Wind - KCI</t>
  </si>
  <si>
    <t xml:space="preserve"> Greater Southern Offshore Wind Farm Project Co Pty Ltd</t>
  </si>
  <si>
    <t>V00082</t>
  </si>
  <si>
    <t>Green Poly BESS Project (KCI)</t>
  </si>
  <si>
    <t>Q00196</t>
  </si>
  <si>
    <t>Q00045</t>
  </si>
  <si>
    <t>Gregadoo Solar Farm</t>
  </si>
  <si>
    <t>Gregadoo Solar Farm Pty Ltd</t>
  </si>
  <si>
    <t>N00028</t>
  </si>
  <si>
    <t>12-01-2023</t>
  </si>
  <si>
    <t>Griffith BESS</t>
  </si>
  <si>
    <t>N00174</t>
  </si>
  <si>
    <t>Griffith Solar Farm Pty Ltd</t>
  </si>
  <si>
    <t>GRIFSF1</t>
  </si>
  <si>
    <t>04-12-2024</t>
  </si>
  <si>
    <t>EDL Projects Australia Pty Ltd</t>
  </si>
  <si>
    <t>GROSV1</t>
  </si>
  <si>
    <t>Grosvenor 2 Waste Coal Mine Gas Power Station</t>
  </si>
  <si>
    <t>Guildford Wind Farm</t>
  </si>
  <si>
    <t>T00005</t>
  </si>
  <si>
    <t>Gullen Range Battery Energy System</t>
  </si>
  <si>
    <t>goldwindaustralia_NR</t>
  </si>
  <si>
    <t>N00179</t>
  </si>
  <si>
    <t>New Gullen Range Wind Farm Pty Ltd</t>
  </si>
  <si>
    <t>GULLRSF1</t>
  </si>
  <si>
    <t>GULLRWF1</t>
  </si>
  <si>
    <t>Gundary Solar Farm and BESS</t>
  </si>
  <si>
    <t>N00081</t>
  </si>
  <si>
    <t>Gunnedah BESS</t>
  </si>
  <si>
    <t xml:space="preserve"> Gunnedah Battery Subco Pty Ltd</t>
  </si>
  <si>
    <t>N00088</t>
  </si>
  <si>
    <t>Gunnedah East BESS (Green Leap) - KCI</t>
  </si>
  <si>
    <t>Green Leap P/L</t>
  </si>
  <si>
    <t>N00153</t>
  </si>
  <si>
    <t>Gunnedah SF Pty Ltd atf Gunnedah Asset Trust</t>
  </si>
  <si>
    <t>GNNDHSF1</t>
  </si>
  <si>
    <t>Gunning Solar Farm (Canadian)</t>
  </si>
  <si>
    <t xml:space="preserve"> Canadian Solar</t>
  </si>
  <si>
    <t>238.00 - 294.00</t>
  </si>
  <si>
    <t>N00045</t>
  </si>
  <si>
    <t>28-02-2023</t>
  </si>
  <si>
    <t>Gunning Wind Farm</t>
  </si>
  <si>
    <t>Gunning Wind Energy Developments</t>
  </si>
  <si>
    <t>GUNNING1</t>
  </si>
  <si>
    <t>Gunsynd BESS</t>
  </si>
  <si>
    <t>Gunsynd BESS Pty Ltd</t>
  </si>
  <si>
    <t>Gurambilbarra Energy Hub</t>
  </si>
  <si>
    <t>365 Future Energy</t>
  </si>
  <si>
    <t>Guthega</t>
  </si>
  <si>
    <t>GUTHEGA</t>
  </si>
  <si>
    <t>Guthrie's Gap Solar Power Station</t>
  </si>
  <si>
    <t>Q00246</t>
  </si>
  <si>
    <t>Hallam Road</t>
  </si>
  <si>
    <t>HALAMRD1</t>
  </si>
  <si>
    <t>Brown Hill North Pty Ltd</t>
  </si>
  <si>
    <t>NBHWF1</t>
  </si>
  <si>
    <t>Hallett 5 The Bluff WF</t>
  </si>
  <si>
    <t>Eurus Energy</t>
  </si>
  <si>
    <t>BLUFF1</t>
  </si>
  <si>
    <t>Hallett BESS</t>
  </si>
  <si>
    <t>Palisade Investment Partner Limited</t>
  </si>
  <si>
    <t>HALLWF1</t>
  </si>
  <si>
    <t>Hallett Stage 2 Hallett Hill</t>
  </si>
  <si>
    <t>Infrastructure Capital Group Limited</t>
  </si>
  <si>
    <t>HALLWF2</t>
  </si>
  <si>
    <t>Halys BESS - Iberdrola</t>
  </si>
  <si>
    <t>IBERDROLA AUSTRALIA DEVELOPMENT PTY LIMITED</t>
  </si>
  <si>
    <t>Q00164</t>
  </si>
  <si>
    <t>Halys BESS (Akaysha)</t>
  </si>
  <si>
    <t>Halys BESS ProjectCo Pty Ltd</t>
  </si>
  <si>
    <t>Q00133</t>
  </si>
  <si>
    <t>Halys BESS (X-Elio)</t>
  </si>
  <si>
    <t>Q00132</t>
  </si>
  <si>
    <t>Halys Hybrid Facility - BESS</t>
  </si>
  <si>
    <t>Elements Green Australia Pty Ltd</t>
  </si>
  <si>
    <t>Q00182</t>
  </si>
  <si>
    <t>Halys Hybrid Facility - Solar</t>
  </si>
  <si>
    <t>Halys to Chinchilla DCA Battery - KCI</t>
  </si>
  <si>
    <t xml:space="preserve"> UGL Pty Ltd</t>
  </si>
  <si>
    <t>Q00019</t>
  </si>
  <si>
    <t>Hamilton Solar Farm Pty Ltd</t>
  </si>
  <si>
    <t>HAMISF1</t>
  </si>
  <si>
    <t>Hanworth Battery</t>
  </si>
  <si>
    <t>Hanworth BESS Pty Ltd</t>
  </si>
  <si>
    <t>N00190</t>
  </si>
  <si>
    <t>HVWWBA1</t>
  </si>
  <si>
    <t>HVWWPV1</t>
  </si>
  <si>
    <t>Hargaves BESS</t>
  </si>
  <si>
    <t>Hargaves Wind Farm</t>
  </si>
  <si>
    <t>Hargraves BESS</t>
  </si>
  <si>
    <t>Tilt Renewables DevCo Pty Ltd as the trustee for Development Hold Trust</t>
  </si>
  <si>
    <t>N00237</t>
  </si>
  <si>
    <t>Hargraves Energy Project - Wind Solar And BESS</t>
  </si>
  <si>
    <t>Hargraves Wind Farm</t>
  </si>
  <si>
    <t>Harlin Solar Farm</t>
  </si>
  <si>
    <t>Harlin Solar Pty Ltd</t>
  </si>
  <si>
    <t>Q00026</t>
  </si>
  <si>
    <t>22-03-2023</t>
  </si>
  <si>
    <t>Harrami Wind Farm</t>
  </si>
  <si>
    <t>Q00096</t>
  </si>
  <si>
    <t>Harrogate BESS</t>
  </si>
  <si>
    <t>266.60 - 269.95</t>
  </si>
  <si>
    <t>S00080</t>
  </si>
  <si>
    <t>Hastings Generation Site</t>
  </si>
  <si>
    <t>Esso Australia Resources</t>
  </si>
  <si>
    <t>Fossil - N/A</t>
  </si>
  <si>
    <t>Haughton BESS</t>
  </si>
  <si>
    <t>Q00127</t>
  </si>
  <si>
    <t>08-03-2024</t>
  </si>
  <si>
    <t>Q00030</t>
  </si>
  <si>
    <t>Haunted Gully BESS - KCI</t>
  </si>
  <si>
    <t>V00053</t>
  </si>
  <si>
    <t>03-04-2023</t>
  </si>
  <si>
    <t>V00031</t>
  </si>
  <si>
    <t>Hay Solar Farm Pty Ltd as Trustee of the Hay Solar Farm Trust</t>
  </si>
  <si>
    <t>Hazeldean BESS - Storage - KCI</t>
  </si>
  <si>
    <t>Q00062</t>
  </si>
  <si>
    <t>HBESS1</t>
  </si>
  <si>
    <t>V00007</t>
  </si>
  <si>
    <t>Hazelwood BESS - KCI</t>
  </si>
  <si>
    <t>International Power (Australia) Pty Ltd</t>
  </si>
  <si>
    <t>V00168</t>
  </si>
  <si>
    <t>Hazelwood North Solar Farm - KCI</t>
  </si>
  <si>
    <t>Manthos Investments Pty Ltd</t>
  </si>
  <si>
    <t>V00095</t>
  </si>
  <si>
    <t>Hellyer Wind Farm</t>
  </si>
  <si>
    <t>T00004</t>
  </si>
  <si>
    <t>Herries Range Wind Farm</t>
  </si>
  <si>
    <t>Acciona Energy Global Australia</t>
  </si>
  <si>
    <t>Q00163</t>
  </si>
  <si>
    <t>Hexham</t>
  </si>
  <si>
    <t>Wind Prospect WA Pty Ltd</t>
  </si>
  <si>
    <t>29-05-2023</t>
  </si>
  <si>
    <t>High Sea Wind Farm</t>
  </si>
  <si>
    <t>High Sea Wind Pty Ltd</t>
  </si>
  <si>
    <t>Hills of Gold Wind Farm</t>
  </si>
  <si>
    <t>Hills of Gold Wind Farm Pty Ltd</t>
  </si>
  <si>
    <t>N00194</t>
  </si>
  <si>
    <t>Hobart Show Grounds BESS</t>
  </si>
  <si>
    <t>Gravitas</t>
  </si>
  <si>
    <t>T00030</t>
  </si>
  <si>
    <t>Hollow Tree Wind Farm</t>
  </si>
  <si>
    <t>T00032</t>
  </si>
  <si>
    <t>07-10-2025</t>
  </si>
  <si>
    <t>Holloway - Battery</t>
  </si>
  <si>
    <t>Holloway BESS - KCI</t>
  </si>
  <si>
    <t>Bushranger Project Pty Ltd.</t>
  </si>
  <si>
    <t>N00173</t>
  </si>
  <si>
    <t>Hookey Creek Hybrid - Solar And BESs - KCI</t>
  </si>
  <si>
    <t>Zen Energy Future Pty Ltd</t>
  </si>
  <si>
    <t>Q00183</t>
  </si>
  <si>
    <t>Hopeland BESS</t>
  </si>
  <si>
    <t>Q00123</t>
  </si>
  <si>
    <t>Hopeland Solar Farm</t>
  </si>
  <si>
    <t>Hopeland Solar Farm Pty Ltd as trustee for the Hopeland Solar Farm Trust</t>
  </si>
  <si>
    <t>Q00108</t>
  </si>
  <si>
    <t>HPR1</t>
  </si>
  <si>
    <t>HWF 1 Pty Ltd</t>
  </si>
  <si>
    <t>HDWF1</t>
  </si>
  <si>
    <t>HWF 2 Pty Ltd</t>
  </si>
  <si>
    <t>HDWF2</t>
  </si>
  <si>
    <t>HWF 3 Pty Ltd</t>
  </si>
  <si>
    <t>HDWF3</t>
  </si>
  <si>
    <t>Horsham BESS</t>
  </si>
  <si>
    <t>ESCO Solar Farm 7 Trust</t>
  </si>
  <si>
    <t>V00027</t>
  </si>
  <si>
    <t>Hughenden Solar Pty Ltd as Trustee for Hughenden Solar Trust</t>
  </si>
  <si>
    <t>HUGSF1</t>
  </si>
  <si>
    <t>Hughes Road BESS</t>
  </si>
  <si>
    <t>Hume BESS</t>
  </si>
  <si>
    <t>Hume Bess (ARIF)</t>
  </si>
  <si>
    <t>The Trustee for the ARIF Hume BESS Holdings Trust</t>
  </si>
  <si>
    <t>N00128</t>
  </si>
  <si>
    <t>Hume Dam NSW</t>
  </si>
  <si>
    <t>GSPOWER</t>
  </si>
  <si>
    <t>HUMENSW</t>
  </si>
  <si>
    <t>Hume Dam VIC</t>
  </si>
  <si>
    <t>HUMEV</t>
  </si>
  <si>
    <t>Hume North Battery Energy Storage System</t>
  </si>
  <si>
    <t>Infrastructure Capital Services Pty Ltd as trustee for the ARIF Hume BESS Holdings Trust</t>
  </si>
  <si>
    <t>N00229</t>
  </si>
  <si>
    <t>30-06-2025</t>
  </si>
  <si>
    <t>Hunter Central Coast Offshore Energy (Wind)</t>
  </si>
  <si>
    <t>N00079</t>
  </si>
  <si>
    <t>Hunter EconomicZone</t>
  </si>
  <si>
    <t>HEZ1</t>
  </si>
  <si>
    <t>HYMIVC06 Belgrave-Hallam Rd Micro Hydro</t>
  </si>
  <si>
    <t>South East Water Corporation</t>
  </si>
  <si>
    <t>19-09-2022</t>
  </si>
  <si>
    <t>Ilford Green Energy Hub</t>
  </si>
  <si>
    <t>N00115</t>
  </si>
  <si>
    <t>Illawarra Offshore Wind Farm</t>
  </si>
  <si>
    <t>Innes Park Solar Farm</t>
  </si>
  <si>
    <t>Inverell Battery Energy Storage System</t>
  </si>
  <si>
    <t>Inverell BESS Development Pty Ltd</t>
  </si>
  <si>
    <t>N00228</t>
  </si>
  <si>
    <t>Inverleigh Solar Farm</t>
  </si>
  <si>
    <t>88.95 - 91.50</t>
  </si>
  <si>
    <t>Invicta Mill</t>
  </si>
  <si>
    <t>Haughton Sugar Company Pty Limited</t>
  </si>
  <si>
    <t>INVICTA</t>
  </si>
  <si>
    <t>29-05-2025</t>
  </si>
  <si>
    <t>Ironbark Power Station 20MW Expansion</t>
  </si>
  <si>
    <t>Carbon Logica Pty Ltd</t>
  </si>
  <si>
    <t>Q00207</t>
  </si>
  <si>
    <t>ISIS Central Sugar Mill Co-generation Plant</t>
  </si>
  <si>
    <t xml:space="preserve">SUSTAINABLE ENERGY INFRASTRUCTURE </t>
  </si>
  <si>
    <t>Ivanhoe BESS</t>
  </si>
  <si>
    <t>Ivanhoe Coal Pty Ltd</t>
  </si>
  <si>
    <t>N00226</t>
  </si>
  <si>
    <t>Jacks Gully</t>
  </si>
  <si>
    <t>JACKSGUL</t>
  </si>
  <si>
    <t>Jackson North BESS</t>
  </si>
  <si>
    <t>Q00107</t>
  </si>
  <si>
    <t>Jackson Solar Farm and BESS</t>
  </si>
  <si>
    <t>Jeeralang A</t>
  </si>
  <si>
    <t>EnergyAustralia Ecogen Py Ltd</t>
  </si>
  <si>
    <t>JLA01</t>
  </si>
  <si>
    <t>JLA02</t>
  </si>
  <si>
    <t>JLA03</t>
  </si>
  <si>
    <t>JLA04</t>
  </si>
  <si>
    <t>JLB02</t>
  </si>
  <si>
    <t>JLB03</t>
  </si>
  <si>
    <t>Jeremiah Wind Farm</t>
  </si>
  <si>
    <t>N00068</t>
  </si>
  <si>
    <t>Jindabyne</t>
  </si>
  <si>
    <t>JNDABNE1</t>
  </si>
  <si>
    <t>Jindera BESS - Storage - KCI</t>
  </si>
  <si>
    <t>BESS Atlantic</t>
  </si>
  <si>
    <t>N00106</t>
  </si>
  <si>
    <t>Jindera Solar Farm</t>
  </si>
  <si>
    <t>Jindera Solar Farm Pty Ltd</t>
  </si>
  <si>
    <t>N00132</t>
  </si>
  <si>
    <t>Joel Joel BESS</t>
  </si>
  <si>
    <t>V00076</t>
  </si>
  <si>
    <t>John Butters</t>
  </si>
  <si>
    <t>JBUTTERS</t>
  </si>
  <si>
    <t>Jounama</t>
  </si>
  <si>
    <t>JOUNAMA1</t>
  </si>
  <si>
    <t>Junction Rivers Wind And BESS</t>
  </si>
  <si>
    <t>Junction Rivers Pty Ltd</t>
  </si>
  <si>
    <t>N00129</t>
  </si>
  <si>
    <t>Kaloya Moa Standalone BESS</t>
  </si>
  <si>
    <t>Q00124</t>
  </si>
  <si>
    <t>Kangaroo Hills Wind Farm</t>
  </si>
  <si>
    <t>Origin Energy Pty Ltd</t>
  </si>
  <si>
    <t>19-03-2024</t>
  </si>
  <si>
    <t>150.00 - 155.00</t>
  </si>
  <si>
    <t>Kangaroo Valley BESS</t>
  </si>
  <si>
    <t>N00213</t>
  </si>
  <si>
    <t>Iraak Sun Farm Pty Ltd</t>
  </si>
  <si>
    <t>KARSF1</t>
  </si>
  <si>
    <t>Karara BESS - KCI</t>
  </si>
  <si>
    <t>Q00166</t>
  </si>
  <si>
    <t>Kareeya 5</t>
  </si>
  <si>
    <t>KAREEYA5</t>
  </si>
  <si>
    <t>Kariboe Wind Farm</t>
  </si>
  <si>
    <t>Kariboe Wind Farm Pty Ltd</t>
  </si>
  <si>
    <t>Q00047</t>
  </si>
  <si>
    <t>Karma Wind Farm - KCI</t>
  </si>
  <si>
    <t>NEMMCOCI Karma Pty Ltd as trustee for the CI Karma Trust</t>
  </si>
  <si>
    <t>Q00167</t>
  </si>
  <si>
    <t>02-07-2024</t>
  </si>
  <si>
    <t>Keepit</t>
  </si>
  <si>
    <t>KEEPIT</t>
  </si>
  <si>
    <t>26-09-2024</t>
  </si>
  <si>
    <t>Kelsey Creek Solar Farm</t>
  </si>
  <si>
    <t>BayWa r.e. Solar Project Pty Ltd</t>
  </si>
  <si>
    <t>21-03-2023</t>
  </si>
  <si>
    <t>Kelsey Creek Solar Farm_SS</t>
  </si>
  <si>
    <t>Kentbruck Wind Farm Pty Ltd atf Kentbruck Wind Farm Trust</t>
  </si>
  <si>
    <t>5.00 - 600.00</t>
  </si>
  <si>
    <t>Kerang Battery Plant</t>
  </si>
  <si>
    <t>BSR EPC P/L</t>
  </si>
  <si>
    <t>Kerang BESS</t>
  </si>
  <si>
    <t>Kerang Bess Pty Ltd</t>
  </si>
  <si>
    <t>V00135</t>
  </si>
  <si>
    <t>V00134</t>
  </si>
  <si>
    <t>Kerrawary Power Station</t>
  </si>
  <si>
    <t>N00201</t>
  </si>
  <si>
    <t>N00049</t>
  </si>
  <si>
    <t>V00174</t>
  </si>
  <si>
    <t>15-09-2025</t>
  </si>
  <si>
    <t>Kiata ProjectCo Pty Ltd atf Kiata Project Trust</t>
  </si>
  <si>
    <t>KIATAWF1</t>
  </si>
  <si>
    <t>Kidston Solar Project Phase One 50MW</t>
  </si>
  <si>
    <t>KSP1</t>
  </si>
  <si>
    <t>Kidston Solar Project Phase Two 270MW</t>
  </si>
  <si>
    <t>Kidston Stage 3 Wind Project</t>
  </si>
  <si>
    <t>Q00044</t>
  </si>
  <si>
    <t>KIEWA VALLEY BESS</t>
  </si>
  <si>
    <t xml:space="preserve">KIEWA VALLEY BESS NOMINEES PTY LTD on behalf of KIEWA VALLEY BESS Trust        </t>
  </si>
  <si>
    <t>V00144</t>
  </si>
  <si>
    <t>S00089</t>
  </si>
  <si>
    <t>Kingfisher Solar Storage - Solar</t>
  </si>
  <si>
    <t>31-07-2018</t>
  </si>
  <si>
    <t>Kingfisher Solar Storage - Storage</t>
  </si>
  <si>
    <t>Kings Plain Wind Farm</t>
  </si>
  <si>
    <t>Enerfin Energy Services Pty Ltd.</t>
  </si>
  <si>
    <t>N00145</t>
  </si>
  <si>
    <t>Kingswood BESS</t>
  </si>
  <si>
    <t>Iberdrola Australia Development Pty Ltd.</t>
  </si>
  <si>
    <t>N00134</t>
  </si>
  <si>
    <t>Koberinga Solar Farm</t>
  </si>
  <si>
    <t>Kogan Creek</t>
  </si>
  <si>
    <t>Kogan Creek Power Station Pty Ltd</t>
  </si>
  <si>
    <t>KPP_1</t>
  </si>
  <si>
    <t>Koolunga Battery Energy Storage System</t>
  </si>
  <si>
    <t>S00034</t>
  </si>
  <si>
    <t>Koorakee Wind Farm</t>
  </si>
  <si>
    <t>N00225</t>
  </si>
  <si>
    <t>Koorangie BESS Stage 2</t>
  </si>
  <si>
    <t>V00179</t>
  </si>
  <si>
    <t>V00079</t>
  </si>
  <si>
    <t>Koyuga Nanneella Wind Farm</t>
  </si>
  <si>
    <t>V00149</t>
  </si>
  <si>
    <t>Kurri Kurri Battery</t>
  </si>
  <si>
    <t>CEP Energy</t>
  </si>
  <si>
    <t>01-03-2023</t>
  </si>
  <si>
    <t>Kut Wut Brataualung</t>
  </si>
  <si>
    <t>Kut-Wut Brataualung Pty Ltd as trustee for the Kut-Wut Brataualung Trust</t>
  </si>
  <si>
    <t>LADBROK1</t>
  </si>
  <si>
    <t>LADBROK2</t>
  </si>
  <si>
    <t>Lake Bonney 1 Wind Farm</t>
  </si>
  <si>
    <t>Lake Bonney Wind Power Pty Ltd</t>
  </si>
  <si>
    <t>LKBONNY1</t>
  </si>
  <si>
    <t>Lake Bonney 2 Wind Farm</t>
  </si>
  <si>
    <t>LKBONNY2</t>
  </si>
  <si>
    <t>Lake Bonney 3 Wind Farm</t>
  </si>
  <si>
    <t>LKBONNY3</t>
  </si>
  <si>
    <t xml:space="preserve">Lake Bonney BESS Pty Limited </t>
  </si>
  <si>
    <t>LBB1</t>
  </si>
  <si>
    <t>Lake Echo</t>
  </si>
  <si>
    <t>LK_ECHO</t>
  </si>
  <si>
    <t>Lake Lyell Pumped Hydro</t>
  </si>
  <si>
    <t>N00092</t>
  </si>
  <si>
    <t>Lake Victoria Energy Park - KCI</t>
  </si>
  <si>
    <t>Lake Victoria Wind Farm Pty Ltd atf Lake Victoria Wind Farm unit trust</t>
  </si>
  <si>
    <t>N00175</t>
  </si>
  <si>
    <t>Lakeland Wind Farm</t>
  </si>
  <si>
    <t>Lakeland Wind Farm Pty Ltd</t>
  </si>
  <si>
    <t>Lambing Gully BESS</t>
  </si>
  <si>
    <t>Lambing Gully Wind Farm</t>
  </si>
  <si>
    <t>Lambruk Solar Project</t>
  </si>
  <si>
    <t xml:space="preserve"> Venn Energy Pty Ltd / Acacia Solar Project Pty Ltd.</t>
  </si>
  <si>
    <t>N00165</t>
  </si>
  <si>
    <t>Latrobe Solar Farm</t>
  </si>
  <si>
    <t>V00009</t>
  </si>
  <si>
    <t>08-12-2022</t>
  </si>
  <si>
    <t>V00040</t>
  </si>
  <si>
    <t>Laverton North</t>
  </si>
  <si>
    <t>LNGS1</t>
  </si>
  <si>
    <t>LNGS2</t>
  </si>
  <si>
    <t>Learmonth BESS</t>
  </si>
  <si>
    <t>The Trustee for Learmonth BESS Holdings Unit Trust</t>
  </si>
  <si>
    <t>V00139</t>
  </si>
  <si>
    <t>Leigh Creek Energy Project</t>
  </si>
  <si>
    <t>Leigh Creek Energy</t>
  </si>
  <si>
    <t>Lemonthyme / Wilmot</t>
  </si>
  <si>
    <t>LEM_WIL</t>
  </si>
  <si>
    <t>Leonards Hill</t>
  </si>
  <si>
    <t>Hepburn Community Wind Park Co-operative Limited</t>
  </si>
  <si>
    <t>HEPWIND1</t>
  </si>
  <si>
    <t>Lerida BESS</t>
  </si>
  <si>
    <t>Elgin EnergyP/L</t>
  </si>
  <si>
    <t>N00203</t>
  </si>
  <si>
    <t>Lerida Solar Farm</t>
  </si>
  <si>
    <t>LDBESS1</t>
  </si>
  <si>
    <t>Lilyvale BESS - KCI</t>
  </si>
  <si>
    <t>Acen Australia</t>
  </si>
  <si>
    <t>Q00152</t>
  </si>
  <si>
    <t>Limestone Creek BESS</t>
  </si>
  <si>
    <t>Intera</t>
  </si>
  <si>
    <t>N00094</t>
  </si>
  <si>
    <t>LINCOLN GAP BESSBDU</t>
  </si>
  <si>
    <t>Lincoln Gap Wind Farm (Operations) Pty Ltd</t>
  </si>
  <si>
    <t>S00065</t>
  </si>
  <si>
    <t>S00007</t>
  </si>
  <si>
    <t>S00005</t>
  </si>
  <si>
    <t>Lindley BESS</t>
  </si>
  <si>
    <t>02-12-2024</t>
  </si>
  <si>
    <t>Lindsay Gap BESS</t>
  </si>
  <si>
    <t>N00209</t>
  </si>
  <si>
    <t>Lionsgate Battery</t>
  </si>
  <si>
    <t>V00075</t>
  </si>
  <si>
    <t>Little River Solar Farm - KCI</t>
  </si>
  <si>
    <t xml:space="preserve"> Clean Technology Partners</t>
  </si>
  <si>
    <t>V00008</t>
  </si>
  <si>
    <t>Liverpool Range Wind Farm</t>
  </si>
  <si>
    <t>Liverpool Range Wind Farm Pty Ltd</t>
  </si>
  <si>
    <t>28-05-2025</t>
  </si>
  <si>
    <t>Stanwell Lockyer Project Co Pty Ltd</t>
  </si>
  <si>
    <t>87.00 - 117.00</t>
  </si>
  <si>
    <t>N00015</t>
  </si>
  <si>
    <t>Long Plains Solar Farm And BESS</t>
  </si>
  <si>
    <t>Longreach Asset Company</t>
  </si>
  <si>
    <t>LRSF1</t>
  </si>
  <si>
    <t>18-03-2024</t>
  </si>
  <si>
    <t>Lonsdale</t>
  </si>
  <si>
    <t>Lumo Generation SA Pty Ltd</t>
  </si>
  <si>
    <t>LONSDALE</t>
  </si>
  <si>
    <t>CS ENERGY</t>
  </si>
  <si>
    <t>Q00079</t>
  </si>
  <si>
    <t>Lovely Banks Renewable Energy Hub - KCI</t>
  </si>
  <si>
    <t xml:space="preserve"> Syncline Energy Pty Ltd</t>
  </si>
  <si>
    <t>V00002</t>
  </si>
  <si>
    <t>28-03-2025</t>
  </si>
  <si>
    <t>Lower Wonga BESS</t>
  </si>
  <si>
    <t>Equis Energy (Australia) Projects (Ngumi 7) Pty Ltd as trustee for the Equis Energy(Australia) Ngumi 7 Asset Trust</t>
  </si>
  <si>
    <t>Q00146</t>
  </si>
  <si>
    <t>Q00052</t>
  </si>
  <si>
    <t>05-06-2024</t>
  </si>
  <si>
    <t>Fossil - Brown Coal</t>
  </si>
  <si>
    <t>LYA1</t>
  </si>
  <si>
    <t>LYA3</t>
  </si>
  <si>
    <t>LYA4</t>
  </si>
  <si>
    <t>04-03-2025</t>
  </si>
  <si>
    <t>LOYYB2</t>
  </si>
  <si>
    <t>Loy Yang B Power Station - BESS Stage 1 - KCI</t>
  </si>
  <si>
    <t>Alinta Energy Clean Energy Development Pty Ltd</t>
  </si>
  <si>
    <t>V00152</t>
  </si>
  <si>
    <t>LST02 Data Hall BESS</t>
  </si>
  <si>
    <t>Firmus Grid P/L</t>
  </si>
  <si>
    <t>T00036</t>
  </si>
  <si>
    <t>Lucas Heights 2</t>
  </si>
  <si>
    <t>LUCAS2S2</t>
  </si>
  <si>
    <t>LUCASHGT</t>
  </si>
  <si>
    <t>LYA BESS</t>
  </si>
  <si>
    <t>LOYYANGA</t>
  </si>
  <si>
    <t>V00038</t>
  </si>
  <si>
    <t>Macarthur Wind Farm Pty Ltd and Meridian Wind Macarthur Pty Ltd</t>
  </si>
  <si>
    <t>MACARTH1</t>
  </si>
  <si>
    <t>Q00006</t>
  </si>
  <si>
    <t>Mackenzie River BESS</t>
  </si>
  <si>
    <t>Mackenzie River ProjectCo Pty Ltd</t>
  </si>
  <si>
    <t>Q00220</t>
  </si>
  <si>
    <t>Mackenzie River Solar Farm</t>
  </si>
  <si>
    <t>Mackintosh</t>
  </si>
  <si>
    <t>MACKNTSH</t>
  </si>
  <si>
    <t>Madeline Downs BESS</t>
  </si>
  <si>
    <t>Q00111</t>
  </si>
  <si>
    <t>Maison Dieu BESS</t>
  </si>
  <si>
    <t>Graviatas Now Pty Ltd</t>
  </si>
  <si>
    <t>N00238</t>
  </si>
  <si>
    <t>Maison Dieu Solar Farm</t>
  </si>
  <si>
    <t>Terrain Solar</t>
  </si>
  <si>
    <t>Majors Creek Solar Power Station</t>
  </si>
  <si>
    <t>Q00168</t>
  </si>
  <si>
    <t>Mallee Wind Farm</t>
  </si>
  <si>
    <t>Mallee Wind PTY LTD</t>
  </si>
  <si>
    <t>N00102</t>
  </si>
  <si>
    <t>380.00 - 501.60</t>
  </si>
  <si>
    <t>Malunga Nine Mile BESS - KCI</t>
  </si>
  <si>
    <t>Green Switch Energy Pty Ltd</t>
  </si>
  <si>
    <t>V00165</t>
  </si>
  <si>
    <t>Mandurama BESS</t>
  </si>
  <si>
    <t>Mandurama Wind Farm</t>
  </si>
  <si>
    <t>Mangoplah BESS - KCI</t>
  </si>
  <si>
    <t>N00180</t>
  </si>
  <si>
    <t>Manildra Solar Farm</t>
  </si>
  <si>
    <t>Manildra Prop Pty Ltd as trustee for the Manildra Asset Trust</t>
  </si>
  <si>
    <t>MANSLR1</t>
  </si>
  <si>
    <t>S00010</t>
  </si>
  <si>
    <t>S00011</t>
  </si>
  <si>
    <t>S00016</t>
  </si>
  <si>
    <t>MANNSF2</t>
  </si>
  <si>
    <t>Mansfield Solar Farm - Solar - KCI</t>
  </si>
  <si>
    <t xml:space="preserve"> Biscon Energy Australia Pty Ltd</t>
  </si>
  <si>
    <t>V00036</t>
  </si>
  <si>
    <t>Mansfield Solar Farm - Storage - KCI</t>
  </si>
  <si>
    <t>Maranbah Solar Farm</t>
  </si>
  <si>
    <t>EEW ECO ENERGY WORLD PTY LTD</t>
  </si>
  <si>
    <t>Marcollat Energy Hub (Stage 1)</t>
  </si>
  <si>
    <t>BE PRO MC1 PTY LTD</t>
  </si>
  <si>
    <t>S00084</t>
  </si>
  <si>
    <t>Marcollat Energy Hub (stage 2)</t>
  </si>
  <si>
    <t>S00085</t>
  </si>
  <si>
    <t>Markaranka Solar and Storage</t>
  </si>
  <si>
    <t>Monash Energy Pty Ltd</t>
  </si>
  <si>
    <t>S00075</t>
  </si>
  <si>
    <t>19-06-2024</t>
  </si>
  <si>
    <t>Marmadua Wind Farm (KCI)</t>
  </si>
  <si>
    <t>Cubico Sustainable Investments Australia Pty Ltd</t>
  </si>
  <si>
    <t>Q00169</t>
  </si>
  <si>
    <t>Maroona Wind Farm</t>
  </si>
  <si>
    <t>Myamba Developments Pty Ltd</t>
  </si>
  <si>
    <t>MAROOWF1</t>
  </si>
  <si>
    <t>Marulan BESS</t>
  </si>
  <si>
    <t>Marulan Solar Farm</t>
  </si>
  <si>
    <t>Marulan Solar Farm Pty Ltd</t>
  </si>
  <si>
    <t>Solar PV - Dual axis tracking</t>
  </si>
  <si>
    <t>190.40 - 207.20</t>
  </si>
  <si>
    <t>Maryvale Energy From Waste</t>
  </si>
  <si>
    <t>Maryvale Energy from Waste Project Company</t>
  </si>
  <si>
    <t>Renewable Biomass or Waste - Municipal Solid Waste</t>
  </si>
  <si>
    <t xml:space="preserve">Maryvale Solar Farm Pty Ltd </t>
  </si>
  <si>
    <t>06-10-2025</t>
  </si>
  <si>
    <t>Maules Creek BESS</t>
  </si>
  <si>
    <t>72.00 - 81.00</t>
  </si>
  <si>
    <t>N00121</t>
  </si>
  <si>
    <t>Maules Creek Solar Farm</t>
  </si>
  <si>
    <t>48.02 - 63.00</t>
  </si>
  <si>
    <t>Mavis Hybrid Facility - Solar</t>
  </si>
  <si>
    <t>Metlen Energy &amp; Metals</t>
  </si>
  <si>
    <t>226.80 - 252.00</t>
  </si>
  <si>
    <t>03-09-2025</t>
  </si>
  <si>
    <t>Maxwell Downs Solar Farm - KCI</t>
  </si>
  <si>
    <t>X-Elio Holbrook Trust</t>
  </si>
  <si>
    <t>N00096</t>
  </si>
  <si>
    <t>McCullys Gap BESS</t>
  </si>
  <si>
    <t>BW ESS</t>
  </si>
  <si>
    <t>McMahons Reef Solar Farm</t>
  </si>
  <si>
    <t>N00110</t>
  </si>
  <si>
    <t>Meadow Creek Solar Farm - KCI</t>
  </si>
  <si>
    <t xml:space="preserve"> Clean Technologies Partners</t>
  </si>
  <si>
    <t>V00057</t>
  </si>
  <si>
    <t>Meadowbank</t>
  </si>
  <si>
    <t>MEADOWBK</t>
  </si>
  <si>
    <t>Meering BESS</t>
  </si>
  <si>
    <t>Virya Energy Pty Ltd</t>
  </si>
  <si>
    <t>17-10-2024</t>
  </si>
  <si>
    <t>Meering Wind Farm</t>
  </si>
  <si>
    <t>Melbourne Grid Battery - KCI</t>
  </si>
  <si>
    <t>Lumea</t>
  </si>
  <si>
    <t>V00114</t>
  </si>
  <si>
    <t>28-03-2024</t>
  </si>
  <si>
    <t>Melbourne Renewable Energy Hub - Side B</t>
  </si>
  <si>
    <t>V00115</t>
  </si>
  <si>
    <t>Merino Solar Farm</t>
  </si>
  <si>
    <t>Merino Solar Farm Pty Ltd as trustee for Merino Solar Farm Trust</t>
  </si>
  <si>
    <t>N00084</t>
  </si>
  <si>
    <t>Merriwa Solar Farm and BESS</t>
  </si>
  <si>
    <t>Valent Energy Developments Pty Ltd</t>
  </si>
  <si>
    <t>N00072</t>
  </si>
  <si>
    <t>Middle Creek Renewable Energy Hub - Wind</t>
  </si>
  <si>
    <t>Q00237</t>
  </si>
  <si>
    <t>Middlebrook Solar And BESS</t>
  </si>
  <si>
    <t>Middlebrook Solar Farm Pty Ltd as trustee for MSF Project Trust</t>
  </si>
  <si>
    <t>N00071</t>
  </si>
  <si>
    <t>Middlemount Solar Farm</t>
  </si>
  <si>
    <t>MIDDLSF1</t>
  </si>
  <si>
    <t>Midlands Hydro</t>
  </si>
  <si>
    <t>Midwest BESS</t>
  </si>
  <si>
    <t>Midwest Solar Pty Ltd</t>
  </si>
  <si>
    <t>N00232</t>
  </si>
  <si>
    <t>Midwest Solar Farm</t>
  </si>
  <si>
    <t>Ceramet</t>
  </si>
  <si>
    <t>19-04-2018</t>
  </si>
  <si>
    <t>Q00093</t>
  </si>
  <si>
    <t>Miles Solar Project</t>
  </si>
  <si>
    <t>Q00090</t>
  </si>
  <si>
    <t>Millmerran BESS - Storage</t>
  </si>
  <si>
    <t>Millmerran Power Partners</t>
  </si>
  <si>
    <t>Q00061</t>
  </si>
  <si>
    <t>Millmerran Power Plant</t>
  </si>
  <si>
    <t>MPP_1</t>
  </si>
  <si>
    <t>MPP_2</t>
  </si>
  <si>
    <t>Millmerran Wind Farm</t>
  </si>
  <si>
    <t>Milpulling Wind Farm</t>
  </si>
  <si>
    <t>Milpulling Wind Farm Pty Ltd</t>
  </si>
  <si>
    <t>Mintaro GT</t>
  </si>
  <si>
    <t>MINTARO</t>
  </si>
  <si>
    <t>Miriam Vale Solar Farm And BESS - A</t>
  </si>
  <si>
    <t>Private Energy Partners Pty Ltd</t>
  </si>
  <si>
    <t>Q00125</t>
  </si>
  <si>
    <t>Miriam Vale Solar Farm And BESS - B</t>
  </si>
  <si>
    <t>Q00185</t>
  </si>
  <si>
    <t>MNC000116 - Dubbo Firming Power Station</t>
  </si>
  <si>
    <t>Moah Creek Solar Farm (RES)</t>
  </si>
  <si>
    <t>Moah Creek Solar Development Co Pty Ltd</t>
  </si>
  <si>
    <t>Q00138</t>
  </si>
  <si>
    <t>Moah Creek Wind Farm</t>
  </si>
  <si>
    <t>Moah Creek Wind Farm Project Co Pty Ltd as trustee for the Moah Creek Wind Farm Project Trust</t>
  </si>
  <si>
    <t>Q00040</t>
  </si>
  <si>
    <t>Moama Solar Farm</t>
  </si>
  <si>
    <t>Moama Propertyco Pty Ltd as trustee for the Moama Property Trust</t>
  </si>
  <si>
    <t>Mobilong BESS</t>
  </si>
  <si>
    <t>Mobilong ProjectCo Pty Ltd</t>
  </si>
  <si>
    <t>S00052</t>
  </si>
  <si>
    <t>Mologa BESS</t>
  </si>
  <si>
    <t>Potentia Energy Group P/L</t>
  </si>
  <si>
    <t>V00178</t>
  </si>
  <si>
    <t>Molong BESS</t>
  </si>
  <si>
    <t>StorEnergy 3 Pty Ltd</t>
  </si>
  <si>
    <t>N00189</t>
  </si>
  <si>
    <t>Molong Operations co Pty Ltd ATF Molong Operations Trust</t>
  </si>
  <si>
    <t>Molonglo BESS</t>
  </si>
  <si>
    <t>YES GROUP</t>
  </si>
  <si>
    <t>Monash Solar Farm - KCI</t>
  </si>
  <si>
    <t xml:space="preserve"> 1265 Warnecke Rd Pty Ltd</t>
  </si>
  <si>
    <t>S00001</t>
  </si>
  <si>
    <t>Monduran BESS</t>
  </si>
  <si>
    <t>Eku Energy Projects (Australia) Pty Ltd as trustee for the Eku Energy Projects (Australia) Trust</t>
  </si>
  <si>
    <t>Q00186</t>
  </si>
  <si>
    <t>Moonah Solar Farm - KCI</t>
  </si>
  <si>
    <t xml:space="preserve"> Venn Energy Pty Ltd / Moonah Solar Project Pty Ltd</t>
  </si>
  <si>
    <t>V00056</t>
  </si>
  <si>
    <t>Moonlight Range Wind Farm</t>
  </si>
  <si>
    <t>Brookfield</t>
  </si>
  <si>
    <t>Q00106</t>
  </si>
  <si>
    <t>Moorabool BESS</t>
  </si>
  <si>
    <t>HMC Energy Transition No.3 A6 Project Pty Ltd as Trustee for HMC Energy Transition No.3 A6 Project Trust</t>
  </si>
  <si>
    <t>28-02-2024</t>
  </si>
  <si>
    <t>Moorebank Logistics Park Project</t>
  </si>
  <si>
    <t>Energy Bay Fund Management</t>
  </si>
  <si>
    <t>N00087</t>
  </si>
  <si>
    <t>19-01-2023</t>
  </si>
  <si>
    <t>Moranbah Generation Project</t>
  </si>
  <si>
    <t>MORANBAH</t>
  </si>
  <si>
    <t>Q00208</t>
  </si>
  <si>
    <t>Moranbah North</t>
  </si>
  <si>
    <t>MBAHNTH</t>
  </si>
  <si>
    <t>Moree BESS</t>
  </si>
  <si>
    <t xml:space="preserve">AE BESS 2 PTY LTD AS TRUSTEE FOR AE BESS 2 UNIT TRUST </t>
  </si>
  <si>
    <t>N00135</t>
  </si>
  <si>
    <t>Moree Solar Farm Pty Ltd</t>
  </si>
  <si>
    <t>MOREESF1</t>
  </si>
  <si>
    <t>Moreton Hill Wind Farm</t>
  </si>
  <si>
    <t>Moreton Hill Wind Farm Nominees Pty Ltd</t>
  </si>
  <si>
    <t>V00116</t>
  </si>
  <si>
    <t>Morgan Battery</t>
  </si>
  <si>
    <t>Morgan Long Duration Energy Storage - KCI</t>
  </si>
  <si>
    <t>S00062</t>
  </si>
  <si>
    <t>Morgan Solar</t>
  </si>
  <si>
    <t>S00037</t>
  </si>
  <si>
    <t>V00003</t>
  </si>
  <si>
    <t>MORTLK11</t>
  </si>
  <si>
    <t>V00018</t>
  </si>
  <si>
    <t>Yanara Australia Pty Ltd</t>
  </si>
  <si>
    <t>V00077</t>
  </si>
  <si>
    <t>MRTLSWF1</t>
  </si>
  <si>
    <t>Mortons Lane Windfarm Pty Ltd</t>
  </si>
  <si>
    <t>MLWF1</t>
  </si>
  <si>
    <t>Morwell BESS</t>
  </si>
  <si>
    <t>ACE Power Development 2 Pty Ltd</t>
  </si>
  <si>
    <t>V00137</t>
  </si>
  <si>
    <t>03-06-2024</t>
  </si>
  <si>
    <t>Mount Britton BESS1</t>
  </si>
  <si>
    <t>Mount Britton BESS2</t>
  </si>
  <si>
    <t>MEWF1</t>
  </si>
  <si>
    <t>Mount Fyans</t>
  </si>
  <si>
    <t>Woolnorth Wind Farm Holding</t>
  </si>
  <si>
    <t>340.00 - 459.00</t>
  </si>
  <si>
    <t>V00103</t>
  </si>
  <si>
    <t>Mount Fyans Wind Farm</t>
  </si>
  <si>
    <t>Woolnorth Wing Farm Holding Pty Ltd</t>
  </si>
  <si>
    <t>V00138</t>
  </si>
  <si>
    <t>Mount Hopeful BESS</t>
  </si>
  <si>
    <t>Q00232</t>
  </si>
  <si>
    <t>Mount Hopeful Wind Farm</t>
  </si>
  <si>
    <t>Mount Hopeful Wind Farm as trustee for Mount Hopeful Wind Farm Trust</t>
  </si>
  <si>
    <t>Q00082</t>
  </si>
  <si>
    <t>Mount Lambie BESS</t>
  </si>
  <si>
    <t>Mount Lambie Wind Farm</t>
  </si>
  <si>
    <t>Mt Challenger BESS</t>
  </si>
  <si>
    <t>Mt Challenger Wind Farm</t>
  </si>
  <si>
    <t>Mt Cotton Biomass Cogeneration Power Station</t>
  </si>
  <si>
    <t>Darwalla Milling Co Pty Ltd</t>
  </si>
  <si>
    <t>14-04-2018</t>
  </si>
  <si>
    <t>Mt Doran BESS</t>
  </si>
  <si>
    <t>V00111</t>
  </si>
  <si>
    <t xml:space="preserve"> Mount Fox BESS Pty Ltd</t>
  </si>
  <si>
    <t>Q00008</t>
  </si>
  <si>
    <t>Mt Fox Wind Farm</t>
  </si>
  <si>
    <t xml:space="preserve"> Mount Fox Energy Park Pty Ltd</t>
  </si>
  <si>
    <t>Q00147</t>
  </si>
  <si>
    <t>Mt Mercer BESS</t>
  </si>
  <si>
    <t>Foresight Australia</t>
  </si>
  <si>
    <t>V00157</t>
  </si>
  <si>
    <t>Mt Mercer Windfarm Pty Ltd</t>
  </si>
  <si>
    <t>MERCER01</t>
  </si>
  <si>
    <t>Mt Millar Wind Farm</t>
  </si>
  <si>
    <t>MT MILLAR WIND FARM PTY LTD</t>
  </si>
  <si>
    <t>MTMILLAR</t>
  </si>
  <si>
    <t>MP2</t>
  </si>
  <si>
    <t>Mt Piper BESS</t>
  </si>
  <si>
    <t>Energy Australia Development Pty Ltd</t>
  </si>
  <si>
    <t>N00113</t>
  </si>
  <si>
    <t>Mt Rawdon Pumped Hydro Energy Storage Project - KCI</t>
  </si>
  <si>
    <t xml:space="preserve"> Mount Rawdon Pty Ltd</t>
  </si>
  <si>
    <t>Q00015</t>
  </si>
  <si>
    <t>Mt Stuart</t>
  </si>
  <si>
    <t>Origin Energy Mt Stuart</t>
  </si>
  <si>
    <t>MSTUART1</t>
  </si>
  <si>
    <t>09-04-2025</t>
  </si>
  <si>
    <t>MSTUART2</t>
  </si>
  <si>
    <t>MSTUART3</t>
  </si>
  <si>
    <t>Mt View Wind Farm (KCI)</t>
  </si>
  <si>
    <t>Woodside Energy Technologies Pty Ltd</t>
  </si>
  <si>
    <t>Q00187</t>
  </si>
  <si>
    <t>Mugga Lane BESS</t>
  </si>
  <si>
    <t>LGI</t>
  </si>
  <si>
    <t>16-03-2025</t>
  </si>
  <si>
    <t>3.21 - 6.39</t>
  </si>
  <si>
    <t>Mullion Creek Wind Farm</t>
  </si>
  <si>
    <t>Mullion Creek Wind Farm P/L</t>
  </si>
  <si>
    <t>N00215</t>
  </si>
  <si>
    <t>Mulwala BESS</t>
  </si>
  <si>
    <t>European Energy</t>
  </si>
  <si>
    <t>MUCRKSF1</t>
  </si>
  <si>
    <t>Murilla Energy Hub</t>
  </si>
  <si>
    <t>APA Power Holdings Pty Ltd</t>
  </si>
  <si>
    <t>Q00243</t>
  </si>
  <si>
    <t>MUWAWF1</t>
  </si>
  <si>
    <t>Murray 1</t>
  </si>
  <si>
    <t>MURRAY</t>
  </si>
  <si>
    <t>Murray 2</t>
  </si>
  <si>
    <t>Murrumburrah BESS - KCI</t>
  </si>
  <si>
    <t>N00156</t>
  </si>
  <si>
    <t>Muskerry Solar Power Station - KCI</t>
  </si>
  <si>
    <t>V00155</t>
  </si>
  <si>
    <t>Musselroe Wind Farm Pty Ltd</t>
  </si>
  <si>
    <t>MUSSELR1</t>
  </si>
  <si>
    <t>Muswellbrook BESS</t>
  </si>
  <si>
    <t>Muswellbrook Pumped Hydro</t>
  </si>
  <si>
    <t>250.00 - 400.00</t>
  </si>
  <si>
    <t>N00103</t>
  </si>
  <si>
    <t>Muswellbrook Solar Farm</t>
  </si>
  <si>
    <t>Ox2</t>
  </si>
  <si>
    <t>17-12-2024</t>
  </si>
  <si>
    <t>Myrtle Creek BESS</t>
  </si>
  <si>
    <t>Narrabri Hybrid Project</t>
  </si>
  <si>
    <t xml:space="preserve"> Narrabri Genesis Hold Pty Ltd ATF Narrabri Genesis Hold Trust</t>
  </si>
  <si>
    <t>N00059</t>
  </si>
  <si>
    <t>Narrabri South Solar Farm</t>
  </si>
  <si>
    <t>Narrandera BESS</t>
  </si>
  <si>
    <t>N00214</t>
  </si>
  <si>
    <t>Narrandera Solar Farm</t>
  </si>
  <si>
    <t>Narromine Solar Farm</t>
  </si>
  <si>
    <t>Dubbo Solar Hub Pty Ltd</t>
  </si>
  <si>
    <t>NASF1</t>
  </si>
  <si>
    <t>Nebo BESS</t>
  </si>
  <si>
    <t>Nebo BESS Pty Ltd</t>
  </si>
  <si>
    <t>Q00117</t>
  </si>
  <si>
    <t>Nebo BESS (Iberdrola) - KCI</t>
  </si>
  <si>
    <t>Q00165</t>
  </si>
  <si>
    <t>Nevertire Solar Pty Ltd as Trustee for the Nevertire Solar Trust</t>
  </si>
  <si>
    <t>N00030</t>
  </si>
  <si>
    <t>NPS</t>
  </si>
  <si>
    <t>Nine Mile Energy Park Stage 1 - BESS</t>
  </si>
  <si>
    <t>15-08-2025</t>
  </si>
  <si>
    <t>Nine Mile Energy Park Stage 2 - BESS</t>
  </si>
  <si>
    <t>Noblevale BESS (KCI)</t>
  </si>
  <si>
    <t>Q00172</t>
  </si>
  <si>
    <t>Nonowie Wind Farm</t>
  </si>
  <si>
    <t>S00059</t>
  </si>
  <si>
    <t>Normanville Energy Park - Wind (KCI)</t>
  </si>
  <si>
    <t>Westwind Development Pty Ltd</t>
  </si>
  <si>
    <t>V00162</t>
  </si>
  <si>
    <t>North Burnett Renewable Hub - BESS</t>
  </si>
  <si>
    <t>Q00141</t>
  </si>
  <si>
    <t>North Burnett Renewable Hub - Solar</t>
  </si>
  <si>
    <t>North East Wind - KCI</t>
  </si>
  <si>
    <t>ACEN North East Tasmania Pty Ltd</t>
  </si>
  <si>
    <t>T00022</t>
  </si>
  <si>
    <t>North Yarragon BESS - KCI</t>
  </si>
  <si>
    <t>V00166</t>
  </si>
  <si>
    <t>Northern Midlands Solar Farm - KCI</t>
  </si>
  <si>
    <t>Northern Midlands Solar Farm Tas Pty Ltd (ACN 684 471 627) as trustee for the Northern Midlands Solar Farm Unit Trust (ABN 26 279 618 811)</t>
  </si>
  <si>
    <t>143.50 - 180.40</t>
  </si>
  <si>
    <t>T00021</t>
  </si>
  <si>
    <t>154.98 - 180.40</t>
  </si>
  <si>
    <t>Northern Tablelands Wind Farm</t>
  </si>
  <si>
    <t>Nottingham Park Solar Farm - KCI</t>
  </si>
  <si>
    <t>NPSF Renewables Pty Ltd</t>
  </si>
  <si>
    <t>N00097</t>
  </si>
  <si>
    <t>Novocastrian Offshore Wind Farm</t>
  </si>
  <si>
    <t>Nowingi Solar Farm - Edify (KCI)</t>
  </si>
  <si>
    <t>V00164</t>
  </si>
  <si>
    <t>Nowingi Solar Storage - Solar</t>
  </si>
  <si>
    <t>Nowingi Solar Storage - Storage</t>
  </si>
  <si>
    <t>NSW Gas Peaker</t>
  </si>
  <si>
    <t>NUMURSF1</t>
  </si>
  <si>
    <t>Nyaninyuk Wind Farm</t>
  </si>
  <si>
    <t>NYNGAN1</t>
  </si>
  <si>
    <t>OAKEY1</t>
  </si>
  <si>
    <t>OAKEY2</t>
  </si>
  <si>
    <t>Oakey Solar Farm</t>
  </si>
  <si>
    <t>Oakey1 Asset Co Pty Ltd</t>
  </si>
  <si>
    <t>OAKEY1SF</t>
  </si>
  <si>
    <t>Oaklands Hill Wind Farm</t>
  </si>
  <si>
    <t>Oaklands Hill Wind farm pty ltd</t>
  </si>
  <si>
    <t>OAKLAND1</t>
  </si>
  <si>
    <t>N00164</t>
  </si>
  <si>
    <t>Orange Grove Sun Farm</t>
  </si>
  <si>
    <t>Overland Sun Farm Holdings Pty Ltd</t>
  </si>
  <si>
    <t>N00095</t>
  </si>
  <si>
    <t>Orsted Gippsland A&amp;B Windfarm</t>
  </si>
  <si>
    <t>orsted_nr</t>
  </si>
  <si>
    <t>10-01-2024</t>
  </si>
  <si>
    <t>Orsted Gippsland C Windfarm</t>
  </si>
  <si>
    <t>Osborne BESS</t>
  </si>
  <si>
    <t>Osboourne Cogeneration P/L</t>
  </si>
  <si>
    <t>120.00 - 300.00</t>
  </si>
  <si>
    <t>S00060</t>
  </si>
  <si>
    <t>14-01-2024</t>
  </si>
  <si>
    <t>Oven Mountain Pumped Storage</t>
  </si>
  <si>
    <t>N00007</t>
  </si>
  <si>
    <t>Oxley Solar Farm</t>
  </si>
  <si>
    <t>Oxley Solar Development Pty Ltd</t>
  </si>
  <si>
    <t>N00116</t>
  </si>
  <si>
    <t>Pacific Green Energy Park - Limestone Coast North</t>
  </si>
  <si>
    <t>Pacific Green</t>
  </si>
  <si>
    <t>S00045</t>
  </si>
  <si>
    <t>Pacific Green Energy Park - Limestone Coast West</t>
  </si>
  <si>
    <t>S00048</t>
  </si>
  <si>
    <t>Pacific Green Energy Park – Portland</t>
  </si>
  <si>
    <t>Pacific Green Energy Park Cascade Trust</t>
  </si>
  <si>
    <t>Pacific Green Energy Park Portland West</t>
  </si>
  <si>
    <t>Pacific Green Energy Park Portland West Trust</t>
  </si>
  <si>
    <t>V00113</t>
  </si>
  <si>
    <t>Paling Yards Wind Farm</t>
  </si>
  <si>
    <t>Paling Yards Development Pty Ltd</t>
  </si>
  <si>
    <t>N00001</t>
  </si>
  <si>
    <t>240.00 - 274.00</t>
  </si>
  <si>
    <t>S00035</t>
  </si>
  <si>
    <t>Palmerston BESS (Akaysha)</t>
  </si>
  <si>
    <t>Palmerston ProjectCo Pty Ltd</t>
  </si>
  <si>
    <t>T00014</t>
  </si>
  <si>
    <t>Paloona</t>
  </si>
  <si>
    <t>PALOONA</t>
  </si>
  <si>
    <t>Panorama BESS</t>
  </si>
  <si>
    <t xml:space="preserve"> PANORAMA BESS SUBCO PTY LTD as trustee for the PANORAMA BESS UNIT TRUST</t>
  </si>
  <si>
    <t>N00093</t>
  </si>
  <si>
    <t>S00079</t>
  </si>
  <si>
    <t>Parkes Solar Farm Pty Ltd</t>
  </si>
  <si>
    <t>PARSF1</t>
  </si>
  <si>
    <t>Peel Valley BESS</t>
  </si>
  <si>
    <t>N00212</t>
  </si>
  <si>
    <t>Peel Valley Solar Farm</t>
  </si>
  <si>
    <t>Pelican Point Power Limited</t>
  </si>
  <si>
    <t>PPCCGT</t>
  </si>
  <si>
    <t>Pelican Point BESS</t>
  </si>
  <si>
    <t>S00087</t>
  </si>
  <si>
    <t>Penfield BESS</t>
  </si>
  <si>
    <t>BESS PENFIELD PTY LTD</t>
  </si>
  <si>
    <t>Peninsula Solar Farm &amp; BESS</t>
  </si>
  <si>
    <t>N00142</t>
  </si>
  <si>
    <t>PIBESS1</t>
  </si>
  <si>
    <t>Phoenix Pumped Hydro Project</t>
  </si>
  <si>
    <t>ACEN Phoenix Pty Ltd</t>
  </si>
  <si>
    <t>N00125</t>
  </si>
  <si>
    <t>Piambong Wind Farm Pty Ltd</t>
  </si>
  <si>
    <t>N00090</t>
  </si>
  <si>
    <t>09-03-2023</t>
  </si>
  <si>
    <t>Pikedale Wind Farm (KCI)</t>
  </si>
  <si>
    <t>Q00188</t>
  </si>
  <si>
    <t>Pindari</t>
  </si>
  <si>
    <t>PINDARI</t>
  </si>
  <si>
    <t>Pine Lodge 2 BESS - KCI</t>
  </si>
  <si>
    <t>V00153</t>
  </si>
  <si>
    <t>V00063</t>
  </si>
  <si>
    <t>Pinnacles BESS - Storage - KCI</t>
  </si>
  <si>
    <t>Q00057</t>
  </si>
  <si>
    <t>Pint Pot BESS</t>
  </si>
  <si>
    <t>N00136</t>
  </si>
  <si>
    <t>Pioneer BESS - KCI</t>
  </si>
  <si>
    <t>Q00153</t>
  </si>
  <si>
    <t>Pioneer Sugar Mill</t>
  </si>
  <si>
    <t>Pioneer Sugar Mills P/L</t>
  </si>
  <si>
    <t>Playford Battery</t>
  </si>
  <si>
    <t>CFG</t>
  </si>
  <si>
    <t>Pleasant Hills Solar Farm - KCI</t>
  </si>
  <si>
    <t>TotalEnergies Renewables Australia Pty Ltd</t>
  </si>
  <si>
    <t>Q00154</t>
  </si>
  <si>
    <t>Pleystowe BESS</t>
  </si>
  <si>
    <t>PLEYSTOWE BESS PTY LTD</t>
  </si>
  <si>
    <t>Pleystowe BESS (KCI)</t>
  </si>
  <si>
    <t>Pleystowe BESS P/L</t>
  </si>
  <si>
    <t>Q00189</t>
  </si>
  <si>
    <t>Poatina</t>
  </si>
  <si>
    <t>POAT110</t>
  </si>
  <si>
    <t>POAT220</t>
  </si>
  <si>
    <t>PAREPS1</t>
  </si>
  <si>
    <t>S00025</t>
  </si>
  <si>
    <t>PAREPW1</t>
  </si>
  <si>
    <t>Port Augusta Solar Farm (KCI)</t>
  </si>
  <si>
    <t>S00076</t>
  </si>
  <si>
    <t>Port Kembla Power Station</t>
  </si>
  <si>
    <t xml:space="preserve"> Australian Industrial Power</t>
  </si>
  <si>
    <t>N00031</t>
  </si>
  <si>
    <t>T00006</t>
  </si>
  <si>
    <t>Port Paterson BESS</t>
  </si>
  <si>
    <t>Green Gold Energy</t>
  </si>
  <si>
    <t>S00082</t>
  </si>
  <si>
    <t>Port Pirie Solar Farm - KCI</t>
  </si>
  <si>
    <t xml:space="preserve"> Trafigura Hydrogen Australia</t>
  </si>
  <si>
    <t>S00024</t>
  </si>
  <si>
    <t>Port Stanvac 1</t>
  </si>
  <si>
    <t>PTSTAN1</t>
  </si>
  <si>
    <t>Portland Renewables Project - KCI</t>
  </si>
  <si>
    <t>HAMR Energy Pty Ltd</t>
  </si>
  <si>
    <t>V00150</t>
  </si>
  <si>
    <t>Portland Wind Farm</t>
  </si>
  <si>
    <t>Pacific Hydro Portland Wind Farm Pty Ltd</t>
  </si>
  <si>
    <t>PORTWF</t>
  </si>
  <si>
    <t>Portland Wind Farm - KCI</t>
  </si>
  <si>
    <t xml:space="preserve"> Vic Offshore Windfarm Pty Ltd</t>
  </si>
  <si>
    <t>V00081</t>
  </si>
  <si>
    <t>Pottinger Energy Park - Battery - KCI</t>
  </si>
  <si>
    <t>Pottinger Renewables P/L</t>
  </si>
  <si>
    <t>N00158</t>
  </si>
  <si>
    <t>Pottinger Energy Park - Solar - KCI</t>
  </si>
  <si>
    <t>Pottinger Energy Park - Wind - KCI</t>
  </si>
  <si>
    <t>Prairie Solar Farm</t>
  </si>
  <si>
    <t>Prairie WF &amp; Wongalee WF</t>
  </si>
  <si>
    <t>Prairie Wind Farm Pty Ltd</t>
  </si>
  <si>
    <t>700.00 - 800.00</t>
  </si>
  <si>
    <t>1050.00 - 1200.00</t>
  </si>
  <si>
    <t>Project Brandy BESS</t>
  </si>
  <si>
    <t>Evolution Pty Ltd</t>
  </si>
  <si>
    <t>N00244</t>
  </si>
  <si>
    <t>Project Monash - Solar - KCI</t>
  </si>
  <si>
    <t>Monash Renewables Pty Ltd</t>
  </si>
  <si>
    <t>S00066</t>
  </si>
  <si>
    <t>Project Monash - Storage - KCI</t>
  </si>
  <si>
    <t>Proserpine Wind Farm - KCI</t>
  </si>
  <si>
    <t>CI Proserpine Pty Ltd as trustee for the CI Proserpine Trust</t>
  </si>
  <si>
    <t>Q00170</t>
  </si>
  <si>
    <t>03-07-2024</t>
  </si>
  <si>
    <t>Punchs Creek (Milmerran) BESS - New</t>
  </si>
  <si>
    <t>Skylab</t>
  </si>
  <si>
    <t>Q00105</t>
  </si>
  <si>
    <t>Punch's Creek Renewable Energy Stage 2</t>
  </si>
  <si>
    <t>Q00223</t>
  </si>
  <si>
    <t>Puzzle Range BESS</t>
  </si>
  <si>
    <t>Puzzle Range Wind Farm</t>
  </si>
  <si>
    <t>QCLNG Curtis Island Electrification - KCI</t>
  </si>
  <si>
    <t xml:space="preserve">QCLNG Operating Company Pty Ltd </t>
  </si>
  <si>
    <t>Quandong Solar Farm</t>
  </si>
  <si>
    <t>Emergent Technologies</t>
  </si>
  <si>
    <t>V00024</t>
  </si>
  <si>
    <t>QPS1</t>
  </si>
  <si>
    <t>QPS2</t>
  </si>
  <si>
    <t>QPS3</t>
  </si>
  <si>
    <t>QPS4</t>
  </si>
  <si>
    <t>QPS5</t>
  </si>
  <si>
    <t>Queensland Renewable Park</t>
  </si>
  <si>
    <t>EEW Eco Energy World Pty Ltd</t>
  </si>
  <si>
    <t>Q00097</t>
  </si>
  <si>
    <t>Quorn Park Solar Hybrid</t>
  </si>
  <si>
    <t>23.44 - 27.60</t>
  </si>
  <si>
    <t>87.12 - 96.80</t>
  </si>
  <si>
    <t>06-05-2025</t>
  </si>
  <si>
    <t>Raglan BESS</t>
  </si>
  <si>
    <t>Q00190</t>
  </si>
  <si>
    <t>20-01-2025</t>
  </si>
  <si>
    <t>Raglan Solar Farm</t>
  </si>
  <si>
    <t>Q00014</t>
  </si>
  <si>
    <t>Cranbourne BESS Project Co Pty Ltd</t>
  </si>
  <si>
    <t>RANGEB1</t>
  </si>
  <si>
    <t>Rangemore BESS</t>
  </si>
  <si>
    <t>Rangemore Wind Farm</t>
  </si>
  <si>
    <t>Q00068</t>
  </si>
  <si>
    <t>Rangoon Wind Farm</t>
  </si>
  <si>
    <t>Rangoon Energy Park Pty Ltd</t>
  </si>
  <si>
    <t>05-10-2023</t>
  </si>
  <si>
    <t>Redbank</t>
  </si>
  <si>
    <t>Verdant Earth Technologies Limited</t>
  </si>
  <si>
    <t>Renewable Biomass or Waste - Wood Waste</t>
  </si>
  <si>
    <t>128.00 - 151.00</t>
  </si>
  <si>
    <t>Reece</t>
  </si>
  <si>
    <t>REECE1</t>
  </si>
  <si>
    <t>REECE2</t>
  </si>
  <si>
    <t>Reeves Plains OCGT - stage 1</t>
  </si>
  <si>
    <t>Alinta Energy Reeves Plains Pty Ltd</t>
  </si>
  <si>
    <t>Reeves Plains OCGT - stage 2</t>
  </si>
  <si>
    <t>S00074</t>
  </si>
  <si>
    <t>Repulse</t>
  </si>
  <si>
    <t>REPULSE</t>
  </si>
  <si>
    <t xml:space="preserve">ARK ENERGY CORPORATION PTY LTD </t>
  </si>
  <si>
    <t>Richmond Valley Solar Farm</t>
  </si>
  <si>
    <t>N00131</t>
  </si>
  <si>
    <t>Ridgey Creek BESS</t>
  </si>
  <si>
    <t xml:space="preserve"> Ridgey Creek BESS Pty Ltd</t>
  </si>
  <si>
    <t>N00076</t>
  </si>
  <si>
    <t>Rifle Butts Wind Farm </t>
  </si>
  <si>
    <t>NewEn</t>
  </si>
  <si>
    <t>RESS1</t>
  </si>
  <si>
    <t>N00021</t>
  </si>
  <si>
    <t>RIVNB2</t>
  </si>
  <si>
    <t>Riverland Solar Storage - Solar</t>
  </si>
  <si>
    <t>Riverland Solar Storage - Storage</t>
  </si>
  <si>
    <t>Riverside BESS - Storage - KCI</t>
  </si>
  <si>
    <t>V00093</t>
  </si>
  <si>
    <t>Riverstone Rise BESS (KCI)</t>
  </si>
  <si>
    <t>Pacific Partnerships Pty Ltd</t>
  </si>
  <si>
    <t>Q00191</t>
  </si>
  <si>
    <t>Robbins Island Wind Farm</t>
  </si>
  <si>
    <t>ACEN Robbins Island PTY LTD</t>
  </si>
  <si>
    <t>T00019</t>
  </si>
  <si>
    <t>Robertstown BESS</t>
  </si>
  <si>
    <t>StorEnergy 4 Pty Ltd</t>
  </si>
  <si>
    <t>S00090</t>
  </si>
  <si>
    <t>Robertstown Solar</t>
  </si>
  <si>
    <t>Robertstown Project (Solar) Operations Pty Ltd</t>
  </si>
  <si>
    <t>S00038</t>
  </si>
  <si>
    <t>Rocky Point Sugar Mill Cogeneration Plant</t>
  </si>
  <si>
    <t>W.H.Heck and Sons Pty Ltd</t>
  </si>
  <si>
    <t>RPCG</t>
  </si>
  <si>
    <t>Rollsville Hybrid Facility - Battery</t>
  </si>
  <si>
    <t>N00148</t>
  </si>
  <si>
    <t>Rollsville Hybrid Facility - Solar</t>
  </si>
  <si>
    <t>Roma</t>
  </si>
  <si>
    <t>ROMA_7</t>
  </si>
  <si>
    <t>ROMA_8</t>
  </si>
  <si>
    <t>Romani BESS</t>
  </si>
  <si>
    <t>N00130</t>
  </si>
  <si>
    <t>Romani Solar Farm</t>
  </si>
  <si>
    <t>Romani Standalone BESS</t>
  </si>
  <si>
    <t>N00185</t>
  </si>
  <si>
    <t>Ross River Operations Pty Ltd as the Trustee for the Ross River Operations Trust</t>
  </si>
  <si>
    <t>RRSF1</t>
  </si>
  <si>
    <t>Rowallan</t>
  </si>
  <si>
    <t>ROWALLAN</t>
  </si>
  <si>
    <t>Rowallan Pumped Hydro Option</t>
  </si>
  <si>
    <t>T00002</t>
  </si>
  <si>
    <t>Royalla Asset Pty Ltd ATF Royalla Asset Trust</t>
  </si>
  <si>
    <t>ROYALLA1</t>
  </si>
  <si>
    <t>05-03-2024</t>
  </si>
  <si>
    <t>Rubicon BESS</t>
  </si>
  <si>
    <t>V00180</t>
  </si>
  <si>
    <t>Rubicon Mountain Streams</t>
  </si>
  <si>
    <t>RUBICON</t>
  </si>
  <si>
    <t>Rubicon Solar Farm</t>
  </si>
  <si>
    <t>Ruby Hills North BESS</t>
  </si>
  <si>
    <t>Ruby Hills North Wind Farm</t>
  </si>
  <si>
    <t>Origin energy</t>
  </si>
  <si>
    <t>240.00 - 248.00</t>
  </si>
  <si>
    <t>Ruby Hills South BESS</t>
  </si>
  <si>
    <t>Ruby Hills South Wind Farm</t>
  </si>
  <si>
    <t>480.00 - 496.00</t>
  </si>
  <si>
    <t>Adani Rugby Run Pty Ltd</t>
  </si>
  <si>
    <t>RUGBYR1</t>
  </si>
  <si>
    <t>Running Creek Solar and BESS</t>
  </si>
  <si>
    <t>Q00094</t>
  </si>
  <si>
    <t>Rutherglen Battery - KCI</t>
  </si>
  <si>
    <t>Red Hill Renewable Energy Pty Ltd</t>
  </si>
  <si>
    <t>Q00155</t>
  </si>
  <si>
    <t>10-04-2024</t>
  </si>
  <si>
    <t>Rutherglen Solar Farm - KCI</t>
  </si>
  <si>
    <t>V00019</t>
  </si>
  <si>
    <t>N00046</t>
  </si>
  <si>
    <t>Salisbury BESS</t>
  </si>
  <si>
    <t>Salisbury Solar 450MW</t>
  </si>
  <si>
    <t>10-12-2024</t>
  </si>
  <si>
    <t>Salt Creek Wind Farm Pty Ltd</t>
  </si>
  <si>
    <t>SALTCRK1</t>
  </si>
  <si>
    <t>V00119</t>
  </si>
  <si>
    <t>Sandigo Solar Farm</t>
  </si>
  <si>
    <t>N00022</t>
  </si>
  <si>
    <t>Sandy Creek Solar Farm</t>
  </si>
  <si>
    <t>Sandy Creek Solar Fund Pty Ltd</t>
  </si>
  <si>
    <t>01-04-2025</t>
  </si>
  <si>
    <t>Sandy Point Hybrid - Solar</t>
  </si>
  <si>
    <t>N00176</t>
  </si>
  <si>
    <t>Sandy Point Hybrid - Storage</t>
  </si>
  <si>
    <t>SAPHWF1</t>
  </si>
  <si>
    <t>Seaspray Off Shore Wind Farm</t>
  </si>
  <si>
    <t>BayWa r.e. Australia Offshore Wind Projects 3 Pty Ltd</t>
  </si>
  <si>
    <t>V00106</t>
  </si>
  <si>
    <t>SEC Renewable Energy Hub</t>
  </si>
  <si>
    <t>SEC</t>
  </si>
  <si>
    <t>Seymour Wind Farm</t>
  </si>
  <si>
    <t>Seymour Wind Pty Ltd</t>
  </si>
  <si>
    <t>460.00 - 920.00</t>
  </si>
  <si>
    <t>Shepparton Wastewater Treatment Facility</t>
  </si>
  <si>
    <t>Shoalhaven</t>
  </si>
  <si>
    <t>SHGEN</t>
  </si>
  <si>
    <t>N00104</t>
  </si>
  <si>
    <t>N00133</t>
  </si>
  <si>
    <t>Silverleaf Solar Farm - KCI</t>
  </si>
  <si>
    <t>ENGIE</t>
  </si>
  <si>
    <t>N00162</t>
  </si>
  <si>
    <t>PARF Company 8 Pty Ltd as trustee for the Silverton Project Trust</t>
  </si>
  <si>
    <t>STWF1</t>
  </si>
  <si>
    <t>SITHE01</t>
  </si>
  <si>
    <t>Smoky Creek Solar Power Station</t>
  </si>
  <si>
    <t>Q00075</t>
  </si>
  <si>
    <t>Snowtown North Solar Farm</t>
  </si>
  <si>
    <t>04-10-2023</t>
  </si>
  <si>
    <t>Snowtown North Solar Farm - BESS</t>
  </si>
  <si>
    <t>Snowtown S2 Wind Farm</t>
  </si>
  <si>
    <t>Snowtown Wind Farm Stage 2 Pty Ltd</t>
  </si>
  <si>
    <t>SNOWNTH1</t>
  </si>
  <si>
    <t>SNOWSTH1</t>
  </si>
  <si>
    <t>Snowtown Wind Farm</t>
  </si>
  <si>
    <t>Snowtown Wind Farm Pty Ltd</t>
  </si>
  <si>
    <t>SNOWTWN1</t>
  </si>
  <si>
    <t xml:space="preserve">Committed¹ </t>
  </si>
  <si>
    <t>13-05-2025</t>
  </si>
  <si>
    <t>S00041</t>
  </si>
  <si>
    <t>AGLSOM</t>
  </si>
  <si>
    <t>South Burnett BESS</t>
  </si>
  <si>
    <t>South Coree BESS</t>
  </si>
  <si>
    <t>N00178</t>
  </si>
  <si>
    <t>South East BESS - Storage - KCI</t>
  </si>
  <si>
    <t>Equis Energy (Australia) Projects (Ngumi 8) Pty Ltd as trustee for the Equis Energy(Australia) Ngumi 8 Asset Trust</t>
  </si>
  <si>
    <t>S00033</t>
  </si>
  <si>
    <t>South Johnstone Mill (expansion)</t>
  </si>
  <si>
    <t>South Kempsey BESS</t>
  </si>
  <si>
    <t>N00199</t>
  </si>
  <si>
    <t>South Keswick Solar Farm</t>
  </si>
  <si>
    <t>SKSF1</t>
  </si>
  <si>
    <t>South Nanango BESS</t>
  </si>
  <si>
    <t>RTB Renewables Pty Ltd</t>
  </si>
  <si>
    <t>Q00221</t>
  </si>
  <si>
    <t>South Pacific Offshore Wind Project</t>
  </si>
  <si>
    <t>South Pacific OWP Project Pty Ltd</t>
  </si>
  <si>
    <t>1575.00 - 1601.25</t>
  </si>
  <si>
    <t>N00080</t>
  </si>
  <si>
    <t>Southern Winds Offshore Wind</t>
  </si>
  <si>
    <t>Southern Winds OWP Project Pty Ltd</t>
  </si>
  <si>
    <t>V00084</t>
  </si>
  <si>
    <t>Specimen Hill BESS - Storage - KCI</t>
  </si>
  <si>
    <t>Q00059</t>
  </si>
  <si>
    <t>Specimen Hill Wind Farm</t>
  </si>
  <si>
    <t>Q00067</t>
  </si>
  <si>
    <t>Spicers Creek Wind Farm</t>
  </si>
  <si>
    <t>Spinifex Offshore Wind Farm</t>
  </si>
  <si>
    <t>V00140</t>
  </si>
  <si>
    <t>Springdale Solar Farm</t>
  </si>
  <si>
    <t>Utilacor Pty Ltd</t>
  </si>
  <si>
    <t>Springlands Wind Farm</t>
  </si>
  <si>
    <t xml:space="preserve"> Ratch Australia</t>
  </si>
  <si>
    <t>Q00038</t>
  </si>
  <si>
    <t>Springvale Energy Hub</t>
  </si>
  <si>
    <t>progresspower_nr</t>
  </si>
  <si>
    <t>V00117</t>
  </si>
  <si>
    <t>SRI/Mirabou (Braemar) BESS - KCI</t>
  </si>
  <si>
    <t xml:space="preserve"> Miraabou Energy Ltd</t>
  </si>
  <si>
    <t>Q00053</t>
  </si>
  <si>
    <t>05-07-2023</t>
  </si>
  <si>
    <t>St Patricks Plains Wind Farm</t>
  </si>
  <si>
    <t>T00015</t>
  </si>
  <si>
    <t>Stanhope BESS Project 01</t>
  </si>
  <si>
    <t>Globird Energy Pty Ltd</t>
  </si>
  <si>
    <t>Stanhope Solar Farm</t>
  </si>
  <si>
    <t>Stanmore WCMG power station</t>
  </si>
  <si>
    <t>Stanmore Resources and Enernet Australia (JV)</t>
  </si>
  <si>
    <t>Stanwell</t>
  </si>
  <si>
    <t>STAN-1</t>
  </si>
  <si>
    <t>STAN-2</t>
  </si>
  <si>
    <t>STAN-3</t>
  </si>
  <si>
    <t>STAN-4</t>
  </si>
  <si>
    <t>Stanwell BESS</t>
  </si>
  <si>
    <t>Q00023</t>
  </si>
  <si>
    <t>Stapylton Renewable Energy Facility</t>
  </si>
  <si>
    <t>STAPYLTON1</t>
  </si>
  <si>
    <t>Star of the South Wind Farm</t>
  </si>
  <si>
    <t>Star of the South Wind Farm Pty Ltd as trustee for the Star of the South Trust</t>
  </si>
  <si>
    <t>V00044</t>
  </si>
  <si>
    <t>11-06-2025</t>
  </si>
  <si>
    <t>Stonehaven Gas Turbines - KCI</t>
  </si>
  <si>
    <t xml:space="preserve"> APA Power Holdings Pty Ltd</t>
  </si>
  <si>
    <t>V00029</t>
  </si>
  <si>
    <t>Stoney Creek BESS</t>
  </si>
  <si>
    <t>Stoney Creek BESS Pty Ltd</t>
  </si>
  <si>
    <t>N00108</t>
  </si>
  <si>
    <t>Stony Creek Wind Farm</t>
  </si>
  <si>
    <t>Greenleaf Renewable</t>
  </si>
  <si>
    <t>Q00098</t>
  </si>
  <si>
    <t>Strafford Renewable Energy Hub - Pumped Hydro</t>
  </si>
  <si>
    <t>Yancoal</t>
  </si>
  <si>
    <t>Stratford Renewable Energy Hub</t>
  </si>
  <si>
    <t>Yancoal Australia Limited</t>
  </si>
  <si>
    <t>N00223</t>
  </si>
  <si>
    <t>Strontian Solar BESS</t>
  </si>
  <si>
    <t>Strontian Solar Pty Ltd</t>
  </si>
  <si>
    <t>N00233</t>
  </si>
  <si>
    <t>Strontian Solar Farm</t>
  </si>
  <si>
    <t>Stubbo BESS</t>
  </si>
  <si>
    <t>Stubbo 1 Pty Ltd. ACN 658 322 457 as The Trustee for Stubbo 1 Solar Project Trust</t>
  </si>
  <si>
    <t>N00181</t>
  </si>
  <si>
    <t>STUBSF1</t>
  </si>
  <si>
    <t>N00017</t>
  </si>
  <si>
    <t>STUBSF2</t>
  </si>
  <si>
    <t>Sturt Solar</t>
  </si>
  <si>
    <t>Sturt Solar PTY LTD</t>
  </si>
  <si>
    <t>30-08-2024</t>
  </si>
  <si>
    <t>Summerfield BESS</t>
  </si>
  <si>
    <t>CI Summerfield BESS Pty Ltd (ACN 656 223 773) as trustee for the CI Summerfield BESS Trust</t>
  </si>
  <si>
    <t>S00022</t>
  </si>
  <si>
    <t>Summerville Solar Farm</t>
  </si>
  <si>
    <t>ESCO Solar Farm 5 Pty Ltd</t>
  </si>
  <si>
    <t>4.20 - 90.00</t>
  </si>
  <si>
    <t>N00064</t>
  </si>
  <si>
    <t>Sun Metals Corporation Solar Farm</t>
  </si>
  <si>
    <t>Sun Metals Corporation Pty Ltd</t>
  </si>
  <si>
    <t>SMCSF1</t>
  </si>
  <si>
    <t>Sundown Hybrid Facility</t>
  </si>
  <si>
    <t>N00048</t>
  </si>
  <si>
    <t>Sunshine Energy Solar Farm</t>
  </si>
  <si>
    <t>Sunshine Energy</t>
  </si>
  <si>
    <t>01-09-2025</t>
  </si>
  <si>
    <t>Sunshine Estate BESS</t>
  </si>
  <si>
    <t xml:space="preserve">Avenis Energy Pty Ltd, on behalf of AE BESS 11 Pty Ltd ATF AE BESS 11 Unit Trust </t>
  </si>
  <si>
    <t>Sunshine State Solar Farm and BESS</t>
  </si>
  <si>
    <t>Sunshine State Solar Farm and BESS (Rollingstone)</t>
  </si>
  <si>
    <t>Rollingstone Solar Farm Pty Ltd</t>
  </si>
  <si>
    <t>Q00113</t>
  </si>
  <si>
    <t>Suntop SF Pty Ltd As Trustee For The Suntop Asset</t>
  </si>
  <si>
    <t>SUNTPSF1</t>
  </si>
  <si>
    <t>Q00175</t>
  </si>
  <si>
    <t>Supernode BESS - Stage 3</t>
  </si>
  <si>
    <t>Supernode BESS 3 ProjectCo Pty Ltd as trustee for Supernode BESS 3 Project Trust</t>
  </si>
  <si>
    <t>Supernode BESS - Stage 4</t>
  </si>
  <si>
    <t>Supernode BESS - Stage 5</t>
  </si>
  <si>
    <t>Susan River Solar Pty Ltd as trustee for the Susan River Solar Trust</t>
  </si>
  <si>
    <t>Swallow Tail BESS</t>
  </si>
  <si>
    <t>Swanbank BESS</t>
  </si>
  <si>
    <t>CleanCo QLD Limited</t>
  </si>
  <si>
    <t>SWANBBF1</t>
  </si>
  <si>
    <t>Q00065</t>
  </si>
  <si>
    <t>SWAN_E</t>
  </si>
  <si>
    <t>TABMILL2</t>
  </si>
  <si>
    <t>Tabulam BESS</t>
  </si>
  <si>
    <t>N00117</t>
  </si>
  <si>
    <t>Tahmoor</t>
  </si>
  <si>
    <t>EDL TT Pty Ltd</t>
  </si>
  <si>
    <t>TAHMOOR</t>
  </si>
  <si>
    <t>TBSF1</t>
  </si>
  <si>
    <t>S00023</t>
  </si>
  <si>
    <t>Talbingo BESS</t>
  </si>
  <si>
    <t>Talbingo Battery Pty Ltd ATF Talbingo Battery Trust</t>
  </si>
  <si>
    <t>N00217</t>
  </si>
  <si>
    <t>19-02-2025</t>
  </si>
  <si>
    <t>Tall Tree Wind Farm</t>
  </si>
  <si>
    <t xml:space="preserve"> Acciona Energy Global Australia</t>
  </si>
  <si>
    <t>V00020</t>
  </si>
  <si>
    <t>Tallawang Solar And BESS</t>
  </si>
  <si>
    <t>TALWA1</t>
  </si>
  <si>
    <t>TVPP104</t>
  </si>
  <si>
    <t>Tamworth BESS Project 1 Pty Ltd</t>
  </si>
  <si>
    <t>N00058</t>
  </si>
  <si>
    <t>Tamworth BESS Project 2 Pty Ltd</t>
  </si>
  <si>
    <t>valent-energy_nr</t>
  </si>
  <si>
    <t>Tamworth Energy Reserve - KCI</t>
  </si>
  <si>
    <t>The Trustee for Equis Energy (Ausralia) Ngumi 4 Asset Trust</t>
  </si>
  <si>
    <t>N00186</t>
  </si>
  <si>
    <t>Tangkam BESS - KCI</t>
  </si>
  <si>
    <t xml:space="preserve"> Atria Energy Ltd</t>
  </si>
  <si>
    <t>Q00054</t>
  </si>
  <si>
    <t>Tara Wind Farm - KCI</t>
  </si>
  <si>
    <t>Tara Wind Farm Pty Ltd</t>
  </si>
  <si>
    <t>Q00173</t>
  </si>
  <si>
    <t>Energy Pacific Vic Pty Ltd</t>
  </si>
  <si>
    <t>TARALGA1</t>
  </si>
  <si>
    <t>TARONG#3</t>
  </si>
  <si>
    <t>TARONG#4</t>
  </si>
  <si>
    <t>Q00081</t>
  </si>
  <si>
    <t>Tarong North</t>
  </si>
  <si>
    <t>TNPS1</t>
  </si>
  <si>
    <t>Tarong West Wind Farm (Ironleaf)</t>
  </si>
  <si>
    <t xml:space="preserve">Tarong West Project Co Pty Ltd as trustee for the Tarong West Project Trust </t>
  </si>
  <si>
    <t>Q00080</t>
  </si>
  <si>
    <t>Tarraleah</t>
  </si>
  <si>
    <t>TARRALEA</t>
  </si>
  <si>
    <t>Tarraleah Redevelopment</t>
  </si>
  <si>
    <t>T00018</t>
  </si>
  <si>
    <t>Tarrone BESS - Storage - KCI</t>
  </si>
  <si>
    <t>V00088</t>
  </si>
  <si>
    <t>Tarrone GT</t>
  </si>
  <si>
    <t>500.00 - 600.00</t>
  </si>
  <si>
    <t>Tatiara Meats</t>
  </si>
  <si>
    <t>Vibe Energy Pty Ltd</t>
  </si>
  <si>
    <t>TATIARA1</t>
  </si>
  <si>
    <t>22-04-2024</t>
  </si>
  <si>
    <t>Tatura Biomass Generator</t>
  </si>
  <si>
    <t>TATURA01</t>
  </si>
  <si>
    <t>Tchelery BESS</t>
  </si>
  <si>
    <t>Tchelery Wind Farm</t>
  </si>
  <si>
    <t>N00159</t>
  </si>
  <si>
    <t>09-04-2024</t>
  </si>
  <si>
    <t>Q00156</t>
  </si>
  <si>
    <t>Temora BESS</t>
  </si>
  <si>
    <t>North Harbour Clean Energy P/L</t>
  </si>
  <si>
    <t>Templers B BESS</t>
  </si>
  <si>
    <t>S00056</t>
  </si>
  <si>
    <t>09-12-2024</t>
  </si>
  <si>
    <t>S00017</t>
  </si>
  <si>
    <t>N00027</t>
  </si>
  <si>
    <t>99.94 - 144.40</t>
  </si>
  <si>
    <t>Territory Battery</t>
  </si>
  <si>
    <t>0.50 - 200.00</t>
  </si>
  <si>
    <t>N00086</t>
  </si>
  <si>
    <t>Texas BESS</t>
  </si>
  <si>
    <t>N00234</t>
  </si>
  <si>
    <t>Texas Solar Farm</t>
  </si>
  <si>
    <t>The Block BESS</t>
  </si>
  <si>
    <t>Q00201</t>
  </si>
  <si>
    <t>The Central BESS - KCI</t>
  </si>
  <si>
    <t>Q00157</t>
  </si>
  <si>
    <t>The Solar River Project - Stage 1</t>
  </si>
  <si>
    <t>The Solar River Project Pty Ltd</t>
  </si>
  <si>
    <t>The Solar River Project - Stage 2</t>
  </si>
  <si>
    <t>Theodore BESS</t>
  </si>
  <si>
    <t>RWE</t>
  </si>
  <si>
    <t>Q00202</t>
  </si>
  <si>
    <t>Theodore Solar Farm</t>
  </si>
  <si>
    <t xml:space="preserve">Theodore SF Pty Ltd as trustee for Theodore SF Trust  </t>
  </si>
  <si>
    <t>Theodore Wind Farm</t>
  </si>
  <si>
    <t>RWE Renewables Australia</t>
  </si>
  <si>
    <t>Q00128</t>
  </si>
  <si>
    <t>Thomastown BESS</t>
  </si>
  <si>
    <t>V00078</t>
  </si>
  <si>
    <t>Three Rivers BESS</t>
  </si>
  <si>
    <t>Three Rivers Solar Farm</t>
  </si>
  <si>
    <t>Thunderbolt Wind Farm</t>
  </si>
  <si>
    <t>5.00 - 210.00</t>
  </si>
  <si>
    <t>N00066</t>
  </si>
  <si>
    <t>Ti Tree Bioenergy</t>
  </si>
  <si>
    <t>TITREE</t>
  </si>
  <si>
    <t>Ticoba BESS</t>
  </si>
  <si>
    <t>European Energy Australia P/L</t>
  </si>
  <si>
    <t>Q00142</t>
  </si>
  <si>
    <t>Ticoba Solar Farm</t>
  </si>
  <si>
    <t>Q00129</t>
  </si>
  <si>
    <t>Timboon West Wind Farm</t>
  </si>
  <si>
    <t>Timboon West Wind Farm Pty Ltd</t>
  </si>
  <si>
    <t>TIMWEST</t>
  </si>
  <si>
    <t>Tirranna BESS - KCI</t>
  </si>
  <si>
    <t>StorEnergy 2 Pty Ltd</t>
  </si>
  <si>
    <t>N00109</t>
  </si>
  <si>
    <t>Toolern Vale BESS</t>
  </si>
  <si>
    <t>Toolern Vale Solar Farm</t>
  </si>
  <si>
    <t>Toolern Vale Solar Farm_SS</t>
  </si>
  <si>
    <t>Toora</t>
  </si>
  <si>
    <t>TOORAWF</t>
  </si>
  <si>
    <t>TIB1</t>
  </si>
  <si>
    <t>Tower</t>
  </si>
  <si>
    <t>TOWER</t>
  </si>
  <si>
    <t>Townsville BESS</t>
  </si>
  <si>
    <t>Q00225</t>
  </si>
  <si>
    <t>Townsville Power Staton - QPM</t>
  </si>
  <si>
    <t>RATCH-Australia</t>
  </si>
  <si>
    <t>YABULU</t>
  </si>
  <si>
    <t>YABULU2</t>
  </si>
  <si>
    <t>Trafalgar East Hybrid Facility Stage 2</t>
  </si>
  <si>
    <t>Trafalgar Renewables Pty Ltd</t>
  </si>
  <si>
    <t>Tramway Road BESS</t>
  </si>
  <si>
    <t>Eku Energy Projects (Australia) Pty Ltd as trustee for the Eku Energy Projects Australia Trust</t>
  </si>
  <si>
    <t>V00160</t>
  </si>
  <si>
    <t>TGNSS1</t>
  </si>
  <si>
    <t>Trevallyn</t>
  </si>
  <si>
    <t>TREVALLN</t>
  </si>
  <si>
    <t>Triabunna Wind Farm</t>
  </si>
  <si>
    <t>Triabunna Wind Pty Ltd</t>
  </si>
  <si>
    <t>16.00 - 32.00</t>
  </si>
  <si>
    <t>T00007</t>
  </si>
  <si>
    <t>Tribute</t>
  </si>
  <si>
    <t>TRIBUTE</t>
  </si>
  <si>
    <t>Tribute Pumped Hydro Option</t>
  </si>
  <si>
    <t>T00003</t>
  </si>
  <si>
    <t>Tuckeroo BESS - KCI</t>
  </si>
  <si>
    <t>Tuckeroo BESS Pty Ltd</t>
  </si>
  <si>
    <t>Tully BESS</t>
  </si>
  <si>
    <t>TULLYSM1</t>
  </si>
  <si>
    <t>Tummaville Hybrid Facility - BESS (KCI)</t>
  </si>
  <si>
    <t>Q00192</t>
  </si>
  <si>
    <t>Tummaville Hybrid Facility - Solar (KCI)</t>
  </si>
  <si>
    <t>Tumuruu BESS</t>
  </si>
  <si>
    <t>Austraiian Solar</t>
  </si>
  <si>
    <t>Q00099</t>
  </si>
  <si>
    <t>Tumuruu Solar Farm</t>
  </si>
  <si>
    <t>Tumut 3</t>
  </si>
  <si>
    <t>TUMUT3</t>
  </si>
  <si>
    <t>Tungatinah</t>
  </si>
  <si>
    <t>TUNGATIN</t>
  </si>
  <si>
    <t>Tungkillo South BESS</t>
  </si>
  <si>
    <t>S00064</t>
  </si>
  <si>
    <t>Tyrone BESS</t>
  </si>
  <si>
    <t>Q00143</t>
  </si>
  <si>
    <t>Tyrone Solar</t>
  </si>
  <si>
    <t>ULPBESS1</t>
  </si>
  <si>
    <t>Q00087</t>
  </si>
  <si>
    <t>Ulinda Park BESS Expansion</t>
  </si>
  <si>
    <t>Ulladulla Offshore Wind Farm</t>
  </si>
  <si>
    <t>Upper Calliope Solar Farm (side A)</t>
  </si>
  <si>
    <t>European Energy S/A</t>
  </si>
  <si>
    <t>Q00095</t>
  </si>
  <si>
    <t>Upper Hunter BESS</t>
  </si>
  <si>
    <t>Maizewood Pty Ltd.</t>
  </si>
  <si>
    <t>N00177</t>
  </si>
  <si>
    <t>Upper Hunter Energy Park - Solar</t>
  </si>
  <si>
    <t>Upper Hunter Energy Park Pty Ltd</t>
  </si>
  <si>
    <t>Upper Hunter Energy Park - Wind</t>
  </si>
  <si>
    <t>Upper Tumut</t>
  </si>
  <si>
    <t>UPPTUMUT</t>
  </si>
  <si>
    <t>Uranquinty</t>
  </si>
  <si>
    <t>Origin Energy Uranquinty Power Pty Ltd</t>
  </si>
  <si>
    <t>URANQ11</t>
  </si>
  <si>
    <t>URANQ12</t>
  </si>
  <si>
    <t>URANQ13</t>
  </si>
  <si>
    <t>URANQ14</t>
  </si>
  <si>
    <t>Uungula BESS</t>
  </si>
  <si>
    <t>N00073</t>
  </si>
  <si>
    <t>VALDORA1</t>
  </si>
  <si>
    <t>VP5</t>
  </si>
  <si>
    <t>VP6</t>
  </si>
  <si>
    <t>Vales Point BESS</t>
  </si>
  <si>
    <t>Delta Power and Energy (Vales Point) Pty Ltd trading as Delta Electricity</t>
  </si>
  <si>
    <t>N00235</t>
  </si>
  <si>
    <t>Vales Point Solar</t>
  </si>
  <si>
    <t>Valley Power</t>
  </si>
  <si>
    <t>VPGS1</t>
  </si>
  <si>
    <t>VPGS2</t>
  </si>
  <si>
    <t>VPGS3</t>
  </si>
  <si>
    <t>VPGS4</t>
  </si>
  <si>
    <t>VPGS5</t>
  </si>
  <si>
    <t>VPGS6</t>
  </si>
  <si>
    <t>Vast Solar 1</t>
  </si>
  <si>
    <t xml:space="preserve"> Vast Solar 1 Pty Ltd</t>
  </si>
  <si>
    <t>Solar Thermal - Other</t>
  </si>
  <si>
    <t>S00027</t>
  </si>
  <si>
    <t>Victoria Mill</t>
  </si>
  <si>
    <t>Wilmar Sugar (Herbet) Pty Ltd</t>
  </si>
  <si>
    <t>VBB1</t>
  </si>
  <si>
    <t>Vineyard BESS</t>
  </si>
  <si>
    <t>N00118</t>
  </si>
  <si>
    <t>Wagga North BESS - KCI</t>
  </si>
  <si>
    <t>N00169</t>
  </si>
  <si>
    <t>Wagga North BESS (IB Vogt) - KCI</t>
  </si>
  <si>
    <t>N00184</t>
  </si>
  <si>
    <t>Wagga North Solar Farm BESS</t>
  </si>
  <si>
    <t xml:space="preserve"> Wagga Wagga Operationsco Pty Ltd as trustee for the Wagga Wagga Operations Trust</t>
  </si>
  <si>
    <t>N00062</t>
  </si>
  <si>
    <t>Wagga Wagga BESS</t>
  </si>
  <si>
    <t>Wallabadah BESS</t>
  </si>
  <si>
    <t>N00202</t>
  </si>
  <si>
    <t>Wallaby Creek Wind Farm</t>
  </si>
  <si>
    <t>acciona_NR</t>
  </si>
  <si>
    <t>Wallaroo Solar Farm</t>
  </si>
  <si>
    <t>New Energy development and Univergy Solar Joint venture (SPV) Wallaroo Solar Farm Pty Ltd</t>
  </si>
  <si>
    <t>N00004</t>
  </si>
  <si>
    <t>Wallerawang 9 BESS</t>
  </si>
  <si>
    <t>Greenspot Wallerawang Pty Ltd as trustee for the Greenspot Wallerawang Unit Trust</t>
  </si>
  <si>
    <t>1.00 - 300.00</t>
  </si>
  <si>
    <t>WALGRV1</t>
  </si>
  <si>
    <t>N00006</t>
  </si>
  <si>
    <t>WAMBOWF1</t>
  </si>
  <si>
    <t>Q00028</t>
  </si>
  <si>
    <t>Wamuran BESS - KCI</t>
  </si>
  <si>
    <t>Q00204</t>
  </si>
  <si>
    <t>WANDB1</t>
  </si>
  <si>
    <t>Q00007</t>
  </si>
  <si>
    <t>Wandoan South Solar Stage 2</t>
  </si>
  <si>
    <t>N00091</t>
  </si>
  <si>
    <t>Warracknabeal Wind Farm</t>
  </si>
  <si>
    <t>WestWind Energy Pty Ltd</t>
  </si>
  <si>
    <t>1240.00 - 1500.00</t>
  </si>
  <si>
    <t>V00163</t>
  </si>
  <si>
    <t>Warrenheip BESS</t>
  </si>
  <si>
    <t>AE Solar 6 Pty Ltd as Trustee for AE Solar 6 Unit Trust</t>
  </si>
  <si>
    <t>V00175</t>
  </si>
  <si>
    <t>Waterloo Wind Farm</t>
  </si>
  <si>
    <t>Waterloo Windfarm Pty Ltd</t>
  </si>
  <si>
    <t>WATERLWF</t>
  </si>
  <si>
    <t>Watta Wella Power Station</t>
  </si>
  <si>
    <t>V00034</t>
  </si>
  <si>
    <t>Wattle Creek Energy Hub - Battery Storage</t>
  </si>
  <si>
    <t>Wattle Creek Energy Hub P/L</t>
  </si>
  <si>
    <t>N00143</t>
  </si>
  <si>
    <t>Wattle Creek Energy Hub - Solar / BESS</t>
  </si>
  <si>
    <t>Wattle Point</t>
  </si>
  <si>
    <t>Infrastructure Capital Group</t>
  </si>
  <si>
    <t>WPWF</t>
  </si>
  <si>
    <t>Waubra</t>
  </si>
  <si>
    <t>Pyrenees Wind Energy Developments</t>
  </si>
  <si>
    <t>WAUBRAWF</t>
  </si>
  <si>
    <t>Waubra BESS - KCI</t>
  </si>
  <si>
    <t>V00156</t>
  </si>
  <si>
    <t>Weasel Solar Farm And BESS - KCI</t>
  </si>
  <si>
    <t>Weasel Solar Farm P/L</t>
  </si>
  <si>
    <t>T00034</t>
  </si>
  <si>
    <t>Wee Jasper Wind Farm</t>
  </si>
  <si>
    <t>Wellington A-CAES</t>
  </si>
  <si>
    <t>Hydrostor Australia Holdings P/L</t>
  </si>
  <si>
    <t>N00216</t>
  </si>
  <si>
    <t>Wellington BESS - Stage 2</t>
  </si>
  <si>
    <t>N00166</t>
  </si>
  <si>
    <t>30-04-2025</t>
  </si>
  <si>
    <t>Wellington North Solar Farm</t>
  </si>
  <si>
    <t>198.00 - 300.00</t>
  </si>
  <si>
    <t>N00047</t>
  </si>
  <si>
    <t>WKIEWA1</t>
  </si>
  <si>
    <t>WKIEWA2</t>
  </si>
  <si>
    <t>West Mokoan Solar Farm and BESS</t>
  </si>
  <si>
    <t>West Mokoan Solar Farm</t>
  </si>
  <si>
    <t>V00105</t>
  </si>
  <si>
    <t>West Wellington Wind Farm</t>
  </si>
  <si>
    <t>N00206</t>
  </si>
  <si>
    <t>West Wyalong Fund Pty Ltd</t>
  </si>
  <si>
    <t>WSTWYSF1</t>
  </si>
  <si>
    <t>WDBESS1</t>
  </si>
  <si>
    <t>Western Downs Gas Peaking Plant - KCI</t>
  </si>
  <si>
    <t xml:space="preserve"> PowerGen P51 Pty Ltd</t>
  </si>
  <si>
    <t>Q00033</t>
  </si>
  <si>
    <t>Western Plains Wind Farm</t>
  </si>
  <si>
    <t>36.92 - 50.40</t>
  </si>
  <si>
    <t>T00011</t>
  </si>
  <si>
    <t>Western Sydney Energy &amp; Resource Recovery Centre</t>
  </si>
  <si>
    <t xml:space="preserve"> Western Sydney Energy &amp; Resource Recovery Centre </t>
  </si>
  <si>
    <t>N00042</t>
  </si>
  <si>
    <t>Western Sydney Pumped Hydro Project</t>
  </si>
  <si>
    <t>Whaleback Ridge Wind Farm - KCI</t>
  </si>
  <si>
    <t>West Coast Renewables Energy Pty Ltd</t>
  </si>
  <si>
    <t>T00023</t>
  </si>
  <si>
    <t>White Rock Wind Farm Pty Ltd</t>
  </si>
  <si>
    <t>WRSF1</t>
  </si>
  <si>
    <t>22-03-2024</t>
  </si>
  <si>
    <t>White Rock Wind Farm - Stage 1</t>
  </si>
  <si>
    <t>CECEP Wind Power Australia Pty Ltd</t>
  </si>
  <si>
    <t>WRWF1</t>
  </si>
  <si>
    <t>White Rock Wind Farm - Stage 2</t>
  </si>
  <si>
    <t>211.50 - 352.50</t>
  </si>
  <si>
    <t>N00011</t>
  </si>
  <si>
    <t>28-02-2025</t>
  </si>
  <si>
    <t>Whitsunday Solar Farm Pty Ltd</t>
  </si>
  <si>
    <t>WHITSF1</t>
  </si>
  <si>
    <t>Whitwood Road</t>
  </si>
  <si>
    <t>WHIT1</t>
  </si>
  <si>
    <t>Whyalla</t>
  </si>
  <si>
    <t>Adani</t>
  </si>
  <si>
    <t>02-01-2019</t>
  </si>
  <si>
    <t>Whyalla BESS - KCI</t>
  </si>
  <si>
    <t xml:space="preserve"> BESS Kalkallo Pty Ltd</t>
  </si>
  <si>
    <t>S00029</t>
  </si>
  <si>
    <t>Wilga Park Power Station A</t>
  </si>
  <si>
    <t>Santos</t>
  </si>
  <si>
    <t>WILGAPK</t>
  </si>
  <si>
    <t>WILGB01</t>
  </si>
  <si>
    <t>Willatook</t>
  </si>
  <si>
    <t>V00050</t>
  </si>
  <si>
    <t>Willavale BESS</t>
  </si>
  <si>
    <t>X-Elio Willavale Park Trust</t>
  </si>
  <si>
    <t>Willavale Solar Farm</t>
  </si>
  <si>
    <t>N00126</t>
  </si>
  <si>
    <t>Wimmera Plains BESs</t>
  </si>
  <si>
    <t>27-08-2024</t>
  </si>
  <si>
    <t>Wimmera Plains Energy Facility</t>
  </si>
  <si>
    <t>22-08-2025</t>
  </si>
  <si>
    <t>Wimmera Plains Wind Farm - KCI</t>
  </si>
  <si>
    <t xml:space="preserve"> Wimmera Plains Energy Facility Pty Ltd</t>
  </si>
  <si>
    <t>13-12-2023</t>
  </si>
  <si>
    <t>Winchelsea Gas Turbines - KCI</t>
  </si>
  <si>
    <t>V00028</t>
  </si>
  <si>
    <t>Windy Hill</t>
  </si>
  <si>
    <t>WHILL1</t>
  </si>
  <si>
    <t>Wingfield 1</t>
  </si>
  <si>
    <t>EDL LFG SA Pty Ltd</t>
  </si>
  <si>
    <t>WINGF1_1</t>
  </si>
  <si>
    <t>Wingfield 2</t>
  </si>
  <si>
    <t>WINGF2_1</t>
  </si>
  <si>
    <t>Winterbourne Wind Farm</t>
  </si>
  <si>
    <t>WinterbourneWind Pty Ltd</t>
  </si>
  <si>
    <t>Winton BESS</t>
  </si>
  <si>
    <t>AE BESS 10 as Trustee for AE BESS 10 Unit Trust</t>
  </si>
  <si>
    <t>V00159</t>
  </si>
  <si>
    <t>Winton Energy Reserve 1</t>
  </si>
  <si>
    <t>Lochard Energy</t>
  </si>
  <si>
    <t>V00145</t>
  </si>
  <si>
    <t>Wivenhoe</t>
  </si>
  <si>
    <t>W/HOE#1</t>
  </si>
  <si>
    <t>W/HOE#2</t>
  </si>
  <si>
    <t>Wodonga BESS</t>
  </si>
  <si>
    <t>V00151</t>
  </si>
  <si>
    <t>Wodonga Solar Farm</t>
  </si>
  <si>
    <t xml:space="preserve">Wodonga Solar Power </t>
  </si>
  <si>
    <t>20-06-2022</t>
  </si>
  <si>
    <t>Wollar BESS</t>
  </si>
  <si>
    <t>Wollar Solar Finance Pty Ltd.</t>
  </si>
  <si>
    <t>N00171</t>
  </si>
  <si>
    <t>Wollert Gas Turbine - KCI</t>
  </si>
  <si>
    <t>V00023</t>
  </si>
  <si>
    <t>Wombelano Wind Farm</t>
  </si>
  <si>
    <t>Wind Projects Australia Project 1 Pty Ltd</t>
  </si>
  <si>
    <t>Wongalea BESS</t>
  </si>
  <si>
    <t>Eku Energy Projects (Australia) as trustee for the Eku Energy Projects (Australia) Trust</t>
  </si>
  <si>
    <t>N00187</t>
  </si>
  <si>
    <t>Wonthaggi Wind Farm</t>
  </si>
  <si>
    <t>Vision Super Pty Ltd</t>
  </si>
  <si>
    <t>WONWP</t>
  </si>
  <si>
    <t>Wooderson Solar Farm</t>
  </si>
  <si>
    <t>Wooderson Solar Development Company Pty Ltd</t>
  </si>
  <si>
    <t>Q00109</t>
  </si>
  <si>
    <t>Woodland BESS</t>
  </si>
  <si>
    <t xml:space="preserve"> Risen Energy (Australia) Pty Ltd </t>
  </si>
  <si>
    <t>N00053</t>
  </si>
  <si>
    <t>Woodlawn Bioreactor Energy Generation</t>
  </si>
  <si>
    <t>Veolia Environmental Services Aust P/L</t>
  </si>
  <si>
    <t>WDLNGN01</t>
  </si>
  <si>
    <t>Woodlawn Wind Farm</t>
  </si>
  <si>
    <t>Woodlawn Wind Pty Ltd</t>
  </si>
  <si>
    <t>WOODLWN1</t>
  </si>
  <si>
    <t>Woodstock BESS</t>
  </si>
  <si>
    <t>Q00112</t>
  </si>
  <si>
    <t>04-01-2024</t>
  </si>
  <si>
    <t>Woodstock Renewable Energy Hub - BESS</t>
  </si>
  <si>
    <t>Q00130</t>
  </si>
  <si>
    <t>Woodstock Renewable Energy Hub - Solar</t>
  </si>
  <si>
    <t>Woolnorth Studland Bay / Bluff Point</t>
  </si>
  <si>
    <t>Woolnorth Wind Farm Finance Pty Ltd</t>
  </si>
  <si>
    <t>WOOLNTH1</t>
  </si>
  <si>
    <t>Q00029</t>
  </si>
  <si>
    <t>Woolooga BESS - KCI</t>
  </si>
  <si>
    <t>Q00193</t>
  </si>
  <si>
    <t>20-11-2024</t>
  </si>
  <si>
    <t>Woonga Creek BESS</t>
  </si>
  <si>
    <t>Q00184</t>
  </si>
  <si>
    <t>V00122</t>
  </si>
  <si>
    <t>Wooroora Station Wind Farm</t>
  </si>
  <si>
    <t>Q00012</t>
  </si>
  <si>
    <t>Wurdong BESS</t>
  </si>
  <si>
    <t>Wurdong ProjectCo Pty Ltd</t>
  </si>
  <si>
    <t>Q00110</t>
  </si>
  <si>
    <t>Wyaga Solar Farm and BESS</t>
  </si>
  <si>
    <t>Wyangala A</t>
  </si>
  <si>
    <t>Hydro Power Pty Ltd</t>
  </si>
  <si>
    <t>WYANGALA</t>
  </si>
  <si>
    <t>Wyangala B</t>
  </si>
  <si>
    <t>WYANGALB</t>
  </si>
  <si>
    <t>X-Elio - Sixteen Mile SF BESS</t>
  </si>
  <si>
    <t>The Trustee for X-ELIO SIXTEEN MILE TRUST</t>
  </si>
  <si>
    <t>Q00060</t>
  </si>
  <si>
    <t>Q00003</t>
  </si>
  <si>
    <t>Q00034</t>
  </si>
  <si>
    <t>Yabulu South BESS</t>
  </si>
  <si>
    <t>Yabulu South BESS Pty Ltd</t>
  </si>
  <si>
    <t>Yadnarie Solar Farm</t>
  </si>
  <si>
    <t>S00057</t>
  </si>
  <si>
    <t>YWPS1</t>
  </si>
  <si>
    <t>YWPS2</t>
  </si>
  <si>
    <t>YWPS3</t>
  </si>
  <si>
    <t>YWPS4</t>
  </si>
  <si>
    <t>Yaloak South Wind Farm</t>
  </si>
  <si>
    <t>Pacific Hydro Yaloak South Pty Ltd</t>
  </si>
  <si>
    <t>YSWF1</t>
  </si>
  <si>
    <t>Yambla Range BESS</t>
  </si>
  <si>
    <t>Yambla Range Wind Farm</t>
  </si>
  <si>
    <t>Yambuk</t>
  </si>
  <si>
    <t>YAMBUKWF</t>
  </si>
  <si>
    <t>N00139</t>
  </si>
  <si>
    <t>Yanco Delta Wind Farm</t>
  </si>
  <si>
    <t>N00099</t>
  </si>
  <si>
    <t>Yarrabee Solar Power Project</t>
  </si>
  <si>
    <t>07-04-2025</t>
  </si>
  <si>
    <t>25-02-2025</t>
  </si>
  <si>
    <t>Yarrawonga</t>
  </si>
  <si>
    <t>YWNGAHYD</t>
  </si>
  <si>
    <t>Yarwun 1</t>
  </si>
  <si>
    <t>RTA Yarwun Pty Ltd</t>
  </si>
  <si>
    <t>YARWUN_1</t>
  </si>
  <si>
    <t>Yawong Wind Farm</t>
  </si>
  <si>
    <t>Yawong Wind Farm Pty Ltd</t>
  </si>
  <si>
    <t>YAWWF1</t>
  </si>
  <si>
    <t>30-09-2022</t>
  </si>
  <si>
    <t>Yelarbon SF and BESS - KCI</t>
  </si>
  <si>
    <t>Elgin Energy</t>
  </si>
  <si>
    <t>Q00174</t>
  </si>
  <si>
    <t>Yoorndoo Ilga Solar - KCI</t>
  </si>
  <si>
    <t>Yoorndoo Ilga Solar Pty Ltd</t>
  </si>
  <si>
    <t>S00071</t>
  </si>
  <si>
    <t>Yorke Peninsula Wind Farm</t>
  </si>
  <si>
    <t>Yorke Peninsula Wind Farm Project Pty Ltd</t>
  </si>
  <si>
    <t>624.00 - 748.80</t>
  </si>
  <si>
    <t>Yumali BESS</t>
  </si>
  <si>
    <t>Yumali Wind Farm</t>
  </si>
  <si>
    <t>Committed*  represents projects that have met the requirements to be classified as "Advanced", and construction or installation has commenced.</t>
  </si>
  <si>
    <t>Snowy 2.0 - Unit Status - Reflects the Commonwealth Government commitment to construct the Snowy 2.0 project.</t>
  </si>
  <si>
    <t xml:space="preserve">Battery of the Nation - Full Commercial Use Date - Subject to further interconnection between Victoria and Tasmania and feasibility studies.  For more information, please refer to: https://www.hydro.com.au/clean-energy/battery-of-the-nation/pumped-hydro/pumped-hydro-faq </t>
  </si>
  <si>
    <t>Battery of the Nation - Storage Capacity (MWh) - Average storage capacity of Tasmanian pumped hydro opportunities.</t>
  </si>
  <si>
    <t>Waratah Super Battery is considered as part of a transmission project. See the Transmission Augmentation Information page on its commitment status and timing.</t>
  </si>
  <si>
    <t>Scheduled Capacities are shown in MW for the next 10 years for three specific demand conditions which have a reference Temperature for the given NEM Region.</t>
  </si>
  <si>
    <t>Scheduled capacities consider limitations under the Connection Agreement with the Network Service Provider, e.g. the maximum capacity that may be exported via the relevant Connection Point. </t>
  </si>
  <si>
    <t>Winter 2025</t>
  </si>
  <si>
    <t>Summer Typical 2025-26</t>
  </si>
  <si>
    <t>Summer Peak 2025-26</t>
  </si>
  <si>
    <t>Winter 2026</t>
  </si>
  <si>
    <t>Summer Typical 2026-27</t>
  </si>
  <si>
    <t>Summer Peak 2026-27</t>
  </si>
  <si>
    <t>Winter 2027</t>
  </si>
  <si>
    <t>Summer Typical 2027-28</t>
  </si>
  <si>
    <t>Summer Peak 2027-28</t>
  </si>
  <si>
    <t>Winter 2028</t>
  </si>
  <si>
    <t>Summer Typical 2028-29</t>
  </si>
  <si>
    <t>Summer Peak 2028-29</t>
  </si>
  <si>
    <t>Winter 2029</t>
  </si>
  <si>
    <t>Summer Typical 2029-30</t>
  </si>
  <si>
    <t>Summer Peak 2029-30</t>
  </si>
  <si>
    <t>Winter 2030</t>
  </si>
  <si>
    <t>Summer Typical 2030-31</t>
  </si>
  <si>
    <t>Summer Peak 2030-31</t>
  </si>
  <si>
    <t>Winter 2031</t>
  </si>
  <si>
    <t>Summer Typical 2031-32</t>
  </si>
  <si>
    <t>Summer Peak 2031-32</t>
  </si>
  <si>
    <t>Winter 2032</t>
  </si>
  <si>
    <t>Summer Typical 2032-33</t>
  </si>
  <si>
    <t>Summer Peak 2032-33</t>
  </si>
  <si>
    <t>Winter 2033</t>
  </si>
  <si>
    <t>Summer Typical 2033-34</t>
  </si>
  <si>
    <t>Summer Peak 2033-34</t>
  </si>
  <si>
    <t>Winter 2034</t>
  </si>
  <si>
    <t>Summer Typical 2034-35</t>
  </si>
  <si>
    <t>Summer Peak 2034-35</t>
  </si>
  <si>
    <t>Unknown</t>
  </si>
  <si>
    <t>KiataWF1</t>
  </si>
  <si>
    <t>*Please note Summer Typical capacities are not collected for Tasmanian generators, instead Summer Peak capacities apply throughout summer.</t>
  </si>
  <si>
    <t>Previous Site Name</t>
  </si>
  <si>
    <t>Updated Site Name</t>
  </si>
  <si>
    <t>Effective from Publication Date</t>
  </si>
  <si>
    <t>Bendemeer Renewable Energy Hub - Solar - KCI</t>
  </si>
  <si>
    <t>Bendemeer Renewable Energy Hub - Storage - KCI</t>
  </si>
  <si>
    <t>Wellington BESS - Stage 1</t>
  </si>
  <si>
    <t>Deepwater BESS</t>
  </si>
  <si>
    <t>Deepwater Solar Farm</t>
  </si>
  <si>
    <t>Goorambat BESS (Lighthouse)</t>
  </si>
  <si>
    <t>Goyder North Renewable Energy Facility</t>
  </si>
  <si>
    <t>Gundary Solar Farm - KCI</t>
  </si>
  <si>
    <t>Joel BESS</t>
  </si>
  <si>
    <t>Kerang BESS (BSR)</t>
  </si>
  <si>
    <t>Koolunga Battery Energy Storage System 1</t>
  </si>
  <si>
    <t>Lower Wonga Solar Farm (LightsourceBP)</t>
  </si>
  <si>
    <t>Majors Creek Solar And BESS</t>
  </si>
  <si>
    <t>Mokoan Solar Farm (LightsourceBP)</t>
  </si>
  <si>
    <t>Molong BESS (KCI)</t>
  </si>
  <si>
    <t>Mount Fyans Wind Farm 2.0</t>
  </si>
  <si>
    <t>Calvale Solar Farm</t>
  </si>
  <si>
    <t>Running Creek Solar And BESS</t>
  </si>
  <si>
    <t>Smoky Creek Hybrid Facility - Solar And BESS</t>
  </si>
  <si>
    <t>Rothby BESS</t>
  </si>
  <si>
    <t>Meredith Wind Farm - KCI</t>
  </si>
  <si>
    <t>Ardandra Solar Farm</t>
  </si>
  <si>
    <t>Cooma BESS (ACEN)</t>
  </si>
  <si>
    <t>Deargee</t>
  </si>
  <si>
    <t>Gin Gin Solar Farm - KCI</t>
  </si>
  <si>
    <t>Golden Fleece BESS</t>
  </si>
  <si>
    <t>Golden Fleece Solar Farm</t>
  </si>
  <si>
    <t>Richmond Valley BESS (EIWA)</t>
  </si>
  <si>
    <t>Fletcher Creek Wind Farm</t>
  </si>
  <si>
    <t>Hanworth BESS - KCI</t>
  </si>
  <si>
    <t>Junction Rivers</t>
  </si>
  <si>
    <t>Merriwa BESS 1</t>
  </si>
  <si>
    <t>Middlebrook Solar Farm</t>
  </si>
  <si>
    <t>Miriam Vale Solar Farm - A</t>
  </si>
  <si>
    <t>Miriam Vale Solar Farm - B</t>
  </si>
  <si>
    <t>Smoky Creek Solar Farm</t>
  </si>
  <si>
    <t>Tallawang BESS</t>
  </si>
  <si>
    <t>Wellington BESS 2</t>
  </si>
  <si>
    <t>Armidale Big BESS</t>
  </si>
  <si>
    <t>Bouldercombe BESS - Quintas</t>
  </si>
  <si>
    <t>Bracewell Energy Project</t>
  </si>
  <si>
    <t>Carmody BESS</t>
  </si>
  <si>
    <t>Fraser Coast Solar Park</t>
  </si>
  <si>
    <t>Glenrowan BESS (KCI)</t>
  </si>
  <si>
    <t>Griffith BESS - KCI</t>
  </si>
  <si>
    <t>Lower Wonga Solar Farm - KCI</t>
  </si>
  <si>
    <t>Malunga BESS - KCI</t>
  </si>
  <si>
    <t>Monduran BESS - KCI</t>
  </si>
  <si>
    <t>Peninsula Solar Farm</t>
  </si>
  <si>
    <t>QCG LNG Curtis Island Electrificaton - KCI</t>
  </si>
  <si>
    <t>Supernode Project</t>
  </si>
  <si>
    <t>Watta Wella Wind Farm - KCI</t>
  </si>
  <si>
    <t>Blind Creek Solar Farm</t>
  </si>
  <si>
    <t>Elaine Solar Farm &amp; BESS Hybrid - KCI</t>
  </si>
  <si>
    <t>Goyder North Stage 1 Wind farm - KCI</t>
  </si>
  <si>
    <t>Hawthorn BESS - KCI</t>
  </si>
  <si>
    <t>Junction Rivers BESS – Stage 1</t>
  </si>
  <si>
    <t>Junction Rivers BESS – Stage 2</t>
  </si>
  <si>
    <t>Junction Rivers Wind Farm – Stage 1</t>
  </si>
  <si>
    <t>Junction Rivers Wind Farm – Stage 2</t>
  </si>
  <si>
    <t>Majors Creek Energy Storage System - KCI</t>
  </si>
  <si>
    <t>West Mokoan BESS</t>
  </si>
  <si>
    <t>Birdwood Energy Reserve - KCI</t>
  </si>
  <si>
    <t>Derby Solar Farm</t>
  </si>
  <si>
    <t>Goulburn River SF</t>
  </si>
  <si>
    <t>Palmerston BESS</t>
  </si>
  <si>
    <t>Hughes Rd BESS</t>
  </si>
  <si>
    <t>Dedernag BESS (Trina)</t>
  </si>
  <si>
    <t>Kiewa Valley BESS</t>
  </si>
  <si>
    <t>Miriam Vale Renewable Energy Hub</t>
  </si>
  <si>
    <t>Western Downs Battery Connection - KCI</t>
  </si>
  <si>
    <t>Lambruk Solar Farm</t>
  </si>
  <si>
    <t>Maryvale Solar Farm</t>
  </si>
  <si>
    <t>Narrabri Solar Farm &amp; BESS</t>
  </si>
  <si>
    <t>Rutherglen Solar and Storage - KCI</t>
  </si>
  <si>
    <t>Tchelery Wind Farm - KCI</t>
  </si>
  <si>
    <t>Armidale BESS - 150</t>
  </si>
  <si>
    <t>Mount Larcom (Site A) Solar Farm</t>
  </si>
  <si>
    <t>Acacia SF (Lambruk Solar Project)</t>
  </si>
  <si>
    <t>Victorian Big Battery 2</t>
  </si>
  <si>
    <t>Tieri Solar Farm</t>
  </si>
  <si>
    <t>EIWA Bundaberg Solar Farm</t>
  </si>
  <si>
    <t xml:space="preserve">BESS Styx - Storage - KCI </t>
  </si>
  <si>
    <t xml:space="preserve">Deniliquin East BESS </t>
  </si>
  <si>
    <t xml:space="preserve">Burrawong Wind Farm BESS – Stage 1 </t>
  </si>
  <si>
    <t xml:space="preserve">Junction Rivers BESS – Stage 1 </t>
  </si>
  <si>
    <t xml:space="preserve">Burrawong BESS – Stage 2 </t>
  </si>
  <si>
    <t xml:space="preserve">Junction Rivers BESS – Stage 2 </t>
  </si>
  <si>
    <t xml:space="preserve">Burrawong Wind Farm – Stage 1 </t>
  </si>
  <si>
    <t xml:space="preserve">Junction Rivers Wind Farm – Stage 1 </t>
  </si>
  <si>
    <t xml:space="preserve">Burrawong Wind Farm – Stage 2 </t>
  </si>
  <si>
    <t xml:space="preserve">Junction Rivers Wind Farm – Stage 2 </t>
  </si>
  <si>
    <t>Merriwa Solar Farm - BESS</t>
  </si>
  <si>
    <t>Gippsland A&amp;B - Wind - KCI</t>
  </si>
  <si>
    <t>Gippsland C - Wind - KCI</t>
  </si>
  <si>
    <t xml:space="preserve">Central Renewable Energy Zone BESS </t>
  </si>
  <si>
    <t xml:space="preserve">Southern Renewable Energy Zone BESS </t>
  </si>
  <si>
    <t xml:space="preserve">Tarong BESS - Stanwell </t>
  </si>
  <si>
    <t xml:space="preserve">NSW Diverse Battery </t>
  </si>
  <si>
    <t xml:space="preserve">Tomago BESS (AGL) </t>
  </si>
  <si>
    <t>Bellbay Wind Farm</t>
  </si>
  <si>
    <t>Monash BESS</t>
  </si>
  <si>
    <t>Bundey Energy Hub Battery Energy Storage A</t>
  </si>
  <si>
    <t>Palmerston Big Battery</t>
  </si>
  <si>
    <t>Hunter Coast Offshore Wind</t>
  </si>
  <si>
    <t>Jeremiah WF</t>
  </si>
  <si>
    <t>Brinkworth BESS - Storage - KCI</t>
  </si>
  <si>
    <t>Koolunga BESS</t>
  </si>
  <si>
    <t>Melbourne Renewable Energy Hub</t>
  </si>
  <si>
    <t>Mount Walsh Wind Farm</t>
  </si>
  <si>
    <t>Mt Fox Energy Park - KCI</t>
  </si>
  <si>
    <t>Nine Network Willoughby</t>
  </si>
  <si>
    <t>Robertstown Solar Farm</t>
  </si>
  <si>
    <t>Renewable Power Australia Limited</t>
  </si>
  <si>
    <t>St George Leagues Club</t>
  </si>
  <si>
    <t>Stanhope BESS Project</t>
  </si>
  <si>
    <t>Summerfield BESS - KCI</t>
  </si>
  <si>
    <t>Thomastown Terminal Station - KCI</t>
  </si>
  <si>
    <t>Vast Solar1 Pty Ltd - Thermal - KCI</t>
  </si>
  <si>
    <t>Chalumbin Wind Farm</t>
  </si>
  <si>
    <t>Wooroora Station  Wind Farm</t>
  </si>
  <si>
    <t>Yanco Delta Wind Farm Stage 1 - Battery - KCI</t>
  </si>
  <si>
    <t>Melbourne Renewables Energy Complex</t>
  </si>
  <si>
    <t>Barwon Solar &amp; BESS</t>
  </si>
  <si>
    <t>Wagga Wagga Renewable Project</t>
  </si>
  <si>
    <t>Gulgong Solar</t>
  </si>
  <si>
    <t>Bellambi Heights Renewable</t>
  </si>
  <si>
    <t>Low Head Wind Farm II</t>
  </si>
  <si>
    <t>Southern Ocean</t>
  </si>
  <si>
    <t>Melton Renewable Energy Hub</t>
  </si>
  <si>
    <t xml:space="preserve">Muswellbrook Pumped Hydro </t>
  </si>
  <si>
    <t>Kennedy Energy Park - Phase 2 - Wind</t>
  </si>
  <si>
    <t>Prairie WF &amp; Wongalee Wind Farm</t>
  </si>
  <si>
    <t>Wollongong Offshore Wind</t>
  </si>
  <si>
    <t>South Pacific</t>
  </si>
  <si>
    <t>Rollingstone Solar Farm</t>
  </si>
  <si>
    <t>Terang Battery Energy Storage System (Tilt Renewables)</t>
  </si>
  <si>
    <t>YES Sunlands</t>
  </si>
  <si>
    <t>RMGE94</t>
  </si>
  <si>
    <t>Darlington Point BESS</t>
  </si>
  <si>
    <t>Queanbeyan Battery</t>
  </si>
  <si>
    <t>Kentucky Solar Farm</t>
  </si>
  <si>
    <t>Latitude Solar Farm</t>
  </si>
  <si>
    <t>Bolivar Power Stataion</t>
  </si>
  <si>
    <t>Bouldercombe Battery</t>
  </si>
  <si>
    <t>Deer Park Battery Energy Storage System</t>
  </si>
  <si>
    <t>Deer Park BESS</t>
  </si>
  <si>
    <t>Nhill Wind Farm</t>
  </si>
  <si>
    <t>Jeeralang battery</t>
  </si>
  <si>
    <t>Bulli Creek Solar Farm – Stage 1/Bulli Creek Solar Farm – Future Stages</t>
  </si>
  <si>
    <t>Guunedah Solar Farm</t>
  </si>
  <si>
    <t>Walcha Energy Project Storage - Dungowan PHES</t>
  </si>
  <si>
    <t>Ferguson North Wind Farm</t>
  </si>
  <si>
    <t>Gilgandara Solar Farm</t>
  </si>
  <si>
    <t>Gilgandra Solar Farm</t>
  </si>
  <si>
    <t>Channel Nine - Willoughby, NSW</t>
  </si>
  <si>
    <t>Walcha Energy Project - Salisbury BESS</t>
  </si>
  <si>
    <t>Walcha Energy Project - Salisbury East Solar</t>
  </si>
  <si>
    <t>Salisbury East Solar 350MW</t>
  </si>
  <si>
    <t>Walcha Energy Project - Salisbury West Solar</t>
  </si>
  <si>
    <t>Salisbury West Solar 350MW</t>
  </si>
  <si>
    <t>Western Suburbs Leagues Club - Illawarra - Unanderra, NSW</t>
  </si>
  <si>
    <t>Walcha Energy Project - Winterbourne Wind Farm</t>
  </si>
  <si>
    <t>AGL Battery (Maoneng)</t>
  </si>
  <si>
    <t>Bango Wind Farm</t>
  </si>
  <si>
    <t>Bango 973 Wind Farm
 Bango 999 Wind Farm</t>
  </si>
  <si>
    <t>Bells Mountain Pumped Hydro</t>
  </si>
  <si>
    <t>Millmerran</t>
  </si>
  <si>
    <t>Walcha Energy Project - Salisbury East Solar 350MW</t>
  </si>
  <si>
    <t>Bundaberg 2 Solar Farm</t>
  </si>
  <si>
    <t>Glenrowan Sun Farm</t>
  </si>
  <si>
    <t>Mt Millar</t>
  </si>
  <si>
    <t>Ballarat Base Hospital</t>
  </si>
  <si>
    <t>Battery of the Nation - Stage 2</t>
  </si>
  <si>
    <t>Battery of the Nation - Stage 3</t>
  </si>
  <si>
    <t>Battery of the Nation - Stage 4</t>
  </si>
  <si>
    <t>Battery of the Nation - Stage 5</t>
  </si>
  <si>
    <t>Berrybank Wind Farm - Stage 1</t>
  </si>
  <si>
    <t>Berrybank Wind Farm - Stage 2</t>
  </si>
  <si>
    <t>Broadwater and Condong Co-generation plants</t>
  </si>
  <si>
    <t>Chepstowe Wind Farm</t>
  </si>
  <si>
    <t>Codrington</t>
  </si>
  <si>
    <t>Collinsville North Solar</t>
  </si>
  <si>
    <t>Columboola</t>
  </si>
  <si>
    <t>Spencer Gulf Pumped Storage Hydro</t>
  </si>
  <si>
    <t>Dalby</t>
  </si>
  <si>
    <t>Eildon Small Hydro</t>
  </si>
  <si>
    <t>Finley/Canalla Solar Project</t>
  </si>
  <si>
    <t>Finley Solar Project</t>
  </si>
  <si>
    <t>Delga Solar Farm</t>
  </si>
  <si>
    <t>Beryl/Gulgong Solar Project</t>
  </si>
  <si>
    <t>Gulgong Solar Project</t>
  </si>
  <si>
    <t>Hallet Repower</t>
  </si>
  <si>
    <t>Hallet GT</t>
  </si>
  <si>
    <t>Hume NSW</t>
  </si>
  <si>
    <t>Hume VIC</t>
  </si>
  <si>
    <t>Inverleigh Storage</t>
  </si>
  <si>
    <t>Inverleigh Wind Farm Storage</t>
  </si>
  <si>
    <t>Keyneton</t>
  </si>
  <si>
    <t>Keyneton Wind Farm</t>
  </si>
  <si>
    <t>Limondale Solar Plant 1</t>
  </si>
  <si>
    <t>Limondale Solar Plant 2</t>
  </si>
  <si>
    <t>McIntyre</t>
  </si>
  <si>
    <t xml:space="preserve">MacIntyre Wind Farm </t>
  </si>
  <si>
    <t>Mallee Solar Park</t>
  </si>
  <si>
    <t>Mortlake expansion</t>
  </si>
  <si>
    <t>Mortlake South</t>
  </si>
  <si>
    <t>Mt Gellibrand</t>
  </si>
  <si>
    <t>Quarantine expansion</t>
  </si>
  <si>
    <t>St George Leagues Club - Kogarah, NSW</t>
  </si>
  <si>
    <t xml:space="preserve">Bordertown Power Station Gen </t>
  </si>
  <si>
    <t>Vibe Energy - Bordertown Power Station Gen - Bordertown, SA</t>
  </si>
  <si>
    <t>Vibe Energy - Tatiara Meat Gen, Bordertown, SA</t>
  </si>
  <si>
    <t>Walcha Energy Project - Wind</t>
  </si>
  <si>
    <t>Walcha Energy Project - Ruby Hills Wind Farm</t>
  </si>
  <si>
    <t>Walcha Energy Project - Solar</t>
  </si>
  <si>
    <t>Walcha Energy Project - Storage</t>
  </si>
  <si>
    <t>Walcha Energy Project Storage - Salisbury BESS</t>
  </si>
  <si>
    <t>Western Suburbs League Club Campbelltown</t>
  </si>
  <si>
    <t>Western Suburbs Leagues Club - Campbelltown, NSW</t>
  </si>
  <si>
    <t>Moira Solar Farm</t>
  </si>
  <si>
    <t>Expected closure year updated from 2033 to 2029, closure date of 31/03/2029 advised</t>
  </si>
  <si>
    <t>FCUD Updated from May to Oct 2025. From Committed to In Commissioning</t>
  </si>
  <si>
    <t>Goulburn River Solar Farm And BESS - BESS</t>
  </si>
  <si>
    <t>Blind Creek Solar Farm and Battery Energy Storage System - Solar</t>
  </si>
  <si>
    <t>Blind Creek Solar Farm and Battery Energy Storage System - BESS</t>
  </si>
  <si>
    <t>NEM</t>
  </si>
  <si>
    <t>Survey update by participant led to the unit status to change from Anticipated to Publicly Announced</t>
  </si>
  <si>
    <t>Survey update by participant led to the unit status to change backwards to Anticipated</t>
  </si>
  <si>
    <t>Firm Power P/L</t>
  </si>
  <si>
    <t>BUNGAMB1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</si>
</sst>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_-* #,##0_-;\-* #,##0_-;_-* &quot;-&quot;??_-;_-@_-"/>
    <numFmt numFmtId="165" formatCode="_-* #,##0.0_-;\-* #,##0.0_-;_-* &quot;-&quot;??_-;_-@_-"/>
    <numFmt numFmtId="166" formatCode="mmm\ yyyy"/>
    <numFmt numFmtId="167" formatCode="dd/mm/yyyy"/>
    <numFmt numFmtId="168" formatCode="dd\-mmm\-yyyy"/>
    <numFmt numFmtId="169" formatCode="dd\-mm\-yyyy"/>
  </numFmts>
  <fonts count="62">
    <font>
      <sz val="11"/>
      <color theme="1"/>
      <name val="Calibri"/>
      <family val="2"/>
      <scheme val="minor"/>
    </font>
    <font>
      <sz val="8"/>
      <color theme="1"/>
      <name val="Arial"/>
      <family val="2"/>
    </font>
    <font>
      <sz val="8"/>
      <color theme="1"/>
      <name val="Arial"/>
      <family val="2"/>
    </font>
    <font>
      <sz val="11"/>
      <color theme="0"/>
      <name val="Calibri"/>
      <family val="2"/>
      <scheme val="minor"/>
    </font>
    <font>
      <u/>
      <sz val="11"/>
      <color theme="10"/>
      <name val="Calibri"/>
      <family val="2"/>
      <scheme val="minor"/>
    </font>
    <font>
      <b/>
      <sz val="10"/>
      <color rgb="FFF47321"/>
      <name val="Arial"/>
      <family val="2"/>
    </font>
    <font>
      <sz val="10"/>
      <color rgb="FF000000"/>
      <name val="Arial"/>
      <family val="2"/>
    </font>
    <font>
      <u/>
      <sz val="10"/>
      <color theme="10"/>
      <name val="Arial"/>
      <family val="2"/>
    </font>
    <font>
      <b/>
      <sz val="10"/>
      <name val="Arial"/>
      <family val="2"/>
    </font>
    <font>
      <sz val="11"/>
      <color rgb="FF000000"/>
      <name val="Calibri"/>
      <family val="2"/>
      <scheme val="minor"/>
    </font>
    <font>
      <b/>
      <sz val="15"/>
      <color rgb="FFF47321"/>
      <name val="Arial"/>
      <family val="2"/>
    </font>
    <font>
      <sz val="9"/>
      <color theme="1"/>
      <name val="Arial"/>
      <family val="2"/>
    </font>
    <font>
      <sz val="9"/>
      <name val="Arial"/>
      <family val="2"/>
    </font>
    <font>
      <b/>
      <sz val="9"/>
      <name val="Arial"/>
      <family val="2"/>
    </font>
    <font>
      <b/>
      <sz val="11"/>
      <color rgb="FFF47321"/>
      <name val="Arial"/>
      <family val="2"/>
    </font>
    <font>
      <b/>
      <sz val="10"/>
      <color rgb="FF333333"/>
      <name val="Arial"/>
      <family val="2"/>
    </font>
    <font>
      <b/>
      <sz val="8"/>
      <name val="Arial"/>
      <family val="2"/>
    </font>
    <font>
      <b/>
      <sz val="8"/>
      <color rgb="FFFFFFFF"/>
      <name val="Arial"/>
      <family val="2"/>
    </font>
    <font>
      <sz val="8"/>
      <name val="Arial"/>
      <family val="2"/>
    </font>
    <font>
      <sz val="10"/>
      <color theme="1"/>
      <name val="Arial"/>
      <family val="2"/>
    </font>
    <font>
      <sz val="11"/>
      <color theme="1"/>
      <name val="Calibri"/>
      <family val="2"/>
      <scheme val="minor"/>
    </font>
    <font>
      <b/>
      <sz val="8"/>
      <color rgb="FF000000"/>
      <name val="Arial"/>
      <family val="2"/>
    </font>
    <font>
      <sz val="8"/>
      <color rgb="FFFFFFFF"/>
      <name val="Arial"/>
      <family val="2"/>
    </font>
    <font>
      <sz val="8"/>
      <color rgb="FF000000"/>
      <name val="Arial"/>
      <family val="2"/>
    </font>
    <font>
      <sz val="11"/>
      <color rgb="FF000000"/>
      <name val="Arial"/>
      <family val="2"/>
    </font>
    <font>
      <sz val="9"/>
      <color rgb="FF000000"/>
      <name val="Arial"/>
      <family val="2"/>
    </font>
    <font>
      <b/>
      <sz val="12"/>
      <color theme="1"/>
      <name val="Arial"/>
      <family val="2"/>
    </font>
    <font>
      <sz val="12"/>
      <color theme="1"/>
      <name val="Arial"/>
      <family val="2"/>
    </font>
    <font>
      <b/>
      <sz val="13"/>
      <color rgb="FFF47321"/>
      <name val="Arial"/>
      <family val="2"/>
    </font>
    <font>
      <b/>
      <sz val="11"/>
      <name val="Arial"/>
      <family val="2"/>
    </font>
    <font>
      <b/>
      <sz val="11"/>
      <color rgb="FF000000"/>
      <name val="Arial"/>
      <family val="2"/>
    </font>
    <font>
      <b/>
      <sz val="11"/>
      <color rgb="FFFF0000"/>
      <name val="Calibri"/>
      <family val="2"/>
      <scheme val="minor"/>
    </font>
    <font>
      <b/>
      <sz val="8"/>
      <color theme="1"/>
      <name val="Arial"/>
      <family val="2"/>
    </font>
    <font>
      <b/>
      <sz val="9"/>
      <color theme="1"/>
      <name val="Arial"/>
      <family val="2"/>
    </font>
    <font>
      <b/>
      <sz val="9"/>
      <color rgb="FFFF0000"/>
      <name val="Arial"/>
      <family val="2"/>
    </font>
    <font>
      <b/>
      <sz val="14"/>
      <color rgb="FFF47321"/>
      <name val="Arial"/>
      <family val="2"/>
    </font>
    <font>
      <sz val="8"/>
      <color theme="1" tint="0.499984740745262"/>
      <name val="Arial"/>
      <family val="2"/>
    </font>
    <font>
      <b/>
      <sz val="11"/>
      <color theme="1"/>
      <name val="Arial"/>
      <family val="2"/>
    </font>
    <font>
      <sz val="11"/>
      <name val="Calibri"/>
      <family val="2"/>
      <scheme val="minor"/>
    </font>
    <font>
      <b/>
      <sz val="12"/>
      <name val="Arial"/>
      <family val="2"/>
    </font>
    <font>
      <b/>
      <sz val="9"/>
      <color rgb="FFF47321"/>
      <name val="Arial"/>
      <family val="2"/>
    </font>
    <font>
      <sz val="12"/>
      <name val="Calibri"/>
      <family val="2"/>
      <scheme val="minor"/>
    </font>
    <font>
      <b/>
      <sz val="11"/>
      <color theme="0"/>
      <name val="Arial"/>
      <family val="2"/>
    </font>
    <font>
      <sz val="9"/>
      <color theme="1"/>
      <name val="Wingdings"/>
      <charset val="2"/>
    </font>
    <font>
      <sz val="9"/>
      <color rgb="FFFFFFFF"/>
      <name val="Arial"/>
      <family val="2"/>
      <charset val="2"/>
    </font>
    <font>
      <sz val="9"/>
      <color rgb="FFFFFFFF"/>
      <name val="Wingdings"/>
      <charset val="2"/>
    </font>
    <font>
      <sz val="9"/>
      <color rgb="FFFFFFFF"/>
      <name val="Arial"/>
      <family val="2"/>
    </font>
    <font>
      <b/>
      <sz val="8"/>
      <color theme="1" tint="0.499984740745262"/>
      <name val="Arial"/>
      <family val="2"/>
    </font>
    <font>
      <sz val="9"/>
      <color rgb="FF000000"/>
      <name val="Wingdings"/>
      <charset val="2"/>
    </font>
    <font>
      <b/>
      <sz val="9"/>
      <color rgb="FFFFFFFF"/>
      <name val="Arial"/>
      <family val="2"/>
    </font>
    <font>
      <u/>
      <sz val="8"/>
      <color theme="10"/>
      <name val="Calibri"/>
      <family val="2"/>
      <scheme val="minor"/>
    </font>
    <font>
      <sz val="10"/>
      <name val="Arial"/>
      <family val="2"/>
    </font>
    <font>
      <sz val="10"/>
      <color rgb="FF9C6500"/>
      <name val="Arial"/>
      <family val="2"/>
    </font>
    <font>
      <sz val="10"/>
      <color rgb="FF006100"/>
      <name val="Arial"/>
      <family val="2"/>
    </font>
    <font>
      <sz val="8"/>
      <color theme="1"/>
      <name val="Microsoft Sans Serif"/>
      <family val="2"/>
    </font>
    <font>
      <b/>
      <sz val="10"/>
      <color theme="1"/>
      <name val="Calibri"/>
      <family val="2"/>
      <scheme val="minor"/>
    </font>
    <font>
      <b/>
      <sz val="8"/>
      <color rgb="FFA2CC86"/>
      <name val="Arial Narrow"/>
      <family val="2"/>
    </font>
    <font>
      <sz val="11"/>
      <color rgb="FF006100"/>
      <name val="Calibri"/>
      <family val="2"/>
      <scheme val="minor"/>
    </font>
    <font>
      <sz val="10"/>
      <name val="Arial"/>
      <family val="2"/>
    </font>
    <font>
      <sz val="8"/>
      <name val="Calibri"/>
      <family val="2"/>
      <scheme val="minor"/>
    </font>
    <font>
      <sz val="8"/>
      <color rgb="FFFF0000"/>
      <name val="Arial"/>
      <family val="2"/>
    </font>
    <font>
      <sz val="8"/>
      <color rgb="FF000000"/>
      <name val="Arial"/>
      <family val="2"/>
    </font>
  </fonts>
  <fills count="34">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948671"/>
        <bgColor indexed="64"/>
      </patternFill>
    </fill>
    <fill>
      <patternFill patternType="solid">
        <fgColor rgb="FFFFC222"/>
      </patternFill>
    </fill>
    <fill>
      <patternFill patternType="solid">
        <fgColor rgb="FF948671"/>
      </patternFill>
    </fill>
    <fill>
      <patternFill patternType="solid">
        <fgColor rgb="FFF9F8F6"/>
        <bgColor rgb="FFFFFFFF"/>
      </patternFill>
    </fill>
    <fill>
      <patternFill patternType="solid">
        <fgColor rgb="FFE7E3DC"/>
        <bgColor rgb="FFFFFFFF"/>
      </patternFill>
    </fill>
    <fill>
      <patternFill patternType="solid">
        <fgColor rgb="FFF9F8F6"/>
        <bgColor indexed="64"/>
      </patternFill>
    </fill>
    <fill>
      <patternFill patternType="solid">
        <fgColor rgb="FFE7E3DC"/>
        <bgColor indexed="64"/>
      </patternFill>
    </fill>
    <fill>
      <patternFill patternType="solid">
        <fgColor theme="5" tint="0.79998168889431442"/>
        <bgColor indexed="65"/>
      </patternFill>
    </fill>
    <fill>
      <patternFill patternType="solid">
        <fgColor theme="8" tint="0.79998168889431442"/>
        <bgColor indexed="65"/>
      </patternFill>
    </fill>
    <fill>
      <patternFill patternType="solid">
        <fgColor rgb="FFFFC222"/>
        <bgColor indexed="64"/>
      </patternFill>
    </fill>
    <fill>
      <patternFill patternType="solid">
        <fgColor theme="2"/>
        <bgColor indexed="64"/>
      </patternFill>
    </fill>
    <fill>
      <patternFill patternType="solid">
        <fgColor theme="0" tint="-4.9989318521683403E-2"/>
        <bgColor indexed="64"/>
      </patternFill>
    </fill>
    <fill>
      <patternFill patternType="solid">
        <fgColor rgb="FFED7D31"/>
        <bgColor indexed="64"/>
      </patternFill>
    </fill>
    <fill>
      <patternFill patternType="solid">
        <fgColor rgb="FFFFD966"/>
        <bgColor indexed="64"/>
      </patternFill>
    </fill>
    <fill>
      <patternFill patternType="solid">
        <fgColor rgb="FFDDEBF7"/>
        <bgColor indexed="64"/>
      </patternFill>
    </fill>
    <fill>
      <patternFill patternType="solid">
        <fgColor rgb="FFC7E1B5"/>
        <bgColor indexed="64"/>
      </patternFill>
    </fill>
    <fill>
      <patternFill patternType="solid">
        <fgColor rgb="FFBFD0EB"/>
        <bgColor indexed="64"/>
      </patternFill>
    </fill>
    <fill>
      <patternFill patternType="solid">
        <fgColor rgb="FFFF8585"/>
        <bgColor indexed="64"/>
      </patternFill>
    </fill>
    <fill>
      <patternFill patternType="solid">
        <fgColor theme="5" tint="0.59999389629810485"/>
        <bgColor indexed="65"/>
      </patternFill>
    </fill>
    <fill>
      <patternFill patternType="solid">
        <fgColor theme="5" tint="0.59999389629810485"/>
        <bgColor indexed="64"/>
      </patternFill>
    </fill>
    <fill>
      <patternFill patternType="solid">
        <fgColor rgb="FFC6EFCE"/>
      </patternFill>
    </fill>
    <fill>
      <patternFill patternType="solid">
        <fgColor rgb="FFFFEB9C"/>
      </patternFill>
    </fill>
    <fill>
      <patternFill patternType="solid">
        <fgColor rgb="FFE9E7E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7030A0"/>
        <bgColor indexed="64"/>
      </patternFill>
    </fill>
    <fill>
      <patternFill patternType="solid">
        <fgColor rgb="FF0070C0"/>
        <bgColor indexed="64"/>
      </patternFill>
    </fill>
    <fill>
      <patternFill patternType="solid">
        <fgColor rgb="FF948671"/>
        <bgColor rgb="FF000000"/>
      </patternFill>
    </fill>
    <fill>
      <patternFill patternType="solid">
        <fgColor rgb="FFFFFF00"/>
        <bgColor indexed="64"/>
      </patternFill>
    </fill>
    <fill>
      <patternFill patternType="solid">
        <fgColor rgb="FFFFFFFF"/>
        <bgColor indexed="64"/>
      </patternFill>
    </fill>
  </fills>
  <borders count="65">
    <border>
      <left/>
      <right/>
      <top/>
      <bottom/>
      <diagonal/>
    </border>
    <border>
      <left/>
      <right/>
      <top style="double">
        <color rgb="FF000000"/>
      </top>
      <bottom/>
      <diagonal/>
    </border>
    <border>
      <left style="double">
        <color rgb="FF000000"/>
      </left>
      <right/>
      <top/>
      <bottom/>
      <diagonal/>
    </border>
    <border>
      <left style="double">
        <color rgb="FF000000"/>
      </left>
      <right/>
      <top/>
      <bottom style="double">
        <color rgb="FF000000"/>
      </bottom>
      <diagonal/>
    </border>
    <border>
      <left/>
      <right/>
      <top/>
      <bottom style="double">
        <color rgb="FF000000"/>
      </bottom>
      <diagonal/>
    </border>
    <border>
      <left/>
      <right style="double">
        <color rgb="FF000000"/>
      </right>
      <top/>
      <bottom style="double">
        <color rgb="FF000000"/>
      </bottom>
      <diagonal/>
    </border>
    <border>
      <left/>
      <right style="medium">
        <color rgb="FFFFFFFF"/>
      </right>
      <top/>
      <bottom style="thick">
        <color rgb="FFF9F8F6"/>
      </bottom>
      <diagonal/>
    </border>
    <border>
      <left style="medium">
        <color rgb="FFFFFFFF"/>
      </left>
      <right/>
      <top/>
      <bottom/>
      <diagonal/>
    </border>
    <border>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right/>
      <top style="medium">
        <color rgb="FFFFFFFF"/>
      </top>
      <bottom/>
      <diagonal/>
    </border>
    <border>
      <left/>
      <right style="double">
        <color auto="1"/>
      </right>
      <top style="double">
        <color auto="1"/>
      </top>
      <bottom/>
      <diagonal/>
    </border>
    <border>
      <left/>
      <right style="double">
        <color auto="1"/>
      </right>
      <top/>
      <bottom/>
      <diagonal/>
    </border>
    <border>
      <left/>
      <right/>
      <top style="thin">
        <color theme="0"/>
      </top>
      <bottom/>
      <diagonal/>
    </border>
    <border>
      <left style="medium">
        <color rgb="FFFFFFFF"/>
      </left>
      <right style="medium">
        <color rgb="FFFFFFFF"/>
      </right>
      <top/>
      <bottom style="medium">
        <color rgb="FFFFFFFF"/>
      </bottom>
      <diagonal/>
    </border>
    <border>
      <left style="medium">
        <color rgb="FFFFFFFF"/>
      </left>
      <right style="medium">
        <color rgb="FFFFFFFF"/>
      </right>
      <top/>
      <bottom/>
      <diagonal/>
    </border>
    <border>
      <left style="medium">
        <color rgb="FFFFFFFF"/>
      </left>
      <right style="medium">
        <color rgb="FFFFFFFF"/>
      </right>
      <top style="medium">
        <color rgb="FFFFFFFF"/>
      </top>
      <bottom/>
      <diagonal/>
    </border>
    <border>
      <left/>
      <right style="medium">
        <color rgb="FFFFFFFF"/>
      </right>
      <top/>
      <bottom/>
      <diagonal/>
    </border>
    <border>
      <left/>
      <right/>
      <top/>
      <bottom style="medium">
        <color rgb="FFFFFFFF"/>
      </bottom>
      <diagonal/>
    </border>
    <border>
      <left/>
      <right style="medium">
        <color rgb="FFFFFFFF"/>
      </right>
      <top style="medium">
        <color rgb="FFFFFFFF"/>
      </top>
      <bottom/>
      <diagonal/>
    </border>
    <border>
      <left style="medium">
        <color rgb="FFFFFFFF"/>
      </left>
      <right/>
      <top/>
      <bottom style="medium">
        <color rgb="FFFFFFFF"/>
      </bottom>
      <diagonal/>
    </border>
    <border>
      <left style="medium">
        <color rgb="FFFFFFFF"/>
      </left>
      <right/>
      <top style="medium">
        <color rgb="FFFFFFFF"/>
      </top>
      <bottom/>
      <diagonal/>
    </border>
    <border>
      <left style="thin">
        <color theme="0"/>
      </left>
      <right style="thin">
        <color theme="0"/>
      </right>
      <top/>
      <bottom/>
      <diagonal/>
    </border>
    <border>
      <left/>
      <right style="thin">
        <color theme="0"/>
      </right>
      <top/>
      <bottom/>
      <diagonal/>
    </border>
    <border>
      <left style="thin">
        <color theme="0"/>
      </left>
      <right/>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medium">
        <color rgb="FFFFFFFF"/>
      </right>
      <top style="medium">
        <color rgb="FFFFFFFF"/>
      </top>
      <bottom style="medium">
        <color rgb="FFFFFFFF"/>
      </bottom>
      <diagonal/>
    </border>
    <border>
      <left style="double">
        <color rgb="FF000000"/>
      </left>
      <right/>
      <top style="double">
        <color rgb="FF000000"/>
      </top>
      <bottom/>
      <diagonal/>
    </border>
    <border>
      <left style="medium">
        <color theme="0"/>
      </left>
      <right/>
      <top style="medium">
        <color theme="0"/>
      </top>
      <bottom style="medium">
        <color theme="0"/>
      </bottom>
      <diagonal/>
    </border>
    <border>
      <left style="medium">
        <color theme="0"/>
      </left>
      <right/>
      <top style="medium">
        <color theme="0"/>
      </top>
      <bottom/>
      <diagonal/>
    </border>
    <border>
      <left style="medium">
        <color theme="0"/>
      </left>
      <right/>
      <top/>
      <bottom/>
      <diagonal/>
    </border>
    <border>
      <left/>
      <right style="medium">
        <color rgb="FFFFFFFF"/>
      </right>
      <top style="medium">
        <color theme="0"/>
      </top>
      <bottom style="medium">
        <color rgb="FFFFFFFF"/>
      </bottom>
      <diagonal/>
    </border>
    <border>
      <left style="medium">
        <color theme="0"/>
      </left>
      <right style="thin">
        <color theme="0"/>
      </right>
      <top style="medium">
        <color theme="0"/>
      </top>
      <bottom style="medium">
        <color theme="0"/>
      </bottom>
      <diagonal/>
    </border>
    <border>
      <left/>
      <right style="medium">
        <color theme="0"/>
      </right>
      <top/>
      <bottom/>
      <diagonal/>
    </border>
    <border>
      <left/>
      <right style="thin">
        <color theme="0"/>
      </right>
      <top/>
      <bottom style="medium">
        <color theme="0"/>
      </bottom>
      <diagonal/>
    </border>
    <border>
      <left/>
      <right style="medium">
        <color rgb="FFFFFFFF"/>
      </right>
      <top style="thin">
        <color theme="0"/>
      </top>
      <bottom style="thin">
        <color theme="0"/>
      </bottom>
      <diagonal/>
    </border>
    <border>
      <left/>
      <right/>
      <top style="thin">
        <color theme="0"/>
      </top>
      <bottom style="thin">
        <color theme="0"/>
      </bottom>
      <diagonal/>
    </border>
    <border>
      <left style="medium">
        <color rgb="FFFFFFFF"/>
      </left>
      <right/>
      <top style="thin">
        <color theme="0"/>
      </top>
      <bottom style="thin">
        <color theme="0"/>
      </bottom>
      <diagonal/>
    </border>
    <border>
      <left style="medium">
        <color theme="0"/>
      </left>
      <right style="medium">
        <color theme="0"/>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rgb="FFFFFFFF"/>
      </left>
      <right style="thin">
        <color rgb="FFFFFFFF"/>
      </right>
      <top/>
      <bottom style="thin">
        <color theme="0"/>
      </bottom>
      <diagonal/>
    </border>
    <border>
      <left/>
      <right style="medium">
        <color rgb="FFFFFFFF"/>
      </right>
      <top style="thin">
        <color rgb="FFFFFFFF"/>
      </top>
      <bottom style="thin">
        <color rgb="FFFFFFFF"/>
      </bottom>
      <diagonal/>
    </border>
    <border>
      <left/>
      <right/>
      <top style="thin">
        <color rgb="FFFFFFFF"/>
      </top>
      <bottom style="thin">
        <color rgb="FFFFFFFF"/>
      </bottom>
      <diagonal/>
    </border>
    <border>
      <left style="medium">
        <color rgb="FFFFFFFF"/>
      </left>
      <right style="medium">
        <color rgb="FFFFFFFF"/>
      </right>
      <top style="thin">
        <color rgb="FFFFFFFF"/>
      </top>
      <bottom style="thin">
        <color rgb="FFFFFFFF"/>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theme="0"/>
      </top>
      <bottom style="thin">
        <color rgb="FFFFFFFF"/>
      </bottom>
      <diagonal/>
    </border>
    <border>
      <left/>
      <right style="medium">
        <color rgb="FFFFFFFF"/>
      </right>
      <top style="thin">
        <color theme="0"/>
      </top>
      <bottom style="thin">
        <color rgb="FFFFFFFF"/>
      </bottom>
      <diagonal/>
    </border>
    <border>
      <left/>
      <right/>
      <top style="medium">
        <color theme="0"/>
      </top>
      <bottom style="medium">
        <color theme="0"/>
      </bottom>
      <diagonal/>
    </border>
    <border>
      <left/>
      <right/>
      <top style="medium">
        <color theme="0"/>
      </top>
      <bottom/>
      <diagonal/>
    </border>
    <border>
      <left style="thin">
        <color theme="0"/>
      </left>
      <right style="medium">
        <color theme="0"/>
      </right>
      <top style="thin">
        <color theme="0"/>
      </top>
      <bottom style="thin">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style="medium">
        <color theme="0"/>
      </left>
      <right/>
      <top/>
      <bottom style="medium">
        <color theme="0"/>
      </bottom>
      <diagonal/>
    </border>
    <border>
      <left/>
      <right/>
      <top/>
      <bottom style="medium">
        <color theme="0"/>
      </bottom>
      <diagonal/>
    </border>
    <border>
      <left/>
      <right style="thin">
        <color theme="0"/>
      </right>
      <top style="medium">
        <color theme="0"/>
      </top>
      <bottom style="medium">
        <color theme="0"/>
      </bottom>
      <diagonal/>
    </border>
    <border>
      <left style="thin">
        <color theme="0"/>
      </left>
      <right style="thin">
        <color theme="0"/>
      </right>
      <top style="medium">
        <color theme="0"/>
      </top>
      <bottom style="medium">
        <color theme="0"/>
      </bottom>
      <diagonal/>
    </border>
    <border>
      <left style="thin">
        <color theme="0"/>
      </left>
      <right style="medium">
        <color theme="0"/>
      </right>
      <top style="medium">
        <color theme="0"/>
      </top>
      <bottom style="medium">
        <color theme="0"/>
      </bottom>
      <diagonal/>
    </border>
    <border>
      <left/>
      <right style="thin">
        <color theme="0"/>
      </right>
      <top style="medium">
        <color theme="0"/>
      </top>
      <bottom/>
      <diagonal/>
    </border>
    <border>
      <left style="thin">
        <color theme="0"/>
      </left>
      <right style="thick">
        <color theme="0"/>
      </right>
      <top/>
      <bottom/>
      <diagonal/>
    </border>
    <border>
      <left/>
      <right/>
      <top/>
      <bottom style="thin">
        <color theme="0" tint="-0.24994659260841701"/>
      </bottom>
      <diagonal/>
    </border>
    <border>
      <left style="medium">
        <color rgb="FFFFFFFF"/>
      </left>
      <right style="thin">
        <color rgb="FFFFFFFF"/>
      </right>
      <top/>
      <bottom/>
      <diagonal/>
    </border>
    <border>
      <left/>
      <right/>
      <top/>
      <bottom style="thin">
        <color indexed="64"/>
      </bottom>
      <diagonal/>
    </border>
    <border>
      <left/>
      <right/>
      <top/>
      <bottom style="thin">
        <color rgb="FFE7E3DC"/>
      </bottom>
      <diagonal/>
    </border>
    <border>
      <left style="medium">
        <color rgb="FFFFFFFF"/>
      </left>
      <right/>
      <top/>
      <bottom style="thin">
        <color indexed="64"/>
      </bottom>
      <diagonal/>
    </border>
  </borders>
  <cellStyleXfs count="29">
    <xf numFmtId="0" fontId="0" fillId="0" borderId="0"/>
    <xf numFmtId="0" fontId="4" fillId="0" borderId="0" applyNumberFormat="0" applyFill="0" applyBorder="0" applyAlignment="0" applyProtection="0"/>
    <xf numFmtId="0" fontId="9" fillId="0" borderId="0"/>
    <xf numFmtId="43" fontId="20" fillId="0" borderId="0" applyFont="0" applyFill="0" applyBorder="0" applyAlignment="0" applyProtection="0"/>
    <xf numFmtId="0" fontId="20" fillId="11" borderId="0" applyNumberFormat="0" applyBorder="0" applyAlignment="0" applyProtection="0"/>
    <xf numFmtId="0" fontId="20" fillId="12" borderId="0" applyNumberFormat="0" applyBorder="0" applyAlignment="0" applyProtection="0"/>
    <xf numFmtId="0" fontId="20" fillId="22" borderId="0" applyNumberFormat="0" applyBorder="0" applyAlignment="0" applyProtection="0"/>
    <xf numFmtId="43" fontId="20" fillId="0" borderId="0" applyFont="0" applyFill="0" applyBorder="0" applyAlignment="0" applyProtection="0"/>
    <xf numFmtId="0" fontId="51" fillId="0" borderId="0"/>
    <xf numFmtId="0" fontId="52" fillId="25" borderId="0" applyNumberFormat="0" applyBorder="0" applyAlignment="0" applyProtection="0"/>
    <xf numFmtId="0" fontId="53" fillId="24" borderId="0" applyNumberFormat="0" applyBorder="0" applyAlignment="0" applyProtection="0"/>
    <xf numFmtId="0" fontId="51" fillId="0" borderId="0"/>
    <xf numFmtId="165" fontId="51" fillId="0" borderId="38" applyNumberFormat="0" applyAlignment="0">
      <alignment horizontal="center"/>
    </xf>
    <xf numFmtId="165" fontId="51" fillId="26" borderId="38" applyNumberFormat="0" applyAlignment="0">
      <alignment horizontal="center"/>
    </xf>
    <xf numFmtId="0" fontId="1" fillId="15" borderId="0" applyNumberFormat="0" applyFill="0" applyBorder="0" applyAlignment="0" applyProtection="0"/>
    <xf numFmtId="0" fontId="32" fillId="15" borderId="0"/>
    <xf numFmtId="0" fontId="37" fillId="15" borderId="0" applyNumberFormat="0" applyFill="0" applyBorder="0" applyAlignment="0" applyProtection="0"/>
    <xf numFmtId="0" fontId="54" fillId="0" borderId="0"/>
    <xf numFmtId="43" fontId="54"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54"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57" fillId="24" borderId="0" applyNumberFormat="0" applyBorder="0" applyAlignment="0" applyProtection="0"/>
    <xf numFmtId="0" fontId="58" fillId="0" borderId="0"/>
  </cellStyleXfs>
  <cellXfs count="308">
    <xf numFmtId="0" fontId="0" fillId="0" borderId="0" xfId="0"/>
    <xf numFmtId="0" fontId="38" fillId="2" borderId="25" xfId="0" applyFont="1" applyFill="1" applyBorder="1" applyAlignment="1" applyProtection="1">
      <alignment horizontal="left" vertical="center" indent="1"/>
      <protection locked="0"/>
    </xf>
    <xf numFmtId="0" fontId="0" fillId="0" borderId="0" xfId="0" applyProtection="1">
      <protection locked="0"/>
    </xf>
    <xf numFmtId="0" fontId="0" fillId="0" borderId="0" xfId="0" applyAlignment="1" applyProtection="1">
      <alignment wrapText="1"/>
      <protection locked="0"/>
    </xf>
    <xf numFmtId="0" fontId="0" fillId="15" borderId="0" xfId="0" applyFill="1"/>
    <xf numFmtId="0" fontId="0" fillId="15" borderId="0" xfId="0" applyFill="1" applyAlignment="1">
      <alignment wrapText="1"/>
    </xf>
    <xf numFmtId="0" fontId="0" fillId="15" borderId="0" xfId="0" applyFill="1" applyAlignment="1">
      <alignment vertical="center"/>
    </xf>
    <xf numFmtId="0" fontId="10" fillId="15" borderId="16" xfId="0" applyFont="1" applyFill="1" applyBorder="1" applyAlignment="1">
      <alignment horizontal="left"/>
    </xf>
    <xf numFmtId="0" fontId="16" fillId="5" borderId="0" xfId="0" applyFont="1" applyFill="1" applyAlignment="1">
      <alignment vertical="top" wrapText="1"/>
    </xf>
    <xf numFmtId="0" fontId="9" fillId="15" borderId="0" xfId="2" applyFill="1"/>
    <xf numFmtId="0" fontId="10" fillId="15" borderId="0" xfId="2" applyFont="1" applyFill="1" applyAlignment="1">
      <alignment horizontal="left" vertical="center"/>
    </xf>
    <xf numFmtId="0" fontId="15" fillId="15" borderId="0" xfId="2" applyFont="1" applyFill="1" applyAlignment="1">
      <alignment vertical="center"/>
    </xf>
    <xf numFmtId="0" fontId="11" fillId="15" borderId="0" xfId="2" applyFont="1" applyFill="1" applyAlignment="1">
      <alignment horizontal="left" vertical="center" wrapText="1"/>
    </xf>
    <xf numFmtId="0" fontId="14" fillId="15" borderId="0" xfId="2" applyFont="1" applyFill="1" applyAlignment="1">
      <alignment vertical="center"/>
    </xf>
    <xf numFmtId="0" fontId="23" fillId="15" borderId="0" xfId="2" applyFont="1" applyFill="1"/>
    <xf numFmtId="0" fontId="28" fillId="15" borderId="0" xfId="2" applyFont="1" applyFill="1" applyAlignment="1">
      <alignment vertical="center"/>
    </xf>
    <xf numFmtId="0" fontId="29" fillId="15" borderId="0" xfId="2" applyFont="1" applyFill="1" applyAlignment="1">
      <alignment vertical="center"/>
    </xf>
    <xf numFmtId="0" fontId="30" fillId="15" borderId="0" xfId="2" applyFont="1" applyFill="1"/>
    <xf numFmtId="0" fontId="2" fillId="0" borderId="0" xfId="0" applyFont="1" applyProtection="1">
      <protection locked="0"/>
    </xf>
    <xf numFmtId="0" fontId="24" fillId="2" borderId="0" xfId="2" applyFont="1" applyFill="1" applyProtection="1">
      <protection locked="0"/>
    </xf>
    <xf numFmtId="0" fontId="25" fillId="2" borderId="0" xfId="2" applyFont="1" applyFill="1" applyProtection="1">
      <protection locked="0"/>
    </xf>
    <xf numFmtId="0" fontId="23" fillId="2" borderId="0" xfId="2" applyFont="1" applyFill="1" applyProtection="1">
      <protection locked="0"/>
    </xf>
    <xf numFmtId="0" fontId="24" fillId="15" borderId="0" xfId="2" applyFont="1" applyFill="1"/>
    <xf numFmtId="0" fontId="10" fillId="15" borderId="0" xfId="2" applyFont="1" applyFill="1" applyAlignment="1">
      <alignment horizontal="left"/>
    </xf>
    <xf numFmtId="0" fontId="12" fillId="15" borderId="0" xfId="2" applyFont="1" applyFill="1" applyAlignment="1">
      <alignment horizontal="left" vertical="center" indent="1"/>
    </xf>
    <xf numFmtId="0" fontId="13" fillId="15" borderId="0" xfId="2" applyFont="1" applyFill="1" applyAlignment="1">
      <alignment horizontal="left" vertical="center" indent="1"/>
    </xf>
    <xf numFmtId="0" fontId="12" fillId="15" borderId="0" xfId="2" applyFont="1" applyFill="1" applyAlignment="1">
      <alignment vertical="center"/>
    </xf>
    <xf numFmtId="0" fontId="25" fillId="15" borderId="0" xfId="2" applyFont="1" applyFill="1" applyAlignment="1">
      <alignment horizontal="left" indent="1"/>
    </xf>
    <xf numFmtId="0" fontId="35" fillId="15" borderId="0" xfId="2" applyFont="1" applyFill="1" applyAlignment="1">
      <alignment vertical="center"/>
    </xf>
    <xf numFmtId="0" fontId="25" fillId="15" borderId="0" xfId="2" applyFont="1" applyFill="1"/>
    <xf numFmtId="0" fontId="13" fillId="3" borderId="7" xfId="2" applyFont="1" applyFill="1" applyBorder="1" applyAlignment="1">
      <alignment vertical="center"/>
    </xf>
    <xf numFmtId="0" fontId="13" fillId="3" borderId="0" xfId="2" applyFont="1" applyFill="1" applyAlignment="1">
      <alignment vertical="center"/>
    </xf>
    <xf numFmtId="0" fontId="16" fillId="3" borderId="40" xfId="2" applyFont="1" applyFill="1" applyBorder="1" applyAlignment="1">
      <alignment horizontal="center" vertical="center" wrapText="1"/>
    </xf>
    <xf numFmtId="0" fontId="48" fillId="10" borderId="39" xfId="2" applyFont="1" applyFill="1" applyBorder="1" applyAlignment="1">
      <alignment horizontal="center" vertical="center"/>
    </xf>
    <xf numFmtId="0" fontId="16" fillId="3" borderId="7" xfId="2" applyFont="1" applyFill="1" applyBorder="1" applyAlignment="1">
      <alignment horizontal="center" vertical="center" wrapText="1"/>
    </xf>
    <xf numFmtId="0" fontId="16" fillId="3" borderId="15" xfId="2" applyFont="1" applyFill="1" applyBorder="1" applyAlignment="1">
      <alignment horizontal="center" vertical="center" wrapText="1"/>
    </xf>
    <xf numFmtId="0" fontId="18" fillId="18" borderId="43" xfId="2" applyFont="1" applyFill="1" applyBorder="1" applyAlignment="1">
      <alignment horizontal="center" vertical="center" wrapText="1"/>
    </xf>
    <xf numFmtId="0" fontId="19" fillId="15" borderId="0" xfId="2" applyFont="1" applyFill="1" applyAlignment="1">
      <alignment horizontal="justify" vertical="center"/>
    </xf>
    <xf numFmtId="0" fontId="8" fillId="15" borderId="0" xfId="0" applyFont="1" applyFill="1" applyAlignment="1">
      <alignment vertical="top"/>
    </xf>
    <xf numFmtId="0" fontId="11" fillId="15" borderId="0" xfId="0" applyFont="1" applyFill="1"/>
    <xf numFmtId="0" fontId="16" fillId="3" borderId="6" xfId="2" applyFont="1" applyFill="1" applyBorder="1" applyAlignment="1">
      <alignment horizontal="left" vertical="center"/>
    </xf>
    <xf numFmtId="0" fontId="17" fillId="4" borderId="8" xfId="2" applyFont="1" applyFill="1" applyBorder="1" applyAlignment="1">
      <alignment vertical="top" wrapText="1"/>
    </xf>
    <xf numFmtId="0" fontId="32" fillId="13" borderId="8" xfId="0" applyFont="1" applyFill="1" applyBorder="1" applyAlignment="1">
      <alignment horizontal="left" vertical="center" wrapText="1" indent="1"/>
    </xf>
    <xf numFmtId="0" fontId="22" fillId="4" borderId="8" xfId="0" applyFont="1" applyFill="1" applyBorder="1" applyAlignment="1">
      <alignment horizontal="left" vertical="center" wrapText="1" indent="1"/>
    </xf>
    <xf numFmtId="0" fontId="32" fillId="15" borderId="0" xfId="0" applyFont="1" applyFill="1" applyAlignment="1">
      <alignment vertical="center"/>
    </xf>
    <xf numFmtId="0" fontId="17" fillId="4" borderId="18" xfId="0" applyFont="1" applyFill="1" applyBorder="1" applyAlignment="1">
      <alignment vertical="center" wrapText="1"/>
    </xf>
    <xf numFmtId="0" fontId="49" fillId="4" borderId="8" xfId="0" applyFont="1" applyFill="1" applyBorder="1" applyAlignment="1">
      <alignment vertical="center" wrapText="1"/>
    </xf>
    <xf numFmtId="0" fontId="22" fillId="4" borderId="8" xfId="0" applyFont="1" applyFill="1" applyBorder="1" applyAlignment="1">
      <alignment vertical="center" wrapText="1"/>
    </xf>
    <xf numFmtId="0" fontId="16" fillId="3" borderId="38" xfId="2" applyFont="1" applyFill="1" applyBorder="1" applyAlignment="1">
      <alignment vertical="center" wrapText="1"/>
    </xf>
    <xf numFmtId="0" fontId="47" fillId="3" borderId="38" xfId="2" applyFont="1" applyFill="1" applyBorder="1" applyAlignment="1">
      <alignment horizontal="left" vertical="center" wrapText="1"/>
    </xf>
    <xf numFmtId="0" fontId="17" fillId="4" borderId="38" xfId="2" applyFont="1" applyFill="1" applyBorder="1" applyAlignment="1">
      <alignment horizontal="left" vertical="top" wrapText="1"/>
    </xf>
    <xf numFmtId="0" fontId="36" fillId="10" borderId="38" xfId="2" applyFont="1" applyFill="1" applyBorder="1" applyAlignment="1">
      <alignment horizontal="left" vertical="top" wrapText="1"/>
    </xf>
    <xf numFmtId="0" fontId="33" fillId="15" borderId="0" xfId="0" applyFont="1" applyFill="1" applyAlignment="1">
      <alignment horizontal="left" indent="2"/>
    </xf>
    <xf numFmtId="0" fontId="33" fillId="15" borderId="0" xfId="0" applyFont="1" applyFill="1" applyAlignment="1">
      <alignment horizontal="left" vertical="center" indent="2"/>
    </xf>
    <xf numFmtId="0" fontId="11" fillId="15" borderId="0" xfId="0" applyFont="1" applyFill="1" applyAlignment="1">
      <alignment horizontal="left" vertical="center" indent="2"/>
    </xf>
    <xf numFmtId="0" fontId="11" fillId="15" borderId="0" xfId="0" applyFont="1" applyFill="1" applyAlignment="1">
      <alignment vertical="center"/>
    </xf>
    <xf numFmtId="0" fontId="23" fillId="15" borderId="0" xfId="2" applyFont="1" applyFill="1" applyAlignment="1">
      <alignment horizontal="left" vertical="top" wrapText="1"/>
    </xf>
    <xf numFmtId="0" fontId="24" fillId="9" borderId="0" xfId="2" applyFont="1" applyFill="1"/>
    <xf numFmtId="0" fontId="24" fillId="9" borderId="23" xfId="2" applyFont="1" applyFill="1" applyBorder="1"/>
    <xf numFmtId="0" fontId="33" fillId="15" borderId="0" xfId="0" applyFont="1" applyFill="1" applyAlignment="1">
      <alignment horizontal="left" vertical="center" indent="3"/>
    </xf>
    <xf numFmtId="0" fontId="24" fillId="14" borderId="0" xfId="2" applyFont="1" applyFill="1" applyProtection="1">
      <protection locked="0"/>
    </xf>
    <xf numFmtId="0" fontId="0" fillId="14" borderId="0" xfId="0" applyFill="1" applyProtection="1">
      <protection locked="0"/>
    </xf>
    <xf numFmtId="0" fontId="0" fillId="2" borderId="0" xfId="0" applyFill="1" applyProtection="1">
      <protection locked="0"/>
    </xf>
    <xf numFmtId="0" fontId="24" fillId="14" borderId="0" xfId="2" applyFont="1" applyFill="1"/>
    <xf numFmtId="0" fontId="10" fillId="14" borderId="0" xfId="2" applyFont="1" applyFill="1" applyAlignment="1">
      <alignment horizontal="left"/>
    </xf>
    <xf numFmtId="0" fontId="6" fillId="14" borderId="0" xfId="2" applyFont="1" applyFill="1"/>
    <xf numFmtId="0" fontId="12" fillId="14" borderId="0" xfId="2" applyFont="1" applyFill="1" applyAlignment="1">
      <alignment vertical="center"/>
    </xf>
    <xf numFmtId="0" fontId="3" fillId="14" borderId="0" xfId="0" applyFont="1" applyFill="1"/>
    <xf numFmtId="0" fontId="0" fillId="14" borderId="0" xfId="0" applyFill="1"/>
    <xf numFmtId="0" fontId="5" fillId="15" borderId="27" xfId="0" applyFont="1" applyFill="1" applyBorder="1" applyAlignment="1">
      <alignment horizontal="left" indent="1"/>
    </xf>
    <xf numFmtId="0" fontId="6" fillId="15" borderId="1" xfId="0" applyFont="1" applyFill="1" applyBorder="1"/>
    <xf numFmtId="0" fontId="0" fillId="15" borderId="11" xfId="0" applyFill="1" applyBorder="1"/>
    <xf numFmtId="0" fontId="6" fillId="15" borderId="2" xfId="0" applyFont="1" applyFill="1" applyBorder="1" applyAlignment="1">
      <alignment horizontal="left" indent="1"/>
    </xf>
    <xf numFmtId="0" fontId="0" fillId="15" borderId="12" xfId="0" applyFill="1" applyBorder="1"/>
    <xf numFmtId="0" fontId="7" fillId="15" borderId="4" xfId="1" applyFont="1" applyFill="1" applyBorder="1" applyAlignment="1" applyProtection="1"/>
    <xf numFmtId="0" fontId="7" fillId="15" borderId="5" xfId="1" applyFont="1" applyFill="1" applyBorder="1" applyAlignment="1" applyProtection="1"/>
    <xf numFmtId="0" fontId="6" fillId="14" borderId="1" xfId="0" applyFont="1" applyFill="1" applyBorder="1"/>
    <xf numFmtId="0" fontId="39" fillId="14" borderId="0" xfId="0" applyFont="1" applyFill="1" applyAlignment="1">
      <alignment horizontal="left"/>
    </xf>
    <xf numFmtId="0" fontId="41" fillId="14" borderId="0" xfId="0" applyFont="1" applyFill="1" applyAlignment="1">
      <alignment horizontal="left" vertical="center"/>
    </xf>
    <xf numFmtId="0" fontId="31" fillId="14" borderId="0" xfId="0" applyFont="1" applyFill="1"/>
    <xf numFmtId="0" fontId="40" fillId="14" borderId="0" xfId="0" applyFont="1" applyFill="1" applyAlignment="1">
      <alignment horizontal="left" vertical="center"/>
    </xf>
    <xf numFmtId="0" fontId="5" fillId="14" borderId="0" xfId="0" applyFont="1" applyFill="1" applyAlignment="1">
      <alignment horizontal="left" vertical="center"/>
    </xf>
    <xf numFmtId="0" fontId="0" fillId="14" borderId="33" xfId="0" applyFill="1" applyBorder="1"/>
    <xf numFmtId="0" fontId="42" fillId="4" borderId="31" xfId="0" applyFont="1" applyFill="1" applyBorder="1" applyAlignment="1">
      <alignment horizontal="left" vertical="center" wrapText="1" indent="1"/>
    </xf>
    <xf numFmtId="0" fontId="21" fillId="5" borderId="14" xfId="0" applyFont="1" applyFill="1" applyBorder="1" applyAlignment="1">
      <alignment horizontal="center" vertical="center" wrapText="1"/>
    </xf>
    <xf numFmtId="0" fontId="0" fillId="14" borderId="34" xfId="0" applyFill="1" applyBorder="1"/>
    <xf numFmtId="0" fontId="22" fillId="4" borderId="26" xfId="0" applyFont="1" applyFill="1" applyBorder="1" applyAlignment="1">
      <alignment horizontal="left" vertical="center" wrapText="1" indent="1"/>
    </xf>
    <xf numFmtId="164" fontId="23" fillId="7" borderId="9" xfId="3" applyNumberFormat="1" applyFont="1" applyFill="1" applyBorder="1" applyAlignment="1" applyProtection="1">
      <alignment horizontal="center" vertical="center"/>
    </xf>
    <xf numFmtId="164" fontId="23" fillId="8" borderId="9" xfId="3" applyNumberFormat="1" applyFont="1" applyFill="1" applyBorder="1" applyAlignment="1" applyProtection="1">
      <alignment horizontal="center" vertical="center"/>
    </xf>
    <xf numFmtId="0" fontId="0" fillId="17" borderId="32" xfId="0" applyFill="1" applyBorder="1"/>
    <xf numFmtId="0" fontId="22" fillId="6" borderId="26" xfId="0" applyFont="1" applyFill="1" applyBorder="1" applyAlignment="1">
      <alignment horizontal="left" vertical="center" wrapText="1" indent="1"/>
    </xf>
    <xf numFmtId="0" fontId="0" fillId="16" borderId="32" xfId="0" applyFill="1" applyBorder="1"/>
    <xf numFmtId="0" fontId="0" fillId="19" borderId="32" xfId="0" applyFill="1" applyBorder="1"/>
    <xf numFmtId="0" fontId="0" fillId="20" borderId="32" xfId="0" applyFill="1" applyBorder="1"/>
    <xf numFmtId="0" fontId="0" fillId="21" borderId="32" xfId="0" applyFill="1" applyBorder="1"/>
    <xf numFmtId="0" fontId="32" fillId="14" borderId="10" xfId="0" applyFont="1" applyFill="1" applyBorder="1"/>
    <xf numFmtId="0" fontId="23" fillId="14" borderId="10" xfId="0" applyFont="1" applyFill="1" applyBorder="1" applyAlignment="1">
      <alignment wrapText="1"/>
    </xf>
    <xf numFmtId="0" fontId="23" fillId="14" borderId="0" xfId="0" applyFont="1" applyFill="1" applyAlignment="1">
      <alignment horizontal="left" indent="1"/>
    </xf>
    <xf numFmtId="0" fontId="23" fillId="14" borderId="0" xfId="0" applyFont="1" applyFill="1" applyAlignment="1">
      <alignment wrapText="1"/>
    </xf>
    <xf numFmtId="0" fontId="16" fillId="5" borderId="23" xfId="0" applyFont="1" applyFill="1" applyBorder="1" applyAlignment="1">
      <alignment horizontal="center" vertical="top" wrapText="1"/>
    </xf>
    <xf numFmtId="0" fontId="16" fillId="5" borderId="22" xfId="0" applyFont="1" applyFill="1" applyBorder="1" applyAlignment="1">
      <alignment horizontal="center" vertical="top" wrapText="1"/>
    </xf>
    <xf numFmtId="0" fontId="16" fillId="5" borderId="19" xfId="0" applyFont="1" applyFill="1" applyBorder="1" applyAlignment="1">
      <alignment horizontal="center" vertical="top" wrapText="1"/>
    </xf>
    <xf numFmtId="0" fontId="1" fillId="0" borderId="0" xfId="0" applyFont="1" applyProtection="1">
      <protection locked="0"/>
    </xf>
    <xf numFmtId="0" fontId="18" fillId="23" borderId="43" xfId="2" applyFont="1" applyFill="1" applyBorder="1" applyAlignment="1">
      <alignment horizontal="center" vertical="center" wrapText="1"/>
    </xf>
    <xf numFmtId="0" fontId="50" fillId="15" borderId="3" xfId="1" applyFont="1" applyFill="1" applyBorder="1" applyAlignment="1" applyProtection="1">
      <alignment horizontal="left" vertical="top" indent="1"/>
    </xf>
    <xf numFmtId="15" fontId="1" fillId="0" borderId="0" xfId="0" applyNumberFormat="1" applyFont="1" applyAlignment="1" applyProtection="1">
      <alignment horizontal="center"/>
      <protection locked="0"/>
    </xf>
    <xf numFmtId="0" fontId="18" fillId="28" borderId="43" xfId="2" applyFont="1" applyFill="1" applyBorder="1" applyAlignment="1">
      <alignment horizontal="center" vertical="center" wrapText="1"/>
    </xf>
    <xf numFmtId="0" fontId="17" fillId="4" borderId="36" xfId="2" applyFont="1" applyFill="1" applyBorder="1" applyAlignment="1">
      <alignment horizontal="left" vertical="top" wrapText="1"/>
    </xf>
    <xf numFmtId="0" fontId="17" fillId="4" borderId="35" xfId="2" applyFont="1" applyFill="1" applyBorder="1" applyAlignment="1">
      <alignment horizontal="left" vertical="top" wrapText="1"/>
    </xf>
    <xf numFmtId="0" fontId="32" fillId="13" borderId="8" xfId="0" applyFont="1" applyFill="1" applyBorder="1" applyAlignment="1">
      <alignment horizontal="center" vertical="center" wrapText="1"/>
    </xf>
    <xf numFmtId="0" fontId="25" fillId="15" borderId="0" xfId="2" applyFont="1" applyFill="1" applyAlignment="1">
      <alignment horizontal="left" vertical="top" wrapText="1" indent="2"/>
    </xf>
    <xf numFmtId="0" fontId="26" fillId="15" borderId="0" xfId="2" applyFont="1" applyFill="1" applyAlignment="1">
      <alignment horizontal="left" vertical="center" wrapText="1"/>
    </xf>
    <xf numFmtId="0" fontId="27" fillId="15" borderId="0" xfId="2" applyFont="1" applyFill="1" applyAlignment="1">
      <alignment horizontal="left" vertical="center" wrapText="1"/>
    </xf>
    <xf numFmtId="0" fontId="1" fillId="15" borderId="0" xfId="2" applyFont="1" applyFill="1" applyAlignment="1">
      <alignment vertical="center"/>
    </xf>
    <xf numFmtId="0" fontId="1" fillId="9" borderId="8" xfId="0" applyFont="1" applyFill="1" applyBorder="1" applyAlignment="1">
      <alignment vertical="center" wrapText="1"/>
    </xf>
    <xf numFmtId="0" fontId="1" fillId="10" borderId="8" xfId="0" applyFont="1" applyFill="1" applyBorder="1" applyAlignment="1">
      <alignment vertical="center" wrapText="1"/>
    </xf>
    <xf numFmtId="0" fontId="1" fillId="15" borderId="0" xfId="0" applyFont="1" applyFill="1" applyAlignment="1">
      <alignment horizontal="left" vertical="center" indent="2"/>
    </xf>
    <xf numFmtId="0" fontId="1" fillId="15" borderId="0" xfId="0" applyFont="1" applyFill="1" applyAlignment="1">
      <alignment horizontal="center" vertical="center" wrapText="1"/>
    </xf>
    <xf numFmtId="0" fontId="1" fillId="15" borderId="17" xfId="0" applyFont="1" applyFill="1" applyBorder="1" applyAlignment="1">
      <alignment vertical="center" wrapText="1"/>
    </xf>
    <xf numFmtId="0" fontId="1" fillId="15" borderId="0" xfId="2" applyFont="1" applyFill="1" applyAlignment="1">
      <alignment horizontal="left" vertical="center" indent="1"/>
    </xf>
    <xf numFmtId="0" fontId="1" fillId="15" borderId="0" xfId="0" applyFont="1" applyFill="1"/>
    <xf numFmtId="0" fontId="1" fillId="15" borderId="0" xfId="0" applyFont="1" applyFill="1" applyAlignment="1">
      <alignment horizontal="left" vertical="center" indent="3"/>
    </xf>
    <xf numFmtId="0" fontId="1" fillId="15" borderId="0" xfId="0" applyFont="1" applyFill="1" applyAlignment="1">
      <alignment horizontal="left" vertical="center" indent="7"/>
    </xf>
    <xf numFmtId="0" fontId="1" fillId="15" borderId="0" xfId="0" applyFont="1" applyFill="1" applyAlignment="1">
      <alignment horizontal="left" vertical="center" indent="4"/>
    </xf>
    <xf numFmtId="0" fontId="1" fillId="15" borderId="0" xfId="0" applyFont="1" applyFill="1" applyAlignment="1">
      <alignment vertical="center"/>
    </xf>
    <xf numFmtId="0" fontId="1" fillId="15" borderId="0" xfId="0" applyFont="1" applyFill="1" applyAlignment="1">
      <alignment horizontal="left" vertical="center" indent="1"/>
    </xf>
    <xf numFmtId="0" fontId="1" fillId="15" borderId="0" xfId="0" applyFont="1" applyFill="1" applyAlignment="1">
      <alignment horizontal="left" vertical="top"/>
    </xf>
    <xf numFmtId="0" fontId="1" fillId="15" borderId="0" xfId="0" applyFont="1" applyFill="1" applyAlignment="1">
      <alignment vertical="top" wrapText="1"/>
    </xf>
    <xf numFmtId="165" fontId="16" fillId="5" borderId="22" xfId="0" applyNumberFormat="1" applyFont="1" applyFill="1" applyBorder="1" applyAlignment="1">
      <alignment horizontal="left" vertical="top" wrapText="1"/>
    </xf>
    <xf numFmtId="0" fontId="16" fillId="13" borderId="23" xfId="0" applyFont="1" applyFill="1" applyBorder="1" applyAlignment="1">
      <alignment horizontal="center" vertical="top" wrapText="1"/>
    </xf>
    <xf numFmtId="0" fontId="22" fillId="0" borderId="0" xfId="0" applyFont="1" applyProtection="1">
      <protection locked="0"/>
    </xf>
    <xf numFmtId="0" fontId="32" fillId="13" borderId="20" xfId="0" applyFont="1" applyFill="1" applyBorder="1" applyAlignment="1">
      <alignment horizontal="center" vertical="center" wrapText="1"/>
    </xf>
    <xf numFmtId="0" fontId="0" fillId="29" borderId="32" xfId="0" applyFill="1" applyBorder="1"/>
    <xf numFmtId="0" fontId="0" fillId="30" borderId="32" xfId="0" applyFill="1" applyBorder="1"/>
    <xf numFmtId="0" fontId="32" fillId="13" borderId="14" xfId="0" applyFont="1" applyFill="1" applyBorder="1" applyAlignment="1">
      <alignment horizontal="center" vertical="center" wrapText="1"/>
    </xf>
    <xf numFmtId="164" fontId="0" fillId="2" borderId="0" xfId="0" applyNumberFormat="1" applyFill="1" applyProtection="1">
      <protection locked="0"/>
    </xf>
    <xf numFmtId="166" fontId="0" fillId="0" borderId="0" xfId="0" applyNumberFormat="1" applyProtection="1">
      <protection locked="0"/>
    </xf>
    <xf numFmtId="166" fontId="0" fillId="15" borderId="0" xfId="0" applyNumberFormat="1" applyFill="1"/>
    <xf numFmtId="1" fontId="1" fillId="0" borderId="0" xfId="0" applyNumberFormat="1" applyFont="1" applyAlignment="1" applyProtection="1">
      <alignment vertical="top"/>
      <protection locked="0"/>
    </xf>
    <xf numFmtId="1" fontId="16" fillId="13" borderId="22" xfId="0" applyNumberFormat="1" applyFont="1" applyFill="1" applyBorder="1" applyAlignment="1">
      <alignment horizontal="center" vertical="top" wrapText="1"/>
    </xf>
    <xf numFmtId="164" fontId="23" fillId="8" borderId="9" xfId="3" applyNumberFormat="1" applyFont="1" applyFill="1" applyBorder="1" applyAlignment="1">
      <alignment horizontal="center" vertical="center"/>
    </xf>
    <xf numFmtId="164" fontId="23" fillId="7" borderId="9" xfId="3" applyNumberFormat="1" applyFont="1" applyFill="1" applyBorder="1" applyAlignment="1">
      <alignment horizontal="center" vertical="center"/>
    </xf>
    <xf numFmtId="0" fontId="0" fillId="15" borderId="0" xfId="0" applyFill="1" applyAlignment="1">
      <alignment horizontal="left"/>
    </xf>
    <xf numFmtId="0" fontId="0" fillId="0" borderId="0" xfId="0" applyAlignment="1" applyProtection="1">
      <alignment horizontal="left"/>
      <protection locked="0"/>
    </xf>
    <xf numFmtId="0" fontId="23" fillId="9" borderId="22" xfId="0" applyFont="1" applyFill="1" applyBorder="1" applyAlignment="1">
      <alignment horizontal="left" vertical="top"/>
    </xf>
    <xf numFmtId="2" fontId="23" fillId="9" borderId="22" xfId="0" applyNumberFormat="1" applyFont="1" applyFill="1" applyBorder="1" applyAlignment="1">
      <alignment horizontal="right" vertical="top"/>
    </xf>
    <xf numFmtId="1" fontId="23" fillId="9" borderId="22" xfId="0" applyNumberFormat="1" applyFont="1" applyFill="1" applyBorder="1" applyAlignment="1">
      <alignment horizontal="right" vertical="top"/>
    </xf>
    <xf numFmtId="166" fontId="23" fillId="10" borderId="22" xfId="26" applyNumberFormat="1" applyFont="1" applyFill="1" applyBorder="1" applyAlignment="1" applyProtection="1">
      <alignment horizontal="left" vertical="top"/>
    </xf>
    <xf numFmtId="14" fontId="23" fillId="9" borderId="22" xfId="0" applyNumberFormat="1" applyFont="1" applyFill="1" applyBorder="1" applyAlignment="1">
      <alignment horizontal="left" vertical="top"/>
    </xf>
    <xf numFmtId="166" fontId="23" fillId="9" borderId="22" xfId="0" applyNumberFormat="1" applyFont="1" applyFill="1" applyBorder="1" applyAlignment="1">
      <alignment horizontal="left" vertical="top"/>
    </xf>
    <xf numFmtId="165" fontId="23" fillId="10" borderId="22" xfId="26" applyNumberFormat="1" applyFont="1" applyFill="1" applyBorder="1" applyAlignment="1">
      <alignment horizontal="left" vertical="top"/>
    </xf>
    <xf numFmtId="1" fontId="23" fillId="9" borderId="22" xfId="0" applyNumberFormat="1" applyFont="1" applyFill="1" applyBorder="1" applyAlignment="1">
      <alignment vertical="top"/>
    </xf>
    <xf numFmtId="165" fontId="16" fillId="5" borderId="22" xfId="0" applyNumberFormat="1" applyFont="1" applyFill="1" applyBorder="1" applyAlignment="1">
      <alignment horizontal="center" vertical="top" wrapText="1"/>
    </xf>
    <xf numFmtId="165" fontId="16" fillId="5" borderId="23" xfId="0" applyNumberFormat="1" applyFont="1" applyFill="1" applyBorder="1" applyAlignment="1">
      <alignment horizontal="center" vertical="top" wrapText="1"/>
    </xf>
    <xf numFmtId="0" fontId="16" fillId="5" borderId="59" xfId="0" applyFont="1" applyFill="1" applyBorder="1" applyAlignment="1">
      <alignment horizontal="center" vertical="top" wrapText="1"/>
    </xf>
    <xf numFmtId="0" fontId="55" fillId="0" borderId="0" xfId="0" applyFont="1" applyAlignment="1" applyProtection="1">
      <alignment horizontal="center" wrapText="1"/>
      <protection locked="0"/>
    </xf>
    <xf numFmtId="165" fontId="23" fillId="10" borderId="22" xfId="26" applyNumberFormat="1" applyFont="1" applyFill="1" applyBorder="1" applyAlignment="1">
      <alignment horizontal="left" vertical="top" wrapText="1"/>
    </xf>
    <xf numFmtId="168" fontId="23" fillId="10" borderId="22" xfId="26" applyNumberFormat="1" applyFont="1" applyFill="1" applyBorder="1" applyAlignment="1">
      <alignment horizontal="left" vertical="top"/>
    </xf>
    <xf numFmtId="0" fontId="0" fillId="2" borderId="0" xfId="0" quotePrefix="1" applyFill="1" applyProtection="1">
      <protection locked="0"/>
    </xf>
    <xf numFmtId="43" fontId="23" fillId="9" borderId="22" xfId="0" applyNumberFormat="1" applyFont="1" applyFill="1" applyBorder="1" applyAlignment="1">
      <alignment horizontal="right" vertical="top"/>
    </xf>
    <xf numFmtId="43" fontId="23" fillId="10" borderId="22" xfId="26" applyFont="1" applyFill="1" applyBorder="1" applyAlignment="1">
      <alignment horizontal="right" vertical="top"/>
    </xf>
    <xf numFmtId="43" fontId="23" fillId="10" borderId="22" xfId="26" applyFont="1" applyFill="1" applyBorder="1" applyAlignment="1">
      <alignment horizontal="right" vertical="top" wrapText="1"/>
    </xf>
    <xf numFmtId="0" fontId="0" fillId="15" borderId="0" xfId="0" applyFill="1" applyAlignment="1" applyProtection="1">
      <alignment vertical="center"/>
      <protection locked="0"/>
    </xf>
    <xf numFmtId="165" fontId="23" fillId="10" borderId="61" xfId="26" applyNumberFormat="1" applyFont="1" applyFill="1" applyBorder="1" applyAlignment="1">
      <alignment vertical="top"/>
    </xf>
    <xf numFmtId="0" fontId="22" fillId="4" borderId="60" xfId="26" applyNumberFormat="1" applyFont="1" applyFill="1" applyBorder="1" applyAlignment="1">
      <alignment horizontal="left" vertical="top" wrapText="1"/>
    </xf>
    <xf numFmtId="169" fontId="23" fillId="10" borderId="22" xfId="26" applyNumberFormat="1" applyFont="1" applyFill="1" applyBorder="1" applyAlignment="1">
      <alignment horizontal="left" vertical="top"/>
    </xf>
    <xf numFmtId="0" fontId="23" fillId="10" borderId="22" xfId="26" applyNumberFormat="1" applyFont="1" applyFill="1" applyBorder="1" applyAlignment="1">
      <alignment horizontal="left" vertical="top"/>
    </xf>
    <xf numFmtId="165" fontId="0" fillId="0" borderId="0" xfId="0" applyNumberFormat="1" applyAlignment="1" applyProtection="1">
      <alignment wrapText="1"/>
      <protection locked="0"/>
    </xf>
    <xf numFmtId="0" fontId="23" fillId="10" borderId="23" xfId="26" applyNumberFormat="1" applyFont="1" applyFill="1" applyBorder="1" applyAlignment="1">
      <alignment horizontal="left" vertical="top" wrapText="1"/>
    </xf>
    <xf numFmtId="0" fontId="23" fillId="9" borderId="22" xfId="26" applyNumberFormat="1" applyFont="1" applyFill="1" applyBorder="1" applyAlignment="1">
      <alignment horizontal="left" vertical="top" wrapText="1"/>
    </xf>
    <xf numFmtId="0" fontId="23" fillId="10" borderId="22" xfId="26" applyNumberFormat="1" applyFont="1" applyFill="1" applyBorder="1" applyAlignment="1">
      <alignment horizontal="left" vertical="top" wrapText="1"/>
    </xf>
    <xf numFmtId="0" fontId="0" fillId="0" borderId="63" xfId="0" applyBorder="1" applyProtection="1">
      <protection locked="0"/>
    </xf>
    <xf numFmtId="0" fontId="18" fillId="0" borderId="0" xfId="0" applyFont="1" applyProtection="1">
      <protection locked="0"/>
    </xf>
    <xf numFmtId="0" fontId="0" fillId="0" borderId="0" xfId="0" applyAlignment="1">
      <alignment vertical="center"/>
    </xf>
    <xf numFmtId="0" fontId="12" fillId="15" borderId="0" xfId="2" applyFont="1" applyFill="1" applyAlignment="1">
      <alignment horizontal="left" vertical="center"/>
    </xf>
    <xf numFmtId="0" fontId="24" fillId="15" borderId="0" xfId="2" applyFont="1" applyFill="1" applyAlignment="1">
      <alignment vertical="center"/>
    </xf>
    <xf numFmtId="0" fontId="6" fillId="15" borderId="0" xfId="2" applyFont="1" applyFill="1" applyAlignment="1">
      <alignment vertical="center"/>
    </xf>
    <xf numFmtId="0" fontId="33" fillId="13" borderId="22" xfId="0" applyFont="1" applyFill="1" applyBorder="1" applyAlignment="1">
      <alignment horizontal="center" vertical="center" wrapText="1"/>
    </xf>
    <xf numFmtId="0" fontId="33" fillId="13" borderId="24" xfId="0" applyFont="1" applyFill="1" applyBorder="1" applyAlignment="1">
      <alignment horizontal="center" vertical="center" wrapText="1"/>
    </xf>
    <xf numFmtId="0" fontId="23" fillId="10" borderId="23" xfId="26" applyNumberFormat="1" applyFont="1" applyFill="1" applyBorder="1" applyAlignment="1">
      <alignment horizontal="center" vertical="top" wrapText="1"/>
    </xf>
    <xf numFmtId="1" fontId="1" fillId="27" borderId="22" xfId="4" applyNumberFormat="1" applyFont="1" applyFill="1" applyBorder="1" applyAlignment="1">
      <alignment horizontal="right" vertical="top" wrapText="1"/>
    </xf>
    <xf numFmtId="1" fontId="1" fillId="28" borderId="22" xfId="6" applyNumberFormat="1" applyFont="1" applyFill="1" applyBorder="1" applyAlignment="1">
      <alignment horizontal="right" vertical="top" wrapText="1"/>
    </xf>
    <xf numFmtId="1" fontId="1" fillId="23" borderId="59" xfId="5" applyNumberFormat="1" applyFont="1" applyFill="1" applyBorder="1" applyAlignment="1">
      <alignment horizontal="right" vertical="top" wrapText="1"/>
    </xf>
    <xf numFmtId="0" fontId="23" fillId="9" borderId="22" xfId="26" applyNumberFormat="1" applyFont="1" applyFill="1" applyBorder="1" applyAlignment="1">
      <alignment vertical="top" wrapText="1"/>
    </xf>
    <xf numFmtId="165" fontId="23" fillId="10" borderId="61" xfId="26" applyNumberFormat="1" applyFont="1" applyFill="1" applyBorder="1" applyAlignment="1" applyProtection="1">
      <alignment vertical="top"/>
    </xf>
    <xf numFmtId="165" fontId="23" fillId="9" borderId="24" xfId="3" applyNumberFormat="1" applyFont="1" applyFill="1" applyBorder="1" applyAlignment="1" applyProtection="1">
      <alignment horizontal="left" vertical="top"/>
    </xf>
    <xf numFmtId="0" fontId="22" fillId="4" borderId="60" xfId="26" applyNumberFormat="1" applyFont="1" applyFill="1" applyBorder="1" applyAlignment="1" applyProtection="1">
      <alignment horizontal="left" vertical="top" wrapText="1"/>
    </xf>
    <xf numFmtId="165" fontId="23" fillId="9" borderId="23" xfId="0" applyNumberFormat="1" applyFont="1" applyFill="1" applyBorder="1" applyAlignment="1">
      <alignment horizontal="left" vertical="top"/>
    </xf>
    <xf numFmtId="165" fontId="23" fillId="10" borderId="22" xfId="26" applyNumberFormat="1" applyFont="1" applyFill="1" applyBorder="1" applyAlignment="1" applyProtection="1">
      <alignment horizontal="left" vertical="top"/>
    </xf>
    <xf numFmtId="165" fontId="23" fillId="9" borderId="22" xfId="3" applyNumberFormat="1" applyFont="1" applyFill="1" applyBorder="1" applyAlignment="1" applyProtection="1">
      <alignment horizontal="left" vertical="top"/>
    </xf>
    <xf numFmtId="1" fontId="23" fillId="9" borderId="22" xfId="3" applyNumberFormat="1" applyFont="1" applyFill="1" applyBorder="1" applyAlignment="1" applyProtection="1">
      <alignment vertical="top"/>
    </xf>
    <xf numFmtId="43" fontId="23" fillId="10" borderId="22" xfId="26" applyFont="1" applyFill="1" applyBorder="1" applyAlignment="1" applyProtection="1">
      <alignment horizontal="right" vertical="top"/>
    </xf>
    <xf numFmtId="43" fontId="23" fillId="9" borderId="22" xfId="3" applyFont="1" applyFill="1" applyBorder="1" applyAlignment="1" applyProtection="1">
      <alignment horizontal="right" vertical="top"/>
    </xf>
    <xf numFmtId="43" fontId="23" fillId="10" borderId="22" xfId="26" applyFont="1" applyFill="1" applyBorder="1" applyAlignment="1" applyProtection="1">
      <alignment horizontal="right" vertical="top" wrapText="1"/>
    </xf>
    <xf numFmtId="165" fontId="23" fillId="9" borderId="22" xfId="0" applyNumberFormat="1" applyFont="1" applyFill="1" applyBorder="1" applyAlignment="1">
      <alignment horizontal="left" vertical="top"/>
    </xf>
    <xf numFmtId="1" fontId="23" fillId="9" borderId="22" xfId="3" applyNumberFormat="1" applyFont="1" applyFill="1" applyBorder="1" applyAlignment="1" applyProtection="1">
      <alignment horizontal="right" vertical="top"/>
      <protection locked="0"/>
    </xf>
    <xf numFmtId="14" fontId="23" fillId="9" borderId="22" xfId="3" applyNumberFormat="1" applyFont="1" applyFill="1" applyBorder="1" applyAlignment="1" applyProtection="1">
      <alignment horizontal="left" vertical="top"/>
    </xf>
    <xf numFmtId="166" fontId="23" fillId="9" borderId="22" xfId="3" applyNumberFormat="1" applyFont="1" applyFill="1" applyBorder="1" applyAlignment="1" applyProtection="1">
      <alignment horizontal="left" vertical="top"/>
    </xf>
    <xf numFmtId="169" fontId="23" fillId="10" borderId="22" xfId="26" applyNumberFormat="1" applyFont="1" applyFill="1" applyBorder="1" applyAlignment="1" applyProtection="1">
      <alignment horizontal="left" vertical="top"/>
    </xf>
    <xf numFmtId="0" fontId="0" fillId="15" borderId="0" xfId="0" quotePrefix="1" applyFill="1" applyAlignment="1">
      <alignment wrapText="1"/>
    </xf>
    <xf numFmtId="0" fontId="23" fillId="10" borderId="23" xfId="26" applyNumberFormat="1" applyFont="1" applyFill="1" applyBorder="1" applyAlignment="1" applyProtection="1">
      <alignment horizontal="center" vertical="top" wrapText="1"/>
    </xf>
    <xf numFmtId="0" fontId="22" fillId="4" borderId="0" xfId="26" applyNumberFormat="1" applyFont="1" applyFill="1" applyBorder="1" applyAlignment="1" applyProtection="1">
      <alignment horizontal="left" vertical="top" wrapText="1"/>
    </xf>
    <xf numFmtId="0" fontId="23" fillId="9" borderId="22" xfId="26" applyNumberFormat="1" applyFont="1" applyFill="1" applyBorder="1" applyAlignment="1" applyProtection="1">
      <alignment horizontal="left" vertical="top" wrapText="1"/>
    </xf>
    <xf numFmtId="1" fontId="1" fillId="27" borderId="22" xfId="4" applyNumberFormat="1" applyFont="1" applyFill="1" applyBorder="1" applyAlignment="1" applyProtection="1">
      <alignment horizontal="right" vertical="top" wrapText="1"/>
    </xf>
    <xf numFmtId="1" fontId="1" fillId="28" borderId="22" xfId="6" applyNumberFormat="1" applyFont="1" applyFill="1" applyBorder="1" applyAlignment="1" applyProtection="1">
      <alignment horizontal="right" vertical="top" wrapText="1"/>
    </xf>
    <xf numFmtId="1" fontId="1" fillId="23" borderId="22" xfId="5" applyNumberFormat="1" applyFont="1" applyFill="1" applyBorder="1" applyAlignment="1" applyProtection="1">
      <alignment horizontal="right" vertical="top" wrapText="1"/>
    </xf>
    <xf numFmtId="1" fontId="1" fillId="23" borderId="59" xfId="5" applyNumberFormat="1" applyFont="1" applyFill="1" applyBorder="1" applyAlignment="1" applyProtection="1">
      <alignment horizontal="right" vertical="top" wrapText="1"/>
    </xf>
    <xf numFmtId="0" fontId="23" fillId="10" borderId="23" xfId="26" applyNumberFormat="1" applyFont="1" applyFill="1" applyBorder="1" applyAlignment="1" applyProtection="1">
      <alignment horizontal="left" vertical="top" wrapText="1"/>
    </xf>
    <xf numFmtId="0" fontId="23" fillId="10" borderId="22" xfId="26" applyNumberFormat="1" applyFont="1" applyFill="1" applyBorder="1" applyAlignment="1" applyProtection="1">
      <alignment horizontal="left" vertical="top" wrapText="1"/>
    </xf>
    <xf numFmtId="0" fontId="23" fillId="9" borderId="22" xfId="26" applyNumberFormat="1" applyFont="1" applyFill="1" applyBorder="1" applyAlignment="1" applyProtection="1">
      <alignment vertical="top" wrapText="1"/>
    </xf>
    <xf numFmtId="0" fontId="23" fillId="32" borderId="22" xfId="0" applyFont="1" applyFill="1" applyBorder="1" applyAlignment="1">
      <alignment horizontal="left" vertical="top"/>
    </xf>
    <xf numFmtId="0" fontId="23" fillId="0" borderId="22" xfId="0" applyFont="1" applyBorder="1" applyAlignment="1">
      <alignment horizontal="left" vertical="top"/>
    </xf>
    <xf numFmtId="0" fontId="10" fillId="15" borderId="0" xfId="2" applyFont="1" applyFill="1" applyAlignment="1">
      <alignment horizontal="left" vertical="center" wrapText="1"/>
    </xf>
    <xf numFmtId="0" fontId="6" fillId="15" borderId="0" xfId="2" applyFont="1" applyFill="1" applyAlignment="1">
      <alignment vertical="center" wrapText="1"/>
    </xf>
    <xf numFmtId="0" fontId="24" fillId="15" borderId="0" xfId="2" applyFont="1" applyFill="1" applyAlignment="1">
      <alignment vertical="center" wrapText="1"/>
    </xf>
    <xf numFmtId="0" fontId="0" fillId="0" borderId="0" xfId="0" applyAlignment="1">
      <alignment vertical="center" wrapText="1"/>
    </xf>
    <xf numFmtId="167" fontId="23" fillId="10" borderId="7" xfId="2" applyNumberFormat="1" applyFont="1" applyFill="1" applyBorder="1" applyAlignment="1">
      <alignment horizontal="left"/>
    </xf>
    <xf numFmtId="0" fontId="23" fillId="10" borderId="0" xfId="2" applyFont="1" applyFill="1" applyAlignment="1">
      <alignment horizontal="left"/>
    </xf>
    <xf numFmtId="0" fontId="23" fillId="10" borderId="0" xfId="2" applyFont="1" applyFill="1" applyAlignment="1">
      <alignment wrapText="1"/>
    </xf>
    <xf numFmtId="0" fontId="56" fillId="31" borderId="0" xfId="0" applyFont="1" applyFill="1" applyAlignment="1">
      <alignment wrapText="1"/>
    </xf>
    <xf numFmtId="0" fontId="23" fillId="9" borderId="0" xfId="2" applyFont="1" applyFill="1" applyAlignment="1">
      <alignment horizontal="left" wrapText="1"/>
    </xf>
    <xf numFmtId="167" fontId="23" fillId="10" borderId="0" xfId="2" applyNumberFormat="1" applyFont="1" applyFill="1" applyAlignment="1">
      <alignment horizontal="left"/>
    </xf>
    <xf numFmtId="0" fontId="56" fillId="31" borderId="0" xfId="2" applyFont="1" applyFill="1" applyAlignment="1">
      <alignment wrapText="1"/>
    </xf>
    <xf numFmtId="14" fontId="23" fillId="10" borderId="7" xfId="2" applyNumberFormat="1" applyFont="1" applyFill="1" applyBorder="1" applyAlignment="1">
      <alignment horizontal="left"/>
    </xf>
    <xf numFmtId="165" fontId="23" fillId="10" borderId="0" xfId="2" applyNumberFormat="1" applyFont="1" applyFill="1" applyAlignment="1">
      <alignment horizontal="left"/>
    </xf>
    <xf numFmtId="167" fontId="23" fillId="10" borderId="64" xfId="2" applyNumberFormat="1" applyFont="1" applyFill="1" applyBorder="1" applyAlignment="1">
      <alignment horizontal="left"/>
    </xf>
    <xf numFmtId="165" fontId="23" fillId="10" borderId="62" xfId="2" applyNumberFormat="1" applyFont="1" applyFill="1" applyBorder="1" applyAlignment="1">
      <alignment horizontal="left"/>
    </xf>
    <xf numFmtId="0" fontId="23" fillId="10" borderId="62" xfId="2" applyFont="1" applyFill="1" applyBorder="1" applyAlignment="1">
      <alignment wrapText="1"/>
    </xf>
    <xf numFmtId="0" fontId="56" fillId="31" borderId="62" xfId="0" applyFont="1" applyFill="1" applyBorder="1" applyAlignment="1">
      <alignment wrapText="1"/>
    </xf>
    <xf numFmtId="0" fontId="23" fillId="9" borderId="62" xfId="2" applyFont="1" applyFill="1" applyBorder="1" applyAlignment="1">
      <alignment horizontal="left" wrapText="1"/>
    </xf>
    <xf numFmtId="165" fontId="56" fillId="31" borderId="0" xfId="2" applyNumberFormat="1" applyFont="1" applyFill="1" applyAlignment="1">
      <alignment wrapText="1"/>
    </xf>
    <xf numFmtId="14" fontId="23" fillId="10" borderId="0" xfId="2" applyNumberFormat="1" applyFont="1" applyFill="1" applyAlignment="1">
      <alignment horizontal="left"/>
    </xf>
    <xf numFmtId="167" fontId="23" fillId="10" borderId="62" xfId="2" applyNumberFormat="1" applyFont="1" applyFill="1" applyBorder="1" applyAlignment="1">
      <alignment horizontal="left"/>
    </xf>
    <xf numFmtId="0" fontId="23" fillId="10" borderId="62" xfId="2" applyFont="1" applyFill="1" applyBorder="1" applyAlignment="1">
      <alignment horizontal="left"/>
    </xf>
    <xf numFmtId="0" fontId="56" fillId="31" borderId="62" xfId="2" applyFont="1" applyFill="1" applyBorder="1" applyAlignment="1">
      <alignment wrapText="1"/>
    </xf>
    <xf numFmtId="14" fontId="23" fillId="10" borderId="62" xfId="2" applyNumberFormat="1" applyFont="1" applyFill="1" applyBorder="1" applyAlignment="1">
      <alignment horizontal="left"/>
    </xf>
    <xf numFmtId="0" fontId="23" fillId="33" borderId="22" xfId="26" applyNumberFormat="1" applyFont="1" applyFill="1" applyBorder="1" applyAlignment="1">
      <alignment horizontal="left" vertical="top" wrapText="1"/>
    </xf>
    <xf numFmtId="0" fontId="23" fillId="33" borderId="22" xfId="26" applyNumberFormat="1" applyFont="1" applyFill="1" applyBorder="1" applyAlignment="1" applyProtection="1">
      <alignment horizontal="left" vertical="top" wrapText="1"/>
    </xf>
    <xf numFmtId="0" fontId="23" fillId="33" borderId="22" xfId="26" applyNumberFormat="1" applyFont="1" applyFill="1" applyBorder="1" applyAlignment="1">
      <alignment horizontal="center" vertical="top" wrapText="1"/>
    </xf>
    <xf numFmtId="0" fontId="23" fillId="33" borderId="22" xfId="26" applyNumberFormat="1" applyFont="1" applyFill="1" applyBorder="1" applyAlignment="1" applyProtection="1">
      <alignment horizontal="center" vertical="top" wrapText="1"/>
    </xf>
    <xf numFmtId="0" fontId="60" fillId="9" borderId="0" xfId="2" applyFont="1" applyFill="1" applyAlignment="1">
      <alignment horizontal="left" wrapText="1"/>
    </xf>
    <xf numFmtId="0" fontId="61" fillId="9" borderId="62" xfId="2" applyFont="1" applyFill="1" applyBorder="1" applyAlignment="1">
      <alignment horizontal="left" wrapText="1"/>
    </xf>
    <xf numFmtId="0" fontId="23" fillId="9" borderId="24" xfId="0" applyFont="1" applyFill="1" applyBorder="1" applyAlignment="1">
      <alignment horizontal="left" vertical="top"/>
    </xf>
    <xf numFmtId="0" fontId="23" fillId="10" borderId="23" xfId="26" applyNumberFormat="1" applyFont="1" applyFill="1" applyBorder="1" applyAlignment="1">
      <alignment horizontal="left" vertical="top"/>
    </xf>
    <xf numFmtId="0" fontId="37" fillId="5" borderId="21" xfId="0" applyFont="1" applyFill="1" applyBorder="1" applyAlignment="1">
      <alignment horizontal="center" vertical="center" wrapText="1"/>
    </xf>
    <xf numFmtId="0" fontId="37" fillId="5" borderId="10" xfId="0" applyFont="1" applyFill="1" applyBorder="1" applyAlignment="1">
      <alignment horizontal="center" vertical="center" wrapText="1"/>
    </xf>
    <xf numFmtId="0" fontId="37" fillId="5" borderId="19" xfId="0" applyFont="1" applyFill="1" applyBorder="1" applyAlignment="1">
      <alignment horizontal="center" vertical="center" wrapText="1"/>
    </xf>
    <xf numFmtId="0" fontId="18" fillId="9" borderId="37" xfId="2" applyFont="1" applyFill="1" applyBorder="1" applyAlignment="1">
      <alignment horizontal="left" vertical="top" wrapText="1"/>
    </xf>
    <xf numFmtId="0" fontId="18" fillId="9" borderId="36" xfId="2" applyFont="1" applyFill="1" applyBorder="1" applyAlignment="1">
      <alignment horizontal="left" vertical="top" wrapText="1"/>
    </xf>
    <xf numFmtId="0" fontId="18" fillId="9" borderId="13" xfId="2" applyFont="1" applyFill="1" applyBorder="1" applyAlignment="1">
      <alignment horizontal="left" vertical="top" wrapText="1"/>
    </xf>
    <xf numFmtId="0" fontId="17" fillId="4" borderId="36" xfId="2" applyFont="1" applyFill="1" applyBorder="1" applyAlignment="1">
      <alignment horizontal="left" vertical="top" wrapText="1"/>
    </xf>
    <xf numFmtId="0" fontId="17" fillId="4" borderId="35" xfId="2" applyFont="1" applyFill="1" applyBorder="1" applyAlignment="1">
      <alignment horizontal="left" vertical="top" wrapText="1"/>
    </xf>
    <xf numFmtId="0" fontId="1" fillId="10" borderId="39" xfId="0" applyFont="1" applyFill="1" applyBorder="1" applyAlignment="1">
      <alignment horizontal="left" vertical="top"/>
    </xf>
    <xf numFmtId="0" fontId="11" fillId="13" borderId="21" xfId="0" applyFont="1" applyFill="1" applyBorder="1" applyAlignment="1">
      <alignment horizontal="center" vertical="center" wrapText="1"/>
    </xf>
    <xf numFmtId="0" fontId="11" fillId="13" borderId="10" xfId="0" applyFont="1" applyFill="1" applyBorder="1" applyAlignment="1">
      <alignment horizontal="center" vertical="center" wrapText="1"/>
    </xf>
    <xf numFmtId="0" fontId="11" fillId="13" borderId="19" xfId="0" applyFont="1" applyFill="1" applyBorder="1" applyAlignment="1">
      <alignment horizontal="center" vertical="center" wrapText="1"/>
    </xf>
    <xf numFmtId="0" fontId="23" fillId="10" borderId="29" xfId="2" applyFont="1" applyFill="1" applyBorder="1" applyAlignment="1">
      <alignment horizontal="center" vertical="top"/>
    </xf>
    <xf numFmtId="0" fontId="23" fillId="10" borderId="49" xfId="2" applyFont="1" applyFill="1" applyBorder="1" applyAlignment="1">
      <alignment horizontal="center" vertical="top"/>
    </xf>
    <xf numFmtId="0" fontId="23" fillId="10" borderId="58" xfId="2" applyFont="1" applyFill="1" applyBorder="1" applyAlignment="1">
      <alignment horizontal="center" vertical="top"/>
    </xf>
    <xf numFmtId="0" fontId="23" fillId="10" borderId="53" xfId="2" applyFont="1" applyFill="1" applyBorder="1" applyAlignment="1">
      <alignment horizontal="center" vertical="top"/>
    </xf>
    <xf numFmtId="0" fontId="23" fillId="10" borderId="54" xfId="2" applyFont="1" applyFill="1" applyBorder="1" applyAlignment="1">
      <alignment horizontal="center" vertical="top"/>
    </xf>
    <xf numFmtId="0" fontId="23" fillId="10" borderId="34" xfId="2" applyFont="1" applyFill="1" applyBorder="1" applyAlignment="1">
      <alignment horizontal="center" vertical="top"/>
    </xf>
    <xf numFmtId="0" fontId="16" fillId="3" borderId="28" xfId="2" applyFont="1" applyFill="1" applyBorder="1" applyAlignment="1">
      <alignment horizontal="center" vertical="center" wrapText="1"/>
    </xf>
    <xf numFmtId="0" fontId="16" fillId="3" borderId="48" xfId="2" applyFont="1" applyFill="1" applyBorder="1" applyAlignment="1">
      <alignment horizontal="center" vertical="center" wrapText="1"/>
    </xf>
    <xf numFmtId="0" fontId="16" fillId="3" borderId="55" xfId="2" applyFont="1" applyFill="1" applyBorder="1" applyAlignment="1">
      <alignment horizontal="center" vertical="center" wrapText="1"/>
    </xf>
    <xf numFmtId="0" fontId="1" fillId="10" borderId="51" xfId="0" applyFont="1" applyFill="1" applyBorder="1" applyAlignment="1">
      <alignment horizontal="left" vertical="top"/>
    </xf>
    <xf numFmtId="0" fontId="16" fillId="3" borderId="56" xfId="2" applyFont="1" applyFill="1" applyBorder="1" applyAlignment="1">
      <alignment horizontal="left" vertical="center" wrapText="1"/>
    </xf>
    <xf numFmtId="0" fontId="1" fillId="9" borderId="30" xfId="0" applyFont="1" applyFill="1" applyBorder="1" applyAlignment="1">
      <alignment horizontal="left" vertical="top" wrapText="1"/>
    </xf>
    <xf numFmtId="0" fontId="1" fillId="9" borderId="0" xfId="0" applyFont="1" applyFill="1" applyAlignment="1">
      <alignment horizontal="left" vertical="top" wrapText="1"/>
    </xf>
    <xf numFmtId="0" fontId="1" fillId="9" borderId="33" xfId="0" applyFont="1" applyFill="1" applyBorder="1" applyAlignment="1">
      <alignment horizontal="left" vertical="top" wrapText="1"/>
    </xf>
    <xf numFmtId="0" fontId="1" fillId="9" borderId="51" xfId="0" applyFont="1" applyFill="1" applyBorder="1" applyAlignment="1">
      <alignment horizontal="left" vertical="top" wrapText="1"/>
    </xf>
    <xf numFmtId="0" fontId="1" fillId="9" borderId="52" xfId="0" applyFont="1" applyFill="1" applyBorder="1" applyAlignment="1">
      <alignment horizontal="left" vertical="top" wrapText="1"/>
    </xf>
    <xf numFmtId="0" fontId="25" fillId="15" borderId="0" xfId="2" applyFont="1" applyFill="1" applyAlignment="1">
      <alignment horizontal="left" vertical="top" wrapText="1" indent="2"/>
    </xf>
    <xf numFmtId="0" fontId="12" fillId="15" borderId="0" xfId="2" applyFont="1" applyFill="1" applyAlignment="1">
      <alignment horizontal="left" vertical="top" wrapText="1" indent="1"/>
    </xf>
    <xf numFmtId="0" fontId="13" fillId="3" borderId="0" xfId="2" applyFont="1" applyFill="1" applyAlignment="1">
      <alignment horizontal="left" vertical="center"/>
    </xf>
    <xf numFmtId="0" fontId="13" fillId="3" borderId="17" xfId="2" applyFont="1" applyFill="1" applyBorder="1" applyAlignment="1">
      <alignment horizontal="left" vertical="center"/>
    </xf>
    <xf numFmtId="0" fontId="8" fillId="3" borderId="24" xfId="2" applyFont="1" applyFill="1" applyBorder="1" applyAlignment="1">
      <alignment horizontal="center" vertical="center"/>
    </xf>
    <xf numFmtId="0" fontId="8" fillId="3" borderId="0" xfId="2" applyFont="1" applyFill="1" applyAlignment="1">
      <alignment horizontal="center" vertical="center"/>
    </xf>
    <xf numFmtId="0" fontId="1" fillId="15" borderId="0" xfId="0" applyFont="1" applyFill="1" applyAlignment="1">
      <alignment horizontal="left" vertical="center" wrapText="1"/>
    </xf>
    <xf numFmtId="0" fontId="1" fillId="15" borderId="0" xfId="2" applyFont="1" applyFill="1" applyAlignment="1">
      <alignment horizontal="left" vertical="center" wrapText="1"/>
    </xf>
    <xf numFmtId="0" fontId="32" fillId="13" borderId="20" xfId="0" applyFont="1" applyFill="1" applyBorder="1" applyAlignment="1">
      <alignment horizontal="center" vertical="center" wrapText="1"/>
    </xf>
    <xf numFmtId="0" fontId="32" fillId="13" borderId="8" xfId="0" applyFont="1" applyFill="1" applyBorder="1" applyAlignment="1">
      <alignment horizontal="center" vertical="center" wrapText="1"/>
    </xf>
    <xf numFmtId="0" fontId="44" fillId="4" borderId="21" xfId="0" applyFont="1" applyFill="1" applyBorder="1" applyAlignment="1">
      <alignment horizontal="center" vertical="center" textRotation="90" wrapText="1"/>
    </xf>
    <xf numFmtId="0" fontId="46" fillId="4" borderId="7" xfId="0" applyFont="1" applyFill="1" applyBorder="1" applyAlignment="1">
      <alignment horizontal="center" vertical="center" textRotation="90" wrapText="1"/>
    </xf>
    <xf numFmtId="0" fontId="46" fillId="4" borderId="20" xfId="0" applyFont="1" applyFill="1" applyBorder="1" applyAlignment="1">
      <alignment horizontal="center" vertical="center" textRotation="90" wrapText="1"/>
    </xf>
    <xf numFmtId="0" fontId="1" fillId="15" borderId="0" xfId="0" applyFont="1" applyFill="1" applyAlignment="1">
      <alignment horizontal="left" vertical="top" wrapText="1"/>
    </xf>
    <xf numFmtId="0" fontId="16" fillId="3" borderId="30" xfId="2" applyFont="1" applyFill="1" applyBorder="1" applyAlignment="1">
      <alignment horizontal="left" vertical="center"/>
    </xf>
    <xf numFmtId="0" fontId="16" fillId="3" borderId="0" xfId="2" applyFont="1" applyFill="1" applyAlignment="1">
      <alignment horizontal="left" vertical="center"/>
    </xf>
    <xf numFmtId="0" fontId="16" fillId="3" borderId="33" xfId="2" applyFont="1" applyFill="1" applyBorder="1" applyAlignment="1">
      <alignment horizontal="left" vertical="center"/>
    </xf>
    <xf numFmtId="0" fontId="18" fillId="10" borderId="7" xfId="2" applyFont="1" applyFill="1" applyBorder="1" applyAlignment="1">
      <alignment horizontal="left" vertical="top" wrapText="1"/>
    </xf>
    <xf numFmtId="0" fontId="18" fillId="10" borderId="0" xfId="2" applyFont="1" applyFill="1" applyAlignment="1">
      <alignment horizontal="left" vertical="top" wrapText="1"/>
    </xf>
    <xf numFmtId="0" fontId="18" fillId="9" borderId="7" xfId="2" applyFont="1" applyFill="1" applyBorder="1" applyAlignment="1">
      <alignment horizontal="left" vertical="top" wrapText="1"/>
    </xf>
    <xf numFmtId="0" fontId="18" fillId="9" borderId="0" xfId="2" applyFont="1" applyFill="1" applyAlignment="1">
      <alignment horizontal="left" vertical="top" wrapText="1"/>
    </xf>
    <xf numFmtId="0" fontId="16" fillId="3" borderId="57" xfId="2" applyFont="1" applyFill="1" applyBorder="1" applyAlignment="1">
      <alignment horizontal="left" vertical="center" wrapText="1"/>
    </xf>
    <xf numFmtId="0" fontId="1" fillId="9" borderId="39" xfId="0" applyFont="1" applyFill="1" applyBorder="1" applyAlignment="1">
      <alignment horizontal="left" vertical="top" wrapText="1"/>
    </xf>
    <xf numFmtId="0" fontId="1" fillId="9" borderId="50" xfId="0" applyFont="1" applyFill="1" applyBorder="1" applyAlignment="1">
      <alignment horizontal="left" vertical="top" wrapText="1"/>
    </xf>
    <xf numFmtId="0" fontId="48" fillId="10" borderId="44" xfId="2" applyFont="1" applyFill="1" applyBorder="1" applyAlignment="1">
      <alignment horizontal="center" vertical="center"/>
    </xf>
    <xf numFmtId="0" fontId="48" fillId="10" borderId="22" xfId="2" applyFont="1" applyFill="1" applyBorder="1" applyAlignment="1">
      <alignment horizontal="center" vertical="center"/>
    </xf>
    <xf numFmtId="0" fontId="48" fillId="10" borderId="45" xfId="2" applyFont="1" applyFill="1" applyBorder="1" applyAlignment="1">
      <alignment horizontal="center" vertical="center"/>
    </xf>
    <xf numFmtId="0" fontId="16" fillId="3" borderId="7" xfId="2" applyFont="1" applyFill="1" applyBorder="1" applyAlignment="1">
      <alignment horizontal="left" vertical="center"/>
    </xf>
    <xf numFmtId="0" fontId="16" fillId="10" borderId="42" xfId="2" applyFont="1" applyFill="1" applyBorder="1" applyAlignment="1">
      <alignment horizontal="left" vertical="center" indent="1"/>
    </xf>
    <xf numFmtId="0" fontId="16" fillId="10" borderId="41" xfId="2" applyFont="1" applyFill="1" applyBorder="1" applyAlignment="1">
      <alignment horizontal="left" vertical="center" indent="1"/>
    </xf>
    <xf numFmtId="0" fontId="16" fillId="3" borderId="46" xfId="2" applyFont="1" applyFill="1" applyBorder="1" applyAlignment="1">
      <alignment horizontal="left" vertical="center" indent="1"/>
    </xf>
    <xf numFmtId="0" fontId="16" fillId="3" borderId="47" xfId="2" applyFont="1" applyFill="1" applyBorder="1" applyAlignment="1">
      <alignment horizontal="left" vertical="center" indent="1"/>
    </xf>
    <xf numFmtId="0" fontId="17" fillId="4" borderId="13" xfId="2" applyFont="1" applyFill="1" applyBorder="1" applyAlignment="1">
      <alignment horizontal="left" vertical="top" wrapText="1"/>
    </xf>
    <xf numFmtId="0" fontId="17" fillId="4" borderId="0" xfId="2" applyFont="1" applyFill="1" applyAlignment="1">
      <alignment horizontal="left" vertical="top" wrapText="1"/>
    </xf>
    <xf numFmtId="0" fontId="26" fillId="15" borderId="0" xfId="2" applyFont="1" applyFill="1" applyAlignment="1">
      <alignment horizontal="left" vertical="center" wrapText="1"/>
    </xf>
    <xf numFmtId="0" fontId="27" fillId="15" borderId="0" xfId="2" applyFont="1" applyFill="1" applyAlignment="1">
      <alignment horizontal="left" vertical="center" wrapText="1"/>
    </xf>
  </cellXfs>
  <cellStyles count="29">
    <cellStyle name="20% - Accent2" xfId="4" builtinId="34"/>
    <cellStyle name="20% - Accent5" xfId="5" builtinId="46"/>
    <cellStyle name="40% - Accent2" xfId="6" builtinId="35"/>
    <cellStyle name="CellNum" xfId="12" xr:uid="{226FD3D2-557F-4F90-8125-5BACA49F521C}"/>
    <cellStyle name="CellNumalt" xfId="13" xr:uid="{B8FDDB16-E1F8-454B-8902-1264DE802438}"/>
    <cellStyle name="Comma" xfId="3" builtinId="3"/>
    <cellStyle name="Comma 2" xfId="18" xr:uid="{AD484420-F362-47B4-9B2A-E0763961AD0B}"/>
    <cellStyle name="Comma 2 2" xfId="19" xr:uid="{F455CC85-64BB-495C-8896-A2710BEBE158}"/>
    <cellStyle name="Comma 2 2 2" xfId="24" xr:uid="{FC122AB7-C6B5-4F86-B19F-34FD5C4CC0E6}"/>
    <cellStyle name="Comma 2 3" xfId="23" xr:uid="{470A18A3-E0FF-468A-8058-69976C2A6B40}"/>
    <cellStyle name="Comma 3" xfId="7" xr:uid="{D373DD56-A953-459F-A067-A8C953B2819A}"/>
    <cellStyle name="Comma 3 2" xfId="22" xr:uid="{AEF5CE90-36E6-43A8-AE71-EA5950D0DB87}"/>
    <cellStyle name="Comma 4" xfId="20" xr:uid="{0CB17E96-FBBA-445D-8BDF-E1C486905D2A}"/>
    <cellStyle name="Comma 4 2" xfId="25" xr:uid="{AD13917C-D5EB-400C-AAFF-D04A6065BE28}"/>
    <cellStyle name="Comma 5" xfId="21" xr:uid="{5875E317-ABE8-4537-80F5-D9139CD897BA}"/>
    <cellStyle name="Comma 6" xfId="26" xr:uid="{E8FC7C0C-EFD5-4963-9D44-3E75D09BA7C0}"/>
    <cellStyle name="Footnote" xfId="14" xr:uid="{EFFC0890-F582-4C1C-B93D-803A0F1F2E87}"/>
    <cellStyle name="Good 2" xfId="10" xr:uid="{8706D9AD-EE05-42DD-9D5A-2D394701DF15}"/>
    <cellStyle name="Good 2 2" xfId="27" xr:uid="{70EBA2C2-8DB7-47E0-8956-F899EF8F57D9}"/>
    <cellStyle name="Hyperlink" xfId="1" builtinId="8"/>
    <cellStyle name="Neutral 2" xfId="9" xr:uid="{21E98144-E119-4C4F-BAA0-8E6FEF018A55}"/>
    <cellStyle name="Normal" xfId="0" builtinId="0"/>
    <cellStyle name="Normal 2" xfId="8" xr:uid="{7BFF4682-942F-4F59-8AB6-5043FC2080B6}"/>
    <cellStyle name="Normal 2 2" xfId="2" xr:uid="{9D2CAC46-9B1D-43FC-A0CB-1DAB1E98DF9D}"/>
    <cellStyle name="Normal 3" xfId="11" xr:uid="{B9F24555-9F3C-4D61-907F-09388A0F07BB}"/>
    <cellStyle name="Normal 4" xfId="17" xr:uid="{7FF59622-A073-4B7A-9D94-C39E3440BDA8}"/>
    <cellStyle name="Normal 5" xfId="28" xr:uid="{DC9E5668-CF92-4572-A7F0-ED506E475DBD}"/>
    <cellStyle name="Subtitle" xfId="15" xr:uid="{C2101C8C-5C21-4E9A-AF0B-6D114D774B5B}"/>
    <cellStyle name="TableTitle" xfId="16" xr:uid="{771AAFC9-796A-4BB9-8B9F-38E1784DB063}"/>
  </cellStyles>
  <dxfs count="283">
    <dxf>
      <border>
        <top/>
        <vertical/>
        <horizontal/>
      </border>
    </dxf>
    <dxf>
      <font>
        <color theme="0" tint="-0.34998626667073579"/>
      </font>
    </dxf>
    <dxf>
      <border>
        <top style="thin">
          <color theme="0"/>
        </top>
        <vertical/>
        <horizontal/>
      </border>
    </dxf>
    <dxf>
      <border>
        <top style="thin">
          <color auto="1"/>
        </top>
        <vertical/>
        <horizontal/>
      </border>
    </dxf>
    <dxf>
      <fill>
        <patternFill>
          <bgColor rgb="FF948671"/>
        </patternFill>
      </fill>
    </dxf>
    <dxf>
      <border>
        <top style="thin">
          <color auto="1"/>
        </top>
        <vertical/>
        <horizontal/>
      </border>
    </dxf>
    <dxf>
      <fill>
        <patternFill>
          <bgColor rgb="FFE7E3DC"/>
        </patternFill>
      </fill>
    </dxf>
    <dxf>
      <font>
        <color theme="0" tint="-0.34998626667073579"/>
      </font>
    </dxf>
    <dxf>
      <border>
        <top style="thin">
          <color auto="1"/>
        </top>
        <vertical/>
        <horizontal/>
      </border>
    </dxf>
    <dxf>
      <border>
        <top style="thin">
          <color theme="0"/>
        </top>
        <vertical/>
        <horizontal/>
      </border>
    </dxf>
    <dxf>
      <border>
        <top/>
        <vertical/>
        <horizontal/>
      </border>
    </dxf>
    <dxf>
      <border>
        <top style="thin">
          <color theme="0"/>
        </top>
        <vertical/>
        <horizontal/>
      </border>
    </dxf>
    <dxf>
      <border>
        <top/>
        <vertical/>
        <horizontal/>
      </border>
    </dxf>
    <dxf>
      <border>
        <top style="thin">
          <color theme="0"/>
        </top>
        <vertical/>
        <horizontal/>
      </border>
    </dxf>
    <dxf>
      <border>
        <top/>
        <vertical/>
        <horizontal/>
      </border>
    </dxf>
    <dxf>
      <numFmt numFmtId="170" formatCode="d\-mmm\-yyyy"/>
    </dxf>
    <dxf>
      <border>
        <top/>
        <vertical/>
        <horizontal/>
      </border>
    </dxf>
    <dxf>
      <border>
        <top style="thin">
          <color theme="0"/>
        </top>
        <vertical/>
        <horizontal/>
      </border>
    </dxf>
    <dxf>
      <border>
        <top style="thin">
          <color auto="1"/>
        </top>
        <vertical/>
        <horizontal/>
      </border>
    </dxf>
    <dxf>
      <font>
        <color theme="0" tint="-0.34998626667073579"/>
      </font>
    </dxf>
    <dxf>
      <fill>
        <patternFill>
          <bgColor rgb="FFE7E3DC"/>
        </patternFill>
      </fill>
    </dxf>
    <dxf>
      <fill>
        <patternFill>
          <bgColor rgb="FFE7E3DC"/>
        </patternFill>
      </fill>
    </dxf>
    <dxf>
      <fill>
        <patternFill>
          <bgColor rgb="FFE7E3DC"/>
        </patternFill>
      </fill>
    </dxf>
    <dxf>
      <border>
        <top style="thin">
          <color theme="0"/>
        </top>
        <vertical/>
        <horizontal/>
      </border>
    </dxf>
    <dxf>
      <border>
        <top style="thin">
          <color theme="0"/>
        </top>
        <vertical/>
        <horizontal/>
      </border>
    </dxf>
    <dxf>
      <border>
        <top/>
        <vertical/>
        <horizontal/>
      </border>
    </dxf>
    <dxf>
      <border>
        <top/>
        <vertical/>
        <horizontal/>
      </border>
    </dxf>
    <dxf>
      <border>
        <top style="thin">
          <color theme="0"/>
        </top>
        <vertical/>
        <horizontal/>
      </border>
    </dxf>
    <dxf>
      <fill>
        <patternFill>
          <bgColor rgb="FFE7E3DC"/>
        </patternFill>
      </fill>
    </dxf>
    <dxf>
      <border>
        <top/>
        <vertical/>
        <horizontal/>
      </border>
    </dxf>
    <dxf>
      <border>
        <top style="thin">
          <color theme="0"/>
        </top>
        <vertical/>
        <horizontal/>
      </border>
    </dxf>
    <dxf>
      <font>
        <color theme="0" tint="-0.34998626667073579"/>
      </font>
    </dxf>
    <dxf>
      <border>
        <top style="thin">
          <color theme="0"/>
        </top>
        <vertical/>
        <horizontal/>
      </border>
    </dxf>
    <dxf>
      <border>
        <top style="thin">
          <color auto="1"/>
        </top>
        <vertical/>
        <horizontal/>
      </border>
    </dxf>
    <dxf>
      <fill>
        <patternFill>
          <bgColor rgb="FFE7E3DC"/>
        </patternFill>
      </fill>
    </dxf>
    <dxf>
      <border>
        <top/>
        <vertical/>
        <horizontal/>
      </border>
    </dxf>
    <dxf>
      <border>
        <top/>
        <vertical/>
        <horizontal/>
      </border>
    </dxf>
    <dxf>
      <font>
        <color theme="0" tint="-0.34998626667073579"/>
      </font>
    </dxf>
    <dxf>
      <border>
        <top style="thin">
          <color theme="0"/>
        </top>
        <vertical/>
        <horizontal/>
      </border>
    </dxf>
    <dxf>
      <border>
        <top style="thin">
          <color auto="1"/>
        </top>
        <vertical/>
        <horizontal/>
      </border>
    </dxf>
    <dxf>
      <border>
        <top style="thin">
          <color auto="1"/>
        </top>
        <vertical/>
        <horizontal/>
      </border>
    </dxf>
    <dxf>
      <border>
        <top/>
        <vertical/>
        <horizontal/>
      </border>
    </dxf>
    <dxf>
      <font>
        <color theme="0" tint="-0.34998626667073579"/>
      </font>
    </dxf>
    <dxf>
      <fill>
        <patternFill>
          <bgColor rgb="FF948671"/>
        </patternFill>
      </fill>
    </dxf>
    <dxf>
      <border>
        <top style="thin">
          <color theme="0" tint="-0.24994659260841701"/>
        </top>
        <vertical/>
        <horizontal/>
      </border>
    </dxf>
    <dxf>
      <font>
        <color rgb="FF006600"/>
      </font>
    </dxf>
    <dxf>
      <font>
        <color theme="1" tint="0.499984740745262"/>
      </font>
    </dxf>
    <dxf>
      <numFmt numFmtId="1" formatCode="0"/>
    </dxf>
    <dxf>
      <border>
        <top style="thin">
          <color theme="0" tint="-0.24994659260841701"/>
        </top>
        <vertical/>
        <horizontal/>
      </border>
    </dxf>
    <dxf>
      <border>
        <top style="thin">
          <color theme="0" tint="-0.24994659260841701"/>
        </top>
        <vertical/>
        <horizontal/>
      </border>
    </dxf>
    <dxf>
      <fill>
        <patternFill>
          <bgColor theme="0" tint="-0.14996795556505021"/>
        </patternFill>
      </fill>
    </dxf>
    <dxf>
      <border>
        <top style="thin">
          <color theme="0" tint="-0.24994659260841701"/>
        </top>
        <vertical/>
        <horizontal/>
      </border>
    </dxf>
    <dxf>
      <fill>
        <patternFill>
          <bgColor theme="0" tint="-0.14996795556505021"/>
        </patternFill>
      </fill>
    </dxf>
    <dxf>
      <border>
        <top style="thin">
          <color theme="0" tint="-0.24994659260841701"/>
        </top>
        <vertical/>
        <horizontal/>
      </border>
    </dxf>
    <dxf>
      <border>
        <top style="thin">
          <color theme="0" tint="-0.499984740745262"/>
        </top>
        <vertical/>
        <horizontal/>
      </border>
    </dxf>
    <dxf>
      <font>
        <color rgb="FF006600"/>
      </font>
    </dxf>
    <dxf>
      <font>
        <color rgb="FF006600"/>
      </font>
    </dxf>
    <dxf>
      <font>
        <color theme="0" tint="-0.24994659260841701"/>
      </font>
      <border>
        <top/>
        <vertical/>
        <horizontal/>
      </border>
    </dxf>
    <dxf>
      <font>
        <color theme="0" tint="-0.24994659260841701"/>
      </font>
      <border>
        <top/>
        <vertical/>
        <horizontal/>
      </border>
    </dxf>
    <dxf>
      <font>
        <color rgb="FFA2CC86"/>
      </font>
    </dxf>
    <dxf>
      <font>
        <color theme="0" tint="-0.34998626667073579"/>
      </font>
      <border>
        <top/>
        <vertical/>
        <horizontal/>
      </border>
    </dxf>
    <dxf>
      <font>
        <b/>
        <i val="0"/>
      </font>
      <border>
        <top style="thin">
          <color theme="0" tint="-0.14996795556505021"/>
        </top>
        <vertical/>
        <horizontal/>
      </border>
    </dxf>
    <dxf>
      <font>
        <color rgb="FF006600"/>
      </font>
    </dxf>
    <dxf>
      <font>
        <color rgb="FF006600"/>
      </font>
    </dxf>
    <dxf>
      <font>
        <color rgb="FF006600"/>
      </font>
    </dxf>
    <dxf>
      <fill>
        <patternFill>
          <bgColor theme="0" tint="-0.14996795556505021"/>
        </patternFill>
      </fill>
    </dxf>
    <dxf>
      <border>
        <top style="thin">
          <color theme="0" tint="-0.499984740745262"/>
        </top>
        <vertical/>
        <horizontal/>
      </border>
    </dxf>
    <dxf>
      <font>
        <color theme="0" tint="-0.24994659260841701"/>
      </font>
      <border>
        <top/>
        <vertical/>
        <horizontal/>
      </border>
    </dxf>
    <dxf>
      <fill>
        <patternFill>
          <bgColor theme="0" tint="-0.14996795556505021"/>
        </patternFill>
      </fill>
    </dxf>
    <dxf>
      <border>
        <top style="thin">
          <color theme="0" tint="-0.499984740745262"/>
        </top>
        <vertical/>
        <horizontal/>
      </border>
    </dxf>
    <dxf>
      <font>
        <color theme="0" tint="-0.24994659260841701"/>
      </font>
      <border>
        <top/>
        <vertical/>
        <horizontal/>
      </border>
    </dxf>
    <dxf>
      <font>
        <color rgb="FF006600"/>
      </font>
    </dxf>
    <dxf>
      <border>
        <top style="thin">
          <color theme="0" tint="-0.499984740745262"/>
        </top>
        <vertical/>
        <horizontal/>
      </border>
    </dxf>
    <dxf>
      <border>
        <top style="thin">
          <color theme="0" tint="-0.499984740745262"/>
        </top>
        <vertical/>
        <horizontal/>
      </border>
    </dxf>
    <dxf>
      <font>
        <color theme="0" tint="-0.24994659260841701"/>
      </font>
      <border>
        <top/>
        <vertical/>
        <horizontal/>
      </border>
    </dxf>
    <dxf>
      <font>
        <color theme="0" tint="-0.24994659260841701"/>
      </font>
      <border>
        <top/>
        <vertical/>
        <horizontal/>
      </border>
    </dxf>
    <dxf>
      <fill>
        <patternFill>
          <bgColor theme="0" tint="-0.14996795556505021"/>
        </patternFill>
      </fill>
    </dxf>
    <dxf>
      <fill>
        <patternFill>
          <bgColor theme="0" tint="-0.14996795556505021"/>
        </patternFill>
      </fill>
    </dxf>
    <dxf>
      <fill>
        <patternFill>
          <bgColor theme="0" tint="-0.14996795556505021"/>
        </patternFill>
      </fill>
    </dxf>
    <dxf>
      <border>
        <top style="thin">
          <color theme="0" tint="-0.499984740745262"/>
        </top>
        <vertical/>
        <horizontal/>
      </border>
    </dxf>
    <dxf>
      <border>
        <top style="thin">
          <color theme="0" tint="-0.499984740745262"/>
        </top>
        <vertical/>
        <horizontal/>
      </border>
    </dxf>
    <dxf>
      <border>
        <top/>
        <vertical/>
        <horizontal/>
      </border>
    </dxf>
    <dxf>
      <font>
        <color rgb="FF006600"/>
      </font>
    </dxf>
    <dxf>
      <border>
        <top style="thin">
          <color theme="0" tint="-0.499984740745262"/>
        </top>
        <vertical/>
        <horizontal/>
      </border>
    </dxf>
    <dxf>
      <font>
        <color theme="0" tint="-0.24994659260841701"/>
      </font>
      <border>
        <top/>
      </border>
    </dxf>
    <dxf>
      <font>
        <color auto="1"/>
      </font>
      <border>
        <top style="thin">
          <color theme="0" tint="-0.24994659260841701"/>
        </top>
      </border>
    </dxf>
    <dxf>
      <font>
        <color rgb="FF006600"/>
      </font>
    </dxf>
    <dxf>
      <border>
        <top style="thin">
          <color theme="0" tint="-0.499984740745262"/>
        </top>
        <vertical/>
        <horizontal/>
      </border>
    </dxf>
    <dxf>
      <border>
        <top/>
        <vertical/>
        <horizontal/>
      </border>
    </dxf>
    <dxf>
      <font>
        <color theme="0" tint="-0.24994659260841701"/>
      </font>
      <border>
        <top/>
      </border>
    </dxf>
    <dxf>
      <font>
        <color auto="1"/>
      </font>
      <border>
        <top style="thin">
          <color theme="0" tint="-0.24994659260841701"/>
        </top>
      </border>
    </dxf>
    <dxf>
      <border>
        <top style="thin">
          <color theme="0" tint="-0.499984740745262"/>
        </top>
        <vertical/>
        <horizontal/>
      </border>
    </dxf>
    <dxf>
      <font>
        <color theme="0" tint="-0.24994659260841701"/>
      </font>
      <border>
        <top/>
      </border>
    </dxf>
    <dxf>
      <border>
        <top/>
        <vertical/>
        <horizontal/>
      </border>
    </dxf>
    <dxf>
      <font>
        <color rgb="FF006600"/>
      </font>
    </dxf>
    <dxf>
      <font>
        <color auto="1"/>
      </font>
      <border>
        <top style="thin">
          <color theme="0" tint="-0.24994659260841701"/>
        </top>
      </border>
    </dxf>
    <dxf>
      <font>
        <color auto="1"/>
      </font>
      <border>
        <top style="thin">
          <color theme="0" tint="-0.24994659260841701"/>
        </top>
      </border>
    </dxf>
    <dxf>
      <font>
        <color theme="0" tint="-0.24994659260841701"/>
      </font>
      <border>
        <top/>
      </border>
    </dxf>
    <dxf>
      <border>
        <top style="thin">
          <color theme="0" tint="-0.499984740745262"/>
        </top>
        <vertical/>
        <horizontal/>
      </border>
    </dxf>
    <dxf>
      <font>
        <color rgb="FF006600"/>
      </font>
    </dxf>
    <dxf>
      <border>
        <top/>
        <vertical/>
        <horizontal/>
      </border>
    </dxf>
    <dxf>
      <font>
        <color auto="1"/>
      </font>
      <border>
        <top style="thin">
          <color theme="0" tint="-0.24994659260841701"/>
        </top>
      </border>
    </dxf>
    <dxf>
      <font>
        <color theme="0" tint="-0.24994659260841701"/>
      </font>
      <border>
        <top/>
      </border>
    </dxf>
    <dxf>
      <font>
        <color auto="1"/>
      </font>
      <border>
        <top style="thin">
          <color theme="0" tint="-0.24994659260841701"/>
        </top>
      </border>
    </dxf>
    <dxf>
      <border>
        <top/>
        <vertical/>
        <horizontal/>
      </border>
    </dxf>
    <dxf>
      <border>
        <top/>
        <vertical/>
        <horizontal/>
      </border>
    </dxf>
    <dxf>
      <font>
        <color theme="0" tint="-0.24994659260841701"/>
      </font>
      <border>
        <top/>
      </border>
    </dxf>
    <dxf>
      <font>
        <color auto="1"/>
      </font>
      <border>
        <top style="thin">
          <color theme="0" tint="-0.24994659260841701"/>
        </top>
      </border>
    </dxf>
    <dxf>
      <font>
        <color theme="0" tint="-0.24994659260841701"/>
      </font>
      <border>
        <top/>
      </border>
    </dxf>
    <dxf>
      <border>
        <top/>
        <vertical/>
        <horizontal/>
      </border>
    </dxf>
    <dxf>
      <font>
        <color theme="0" tint="-0.24994659260841701"/>
      </font>
      <border>
        <top/>
      </border>
    </dxf>
    <dxf>
      <border>
        <top/>
        <vertical/>
        <horizontal/>
      </border>
    </dxf>
    <dxf>
      <font>
        <color auto="1"/>
      </font>
      <border>
        <top style="thin">
          <color theme="0" tint="-0.24994659260841701"/>
        </top>
      </border>
    </dxf>
    <dxf>
      <fill>
        <patternFill>
          <bgColor rgb="FFFFD966"/>
        </patternFill>
      </fill>
    </dxf>
    <dxf>
      <fill>
        <patternFill>
          <bgColor rgb="FFED7D31"/>
        </patternFill>
      </fill>
    </dxf>
    <dxf>
      <fill>
        <patternFill>
          <bgColor rgb="FFC7E1B5"/>
        </patternFill>
      </fill>
    </dxf>
    <dxf>
      <fill>
        <patternFill>
          <bgColor rgb="FFBFD0EB"/>
        </patternFill>
      </fill>
    </dxf>
    <dxf>
      <fill>
        <patternFill>
          <bgColor rgb="FFFF8585"/>
        </patternFill>
      </fill>
    </dxf>
    <dxf>
      <fill>
        <patternFill>
          <bgColor rgb="FF96B0DE"/>
        </patternFill>
      </fill>
    </dxf>
    <dxf>
      <fill>
        <patternFill>
          <bgColor rgb="FFFFD5D5"/>
        </patternFill>
      </fill>
    </dxf>
    <dxf>
      <border>
        <top/>
        <vertical/>
        <horizontal/>
      </border>
    </dxf>
    <dxf>
      <border>
        <top/>
        <vertical/>
        <horizontal/>
      </border>
    </dxf>
    <dxf>
      <font>
        <color theme="0" tint="-0.24994659260841701"/>
      </font>
      <border>
        <top/>
      </border>
    </dxf>
    <dxf>
      <font>
        <color auto="1"/>
      </font>
      <border>
        <top style="thin">
          <color theme="0" tint="-0.24994659260841701"/>
        </top>
      </border>
    </dxf>
    <dxf>
      <border>
        <top/>
        <vertical/>
        <horizontal/>
      </border>
    </dxf>
    <dxf>
      <border>
        <top/>
        <vertical/>
        <horizontal/>
      </border>
    </dxf>
    <dxf>
      <numFmt numFmtId="3" formatCode="#,##0"/>
    </dxf>
    <dxf>
      <font>
        <color auto="1"/>
      </font>
      <border>
        <top style="thin">
          <color theme="0" tint="-0.24994659260841701"/>
        </top>
      </border>
    </dxf>
    <dxf>
      <font>
        <color theme="0" tint="-0.24994659260841701"/>
      </font>
      <border>
        <top/>
      </border>
    </dxf>
    <dxf>
      <font>
        <color auto="1"/>
      </font>
      <border>
        <top style="thin">
          <color theme="0" tint="-0.24994659260841701"/>
        </top>
      </border>
    </dxf>
    <dxf>
      <font>
        <color theme="0" tint="-0.24994659260841701"/>
      </font>
      <border>
        <top/>
      </border>
    </dxf>
    <dxf>
      <font>
        <color auto="1"/>
      </font>
      <border>
        <top style="thin">
          <color theme="0" tint="-0.24994659260841701"/>
        </top>
      </border>
    </dxf>
    <dxf>
      <font>
        <color theme="0" tint="-0.24994659260841701"/>
      </font>
      <border>
        <top/>
      </border>
    </dxf>
    <dxf>
      <font>
        <color rgb="FFA2CC86"/>
      </font>
    </dxf>
    <dxf>
      <font>
        <color theme="0" tint="-0.34998626667073579"/>
      </font>
      <border>
        <top/>
        <vertical/>
        <horizontal/>
      </border>
    </dxf>
    <dxf>
      <font>
        <b/>
        <i val="0"/>
      </font>
      <border>
        <top style="thin">
          <color theme="0" tint="-0.14996795556505021"/>
        </top>
        <vertical/>
        <horizontal/>
      </border>
    </dxf>
    <dxf>
      <font>
        <color theme="0" tint="-0.34998626667073579"/>
      </font>
      <border>
        <top/>
        <vertical/>
        <horizontal/>
      </border>
    </dxf>
    <dxf>
      <font>
        <color rgb="FFA2CC86"/>
      </font>
    </dxf>
    <dxf>
      <font>
        <color rgb="FF006600"/>
      </font>
    </dxf>
    <dxf>
      <font>
        <color rgb="FF006600"/>
      </font>
    </dxf>
    <dxf>
      <font>
        <color rgb="FF006600"/>
      </font>
    </dxf>
    <dxf>
      <font>
        <color theme="0" tint="-0.24994659260841701"/>
      </font>
      <border>
        <top/>
        <vertical/>
        <horizontal/>
      </border>
    </dxf>
    <dxf>
      <border>
        <top style="thin">
          <color theme="0" tint="-0.499984740745262"/>
        </top>
        <vertical/>
        <horizontal/>
      </border>
    </dxf>
    <dxf>
      <font>
        <color theme="0" tint="-0.24994659260841701"/>
      </font>
      <border>
        <top/>
        <vertical/>
        <horizontal/>
      </border>
    </dxf>
    <dxf>
      <border>
        <top style="thin">
          <color theme="0" tint="-0.499984740745262"/>
        </top>
        <vertical/>
        <horizontal/>
      </border>
    </dxf>
    <dxf>
      <font>
        <color theme="0" tint="-0.24994659260841701"/>
      </font>
      <border>
        <top/>
        <vertical/>
        <horizontal/>
      </border>
    </dxf>
    <dxf>
      <font>
        <color theme="0" tint="-0.24994659260841701"/>
      </font>
    </dxf>
    <dxf>
      <font>
        <b/>
        <i val="0"/>
      </font>
      <border>
        <vertical/>
        <horizontal/>
      </border>
    </dxf>
    <dxf>
      <font>
        <color theme="0" tint="-0.24994659260841701"/>
      </font>
    </dxf>
    <dxf>
      <font>
        <b/>
        <i val="0"/>
      </font>
      <border>
        <vertical/>
        <horizontal/>
      </border>
    </dxf>
    <dxf>
      <border>
        <top style="thin">
          <color theme="0" tint="-0.24994659260841701"/>
        </top>
        <vertical/>
        <horizontal/>
      </border>
    </dxf>
    <dxf>
      <border>
        <top style="thin">
          <color auto="1"/>
        </top>
        <vertical/>
        <horizontal/>
      </border>
    </dxf>
    <dxf>
      <border>
        <top style="thin">
          <color theme="0" tint="-0.24994659260841701"/>
        </top>
        <vertical/>
        <horizontal/>
      </border>
    </dxf>
    <dxf>
      <font>
        <color rgb="FF006600"/>
      </font>
    </dxf>
    <dxf>
      <border>
        <top style="thin">
          <color theme="0" tint="-0.24994659260841701"/>
        </top>
        <vertical/>
        <horizontal/>
      </border>
    </dxf>
    <dxf>
      <border>
        <top style="thin">
          <color auto="1"/>
        </top>
        <vertical/>
        <horizontal/>
      </border>
    </dxf>
    <dxf>
      <font>
        <color theme="0" tint="-0.24994659260841701"/>
      </font>
      <border>
        <top/>
      </border>
    </dxf>
    <dxf>
      <font>
        <color theme="0" tint="-0.24994659260841701"/>
      </font>
    </dxf>
    <dxf>
      <font>
        <b/>
        <i val="0"/>
      </font>
      <border>
        <vertical/>
        <horizontal/>
      </border>
    </dxf>
    <dxf>
      <border>
        <top style="thin">
          <color theme="0" tint="-0.24994659260841701"/>
        </top>
        <vertical/>
        <horizontal/>
      </border>
    </dxf>
    <dxf>
      <font>
        <color rgb="FF006600"/>
      </font>
    </dxf>
    <dxf>
      <border>
        <top style="thin">
          <color theme="0" tint="-0.24994659260841701"/>
        </top>
        <vertical/>
        <horizontal/>
      </border>
    </dxf>
    <dxf>
      <font>
        <b/>
        <i val="0"/>
      </font>
    </dxf>
    <dxf>
      <border>
        <top style="thin">
          <color theme="0" tint="-0.24994659260841701"/>
        </top>
        <vertical/>
        <horizontal/>
      </border>
    </dxf>
    <dxf>
      <border>
        <top style="thin">
          <color auto="1"/>
        </top>
        <vertical/>
        <horizontal/>
      </border>
    </dxf>
    <dxf>
      <border>
        <top style="thin">
          <color theme="0" tint="-0.24994659260841701"/>
        </top>
        <vertical/>
        <horizontal/>
      </border>
    </dxf>
    <dxf>
      <border>
        <top style="thin">
          <color theme="0" tint="-0.24994659260841701"/>
        </top>
        <vertical/>
        <horizontal/>
      </border>
    </dxf>
    <dxf>
      <border>
        <top style="thin">
          <color theme="0" tint="-0.24994659260841701"/>
        </top>
        <vertical/>
        <horizontal/>
      </border>
    </dxf>
    <dxf>
      <border>
        <top style="thin">
          <color theme="0" tint="-0.24994659260841701"/>
        </top>
        <vertical/>
        <horizontal/>
      </border>
    </dxf>
    <dxf>
      <border>
        <top style="thin">
          <color theme="0" tint="-0.24994659260841701"/>
        </top>
        <vertical/>
        <horizontal/>
      </border>
    </dxf>
    <dxf>
      <border>
        <top style="thin">
          <color theme="0" tint="-0.24994659260841701"/>
        </top>
        <vertical/>
        <horizontal/>
      </border>
    </dxf>
    <dxf>
      <border>
        <top style="thin">
          <color theme="0" tint="-0.24994659260841701"/>
        </top>
        <vertical/>
        <horizontal/>
      </border>
    </dxf>
    <dxf>
      <border>
        <top style="thin">
          <color theme="0" tint="-0.24994659260841701"/>
        </top>
        <vertical/>
        <horizontal/>
      </border>
    </dxf>
    <dxf>
      <font>
        <color rgb="FF006600"/>
      </font>
    </dxf>
    <dxf>
      <border>
        <top style="thin">
          <color auto="1"/>
        </top>
        <vertical/>
        <horizontal/>
      </border>
    </dxf>
    <dxf>
      <border>
        <top style="thin">
          <color theme="0" tint="-0.24994659260841701"/>
        </top>
        <vertical/>
        <horizontal/>
      </border>
    </dxf>
    <dxf>
      <font>
        <color rgb="FF006600"/>
      </font>
    </dxf>
    <dxf>
      <border>
        <top style="thin">
          <color auto="1"/>
        </top>
        <vertical/>
        <horizontal/>
      </border>
    </dxf>
    <dxf>
      <font>
        <color rgb="FFC7E1B5"/>
      </font>
    </dxf>
    <dxf>
      <font>
        <b val="0"/>
        <i val="0"/>
        <color theme="0" tint="-0.24994659260841701"/>
      </font>
      <border>
        <top/>
        <vertical/>
        <horizontal/>
      </border>
    </dxf>
    <dxf>
      <font>
        <b val="0"/>
        <i val="0"/>
        <color theme="0" tint="-0.24994659260841701"/>
      </font>
      <border>
        <top/>
        <vertical/>
        <horizontal/>
      </border>
    </dxf>
    <dxf>
      <font>
        <color rgb="FFC7E1B5"/>
      </font>
    </dxf>
    <dxf>
      <border>
        <top style="thin">
          <color theme="0" tint="-0.24994659260841701"/>
        </top>
        <vertical/>
        <horizontal/>
      </border>
    </dxf>
    <dxf>
      <font>
        <color rgb="FF006600"/>
      </font>
    </dxf>
    <dxf>
      <font>
        <color rgb="FFC7E1B5"/>
      </font>
    </dxf>
    <dxf>
      <font>
        <b val="0"/>
        <i val="0"/>
        <color theme="0" tint="-0.24994659260841701"/>
      </font>
      <border>
        <top/>
        <vertical/>
        <horizontal/>
      </border>
    </dxf>
    <dxf>
      <border>
        <top style="thin">
          <color theme="0" tint="-0.24994659260841701"/>
        </top>
        <vertical/>
        <horizontal/>
      </border>
    </dxf>
    <dxf>
      <font>
        <color rgb="FF006600"/>
      </font>
    </dxf>
    <dxf>
      <font>
        <color theme="0" tint="-0.24994659260841701"/>
      </font>
      <border>
        <top/>
      </border>
    </dxf>
    <dxf>
      <border>
        <top style="thin">
          <color auto="1"/>
        </top>
        <vertical/>
        <horizontal/>
      </border>
    </dxf>
    <dxf>
      <font>
        <color rgb="FF006600"/>
      </font>
    </dxf>
    <dxf>
      <border>
        <top style="thin">
          <color theme="0" tint="-0.24994659260841701"/>
        </top>
        <vertical/>
        <horizontal/>
      </border>
    </dxf>
    <dxf>
      <font>
        <color theme="0" tint="-0.24994659260841701"/>
      </font>
      <border>
        <top/>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font>
        <b val="0"/>
        <i val="0"/>
        <strike val="0"/>
        <condense val="0"/>
        <extend val="0"/>
        <outline val="0"/>
        <shadow val="0"/>
        <u val="none"/>
        <vertAlign val="baseline"/>
        <sz val="8"/>
        <color rgb="FF000000"/>
        <name val="Arial"/>
        <family val="2"/>
        <scheme val="none"/>
      </font>
      <numFmt numFmtId="0" formatCode="General"/>
      <fill>
        <patternFill patternType="solid">
          <fgColor indexed="64"/>
          <bgColor rgb="FFF9F8F6"/>
        </patternFill>
      </fill>
      <alignment horizontal="general" vertical="top" textRotation="0" wrapText="1"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1"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left" vertical="top" textRotation="0" wrapText="1"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1"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left" vertical="top" textRotation="0" wrapText="1" indent="0" justifyLastLine="0" shrinkToFit="0" readingOrder="0"/>
      <border diagonalUp="0" diagonalDown="0" outlin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1" indent="0" justifyLastLine="0" shrinkToFit="0" readingOrder="0"/>
      <border diagonalUp="0" diagonalDown="0" outline="0">
        <left style="thin">
          <color theme="0"/>
        </left>
        <right style="thick">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rgb="FF000000"/>
        <name val="Arial"/>
        <family val="2"/>
        <scheme val="none"/>
      </font>
      <numFmt numFmtId="0" formatCode="General"/>
      <fill>
        <patternFill patternType="solid">
          <fgColor indexed="64"/>
          <bgColor rgb="FFFFFFFF"/>
        </patternFill>
      </fill>
      <alignment horizontal="left" vertical="top" textRotation="0" wrapText="1"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rgb="FFFFFFFF"/>
        <name val="Arial"/>
        <family val="2"/>
        <scheme val="none"/>
      </font>
      <numFmt numFmtId="0" formatCode="General"/>
      <fill>
        <patternFill patternType="solid">
          <fgColor indexed="64"/>
          <bgColor rgb="FF948671"/>
        </patternFill>
      </fill>
      <alignment horizontal="left" vertical="top" textRotation="0" wrapText="1" indent="0" justifyLastLine="0" shrinkToFit="0" readingOrder="0"/>
      <border outline="0">
        <left style="thin">
          <color theme="0"/>
        </left>
        <right style="thin">
          <color theme="0"/>
        </right>
      </border>
      <protection locked="1" hidden="0"/>
    </dxf>
    <dxf>
      <font>
        <strike val="0"/>
        <outline val="0"/>
        <shadow val="0"/>
        <u val="none"/>
        <vertAlign val="baseline"/>
        <sz val="8"/>
        <color rgb="FF000000"/>
        <name val="Arial"/>
        <family val="2"/>
        <scheme val="none"/>
      </font>
      <numFmt numFmtId="0" formatCode="General"/>
      <fill>
        <patternFill patternType="solid">
          <fgColor indexed="64"/>
          <bgColor rgb="FFFFFFFF"/>
        </patternFill>
      </fill>
      <alignment horizontal="center" vertical="top" textRotation="0" wrapText="1"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center" vertical="top" textRotation="0" wrapText="1" indent="0" justifyLastLine="0" shrinkToFit="0" readingOrder="0"/>
      <border diagonalUp="0" diagonalDown="0" outline="0">
        <left/>
        <right style="thin">
          <color theme="0"/>
        </right>
        <top/>
        <bottom/>
      </border>
      <protection locked="1" hidden="0"/>
    </dxf>
    <dxf>
      <border diagonalUp="0" diagonalDown="0">
        <left style="thin">
          <color rgb="FFFFFFFF"/>
        </left>
        <right style="thin">
          <color rgb="FFFFFFFF"/>
        </right>
        <top style="medium">
          <color rgb="FFFFFFFF"/>
        </top>
        <bottom style="medium">
          <color rgb="FFFFFFFF"/>
        </bottom>
      </border>
    </dxf>
    <dxf>
      <alignment vertical="top" textRotation="0" wrapText="1"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rgb="FFFFC222"/>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8"/>
        <color rgb="FF000000"/>
        <name val="Arial"/>
        <family val="2"/>
        <scheme val="none"/>
      </font>
      <numFmt numFmtId="169" formatCode="dd\-mm\-yyyy"/>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6" formatCode="mmm\ yyyy"/>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9" formatCode="d/mm/yyyy"/>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 formatCode="0"/>
      <fill>
        <patternFill patternType="solid">
          <fgColor indexed="64"/>
          <bgColor rgb="FFF9F8F6"/>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0"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8" formatCode="dd\-mmm\-yyyy"/>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 formatCode="0"/>
      <fill>
        <patternFill patternType="solid">
          <fgColor indexed="64"/>
          <bgColor rgb="FFF9F8F6"/>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6" formatCode="mmm\ yyyy"/>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1"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2" formatCode="0.00"/>
      <fill>
        <patternFill patternType="solid">
          <fgColor indexed="64"/>
          <bgColor rgb="FFF9F8F6"/>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35" formatCode="_-* #,##0.00_-;\-* #,##0.00_-;_-* &quot;-&quot;??_-;_-@_-"/>
      <fill>
        <patternFill patternType="solid">
          <fgColor indexed="64"/>
          <bgColor rgb="FFE7E3DC"/>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35" formatCode="_-* #,##0.00_-;\-* #,##0.00_-;_-* &quot;-&quot;??_-;_-@_-"/>
      <fill>
        <patternFill patternType="solid">
          <fgColor indexed="64"/>
          <bgColor rgb="FFF9F8F6"/>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35" formatCode="_-* #,##0.00_-;\-* #,##0.00_-;_-* &quot;-&quot;??_-;_-@_-"/>
      <fill>
        <patternFill patternType="solid">
          <fgColor indexed="64"/>
          <bgColor rgb="FFE7E3DC"/>
        </patternFill>
      </fill>
      <alignment horizontal="right" vertical="top" textRotation="0" wrapText="1"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35" formatCode="_-* #,##0.00_-;\-* #,##0.00_-;_-* &quot;-&quot;??_-;_-@_-"/>
      <fill>
        <patternFill patternType="solid">
          <fgColor indexed="64"/>
          <bgColor rgb="FFF9F8F6"/>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35" formatCode="_-* #,##0.00_-;\-* #,##0.00_-;_-* &quot;-&quot;??_-;_-@_-"/>
      <fill>
        <patternFill patternType="solid">
          <fgColor indexed="64"/>
          <bgColor rgb="FFE7E3DC"/>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 formatCode="0"/>
      <fill>
        <patternFill patternType="solid">
          <fgColor indexed="64"/>
          <bgColor rgb="FFF9F8F6"/>
        </patternFill>
      </fill>
      <alignment horizontal="general"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outline="0">
        <left/>
        <right style="thin">
          <color theme="0"/>
        </right>
        <top/>
        <bottom/>
      </border>
      <protection locked="1" hidden="0"/>
    </dxf>
    <dxf>
      <font>
        <b val="0"/>
        <i val="0"/>
        <strike val="0"/>
        <outline val="0"/>
        <shadow val="0"/>
        <u val="none"/>
        <vertAlign val="baseline"/>
        <sz val="8"/>
        <color rgb="FFFFFFFF"/>
        <name val="Arial"/>
        <family val="2"/>
        <scheme val="none"/>
      </font>
      <numFmt numFmtId="0" formatCode="General"/>
      <fill>
        <patternFill patternType="solid">
          <fgColor indexed="64"/>
          <bgColor rgb="FF948671"/>
        </patternFill>
      </fill>
      <alignment horizontal="left" vertical="top" textRotation="0" wrapText="1" indent="0" justifyLastLine="0" shrinkToFit="0" readingOrder="0"/>
      <border diagonalUp="0" diagonalDown="0" outline="0">
        <left/>
        <right/>
        <top/>
        <bottom style="thin">
          <color theme="0" tint="-0.24994659260841701"/>
        </bottom>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outline="0">
        <left style="thin">
          <color theme="0"/>
        </left>
        <right/>
        <top/>
        <bottom/>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general" vertical="top" textRotation="0" wrapText="0" indent="0" justifyLastLine="0" shrinkToFit="0" readingOrder="0"/>
      <border diagonalUp="0" diagonalDown="0">
        <left style="medium">
          <color rgb="FFFFFFFF"/>
        </left>
        <right style="thin">
          <color rgb="FFFFFFFF"/>
        </right>
        <top/>
        <bottom/>
        <vertical/>
        <horizontal/>
      </border>
      <protection locked="1" hidden="0"/>
    </dxf>
    <dxf>
      <border diagonalUp="0" diagonalDown="0">
        <left style="thin">
          <color rgb="FFFFFFFF"/>
        </left>
        <right style="thin">
          <color rgb="FFFFFFFF"/>
        </right>
        <top/>
        <bottom/>
      </border>
    </dxf>
    <dxf>
      <font>
        <b/>
        <i val="0"/>
        <strike val="0"/>
        <condense val="0"/>
        <extend val="0"/>
        <outline val="0"/>
        <shadow val="0"/>
        <u val="none"/>
        <vertAlign val="baseline"/>
        <sz val="8"/>
        <color auto="1"/>
        <name val="Arial"/>
        <family val="2"/>
        <scheme val="none"/>
      </font>
      <fill>
        <patternFill patternType="solid">
          <fgColor indexed="64"/>
          <bgColor rgb="FFFFC222"/>
        </patternFill>
      </fill>
      <alignment horizontal="center" vertical="top" textRotation="0" wrapText="1" indent="0" justifyLastLine="0" shrinkToFit="0" readingOrder="0"/>
      <border diagonalUp="0" diagonalDown="0">
        <left style="thin">
          <color theme="0"/>
        </left>
        <right style="thin">
          <color theme="0"/>
        </right>
        <top/>
        <bottom/>
        <vertical style="thin">
          <color theme="0"/>
        </vertical>
      </border>
      <protection locked="1" hidden="0"/>
    </dxf>
    <dxf>
      <font>
        <b val="0"/>
        <strike val="0"/>
        <outline val="0"/>
        <shadow val="0"/>
        <u val="none"/>
        <vertAlign val="baseline"/>
        <sz val="8"/>
        <color rgb="FF000000"/>
        <name val="Arial"/>
        <family val="2"/>
        <scheme val="none"/>
      </font>
      <numFmt numFmtId="19" formatCode="d/mm/yyyy"/>
      <fill>
        <patternFill patternType="solid">
          <fgColor indexed="64"/>
          <bgColor rgb="FFE7E3DC"/>
        </patternFill>
      </fill>
      <alignment horizontal="left" vertical="bottom" textRotation="0" wrapText="0"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bottom"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bottom"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bottom" textRotation="0" wrapText="1" indent="0" justifyLastLine="0" shrinkToFit="0" readingOrder="0"/>
      <protection locked="1" hidden="0"/>
    </dxf>
    <dxf>
      <font>
        <b/>
        <strike val="0"/>
        <outline val="0"/>
        <shadow val="0"/>
        <u val="none"/>
        <vertAlign val="baseline"/>
        <sz val="8"/>
        <color rgb="FFA2CC86"/>
        <name val="Arial Narrow"/>
        <family val="2"/>
        <scheme val="none"/>
      </font>
      <numFmt numFmtId="0" formatCode="General"/>
      <fill>
        <patternFill patternType="solid">
          <fgColor rgb="FF000000"/>
          <bgColor rgb="FF948671"/>
        </patternFill>
      </fill>
      <alignment horizontal="general" vertical="bottom"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general" vertical="bottom"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left" vertical="bottom" textRotation="0" wrapText="0" indent="0" justifyLastLine="0" shrinkToFit="0" readingOrder="0"/>
      <protection locked="1" hidden="0"/>
    </dxf>
    <dxf>
      <font>
        <b val="0"/>
        <strike val="0"/>
        <outline val="0"/>
        <shadow val="0"/>
        <u val="none"/>
        <vertAlign val="baseline"/>
        <sz val="8"/>
        <color rgb="FF000000"/>
        <name val="Arial"/>
        <family val="2"/>
        <scheme val="none"/>
      </font>
      <numFmt numFmtId="167" formatCode="dd/mm/yyyy"/>
      <fill>
        <patternFill patternType="solid">
          <fgColor indexed="64"/>
          <bgColor rgb="FFE7E3DC"/>
        </patternFill>
      </fill>
      <alignment horizontal="left" vertical="bottom" textRotation="0" wrapText="0" indent="0" justifyLastLine="0" shrinkToFit="0" readingOrder="0"/>
      <protection locked="1" hidden="0"/>
    </dxf>
    <dxf>
      <border diagonalUp="0" diagonalDown="0">
        <left style="medium">
          <color rgb="FFFFFFFF"/>
        </left>
        <right style="medium">
          <color rgb="FFFFFFFF"/>
        </right>
        <top style="medium">
          <color rgb="FFFFFFFF"/>
        </top>
        <bottom style="medium">
          <color rgb="FFFFFFFF"/>
        </bottom>
      </border>
    </dxf>
    <dxf>
      <font>
        <b val="0"/>
        <strike val="0"/>
        <outline val="0"/>
        <shadow val="0"/>
        <u val="none"/>
        <vertAlign val="baseline"/>
        <sz val="8"/>
        <color rgb="FF000000"/>
        <name val="Arial"/>
        <family val="2"/>
        <scheme val="none"/>
      </font>
      <fill>
        <patternFill patternType="solid">
          <fgColor rgb="FF000000"/>
          <bgColor rgb="FFF9F8F6"/>
        </patternFill>
      </fill>
      <alignment horizontal="left" vertical="bottom" textRotation="0" wrapText="1" indent="0" justifyLastLine="0" shrinkToFit="0" readingOrder="0"/>
      <protection locked="1" hidden="0"/>
    </dxf>
    <dxf>
      <border>
        <bottom style="medium">
          <color rgb="FFFFFFFF"/>
        </bottom>
      </border>
    </dxf>
    <dxf>
      <font>
        <b/>
        <strike val="0"/>
        <outline val="0"/>
        <shadow val="0"/>
        <u val="none"/>
        <vertAlign val="baseline"/>
        <sz val="9"/>
        <color theme="1"/>
        <name val="Arial"/>
        <family val="2"/>
        <scheme val="none"/>
      </font>
      <fill>
        <patternFill patternType="solid">
          <fgColor indexed="64"/>
          <bgColor rgb="FFFFC222"/>
        </patternFill>
      </fill>
      <alignment horizontal="center" vertical="center" textRotation="0" wrapText="1" indent="0" justifyLastLine="0" shrinkToFit="0" readingOrder="0"/>
      <border diagonalUp="0" diagonalDown="0" outline="0">
        <left style="thin">
          <color theme="0"/>
        </left>
        <right style="thin">
          <color theme="0"/>
        </right>
      </border>
      <protection locked="1" hidden="0"/>
    </dxf>
    <dxf>
      <font>
        <color theme="0"/>
      </font>
    </dxf>
    <dxf>
      <border diagonalUp="0" diagonalDown="0">
        <left/>
        <right/>
        <top/>
        <bottom/>
        <vertical/>
        <horizontal/>
      </border>
    </dxf>
    <dxf>
      <font>
        <b/>
        <i val="0"/>
      </font>
      <fill>
        <patternFill>
          <bgColor rgb="FFFFC000"/>
        </patternFill>
      </fill>
    </dxf>
    <dxf>
      <border>
        <left style="thin">
          <color theme="0"/>
        </left>
        <right style="thin">
          <color theme="0"/>
        </right>
        <top style="thin">
          <color theme="0"/>
        </top>
        <bottom style="thin">
          <color theme="0"/>
        </bottom>
      </border>
    </dxf>
  </dxfs>
  <tableStyles count="2" defaultTableStyle="TableStyleMedium2" defaultPivotStyle="PivotStyleLight16">
    <tableStyle name="GenInfo" pivot="0" count="2" xr9:uid="{3A55FAED-DB83-4979-A1BB-107EF5DC1053}">
      <tableStyleElement type="wholeTable" dxfId="282"/>
      <tableStyleElement type="headerRow" dxfId="281"/>
    </tableStyle>
    <tableStyle name="ReportNote" pivot="0" count="2" xr9:uid="{BFEE8439-B524-418A-8FDA-700D9052D6A1}">
      <tableStyleElement type="wholeTable" dxfId="280"/>
      <tableStyleElement type="headerRow" dxfId="279"/>
    </tableStyle>
  </tableStyles>
  <colors>
    <mruColors>
      <color rgb="FFFFFFFF"/>
      <color rgb="FFF9F8F6"/>
      <color rgb="FFE7E3DC"/>
      <color rgb="FF00FF00"/>
      <color rgb="FF00FFFF"/>
      <color rgb="FFFFFFCC"/>
      <color rgb="FF0000FF"/>
      <color rgb="FFFF00FF"/>
      <color rgb="FFF47321"/>
      <color rgb="FFFFD1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48529283030843"/>
          <c:y val="5.2480518028168506E-2"/>
          <c:w val="0.68346807069132043"/>
          <c:h val="0.79102319706047119"/>
        </c:manualLayout>
      </c:layout>
      <c:barChart>
        <c:barDir val="col"/>
        <c:grouping val="stacked"/>
        <c:varyColors val="0"/>
        <c:ser>
          <c:idx val="1"/>
          <c:order val="0"/>
          <c:tx>
            <c:strRef>
              <c:f>Summary!$C$42</c:f>
              <c:strCache>
                <c:ptCount val="1"/>
                <c:pt idx="0">
                  <c:v>Existing less Announced Withdrawal</c:v>
                </c:pt>
              </c:strCache>
            </c:strRef>
          </c:tx>
          <c:spPr>
            <a:solidFill>
              <a:srgbClr val="ED7D31"/>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Summary!$D$42:$M$42</c:f>
              <c:numCache>
                <c:formatCode>_-* #,##0_-;\-* #,##0_-;_-* "-"??_-;_-@_-</c:formatCode>
                <c:ptCount val="10"/>
                <c:pt idx="0">
                  <c:v>15245</c:v>
                </c:pt>
                <c:pt idx="1">
                  <c:v>2677.9</c:v>
                </c:pt>
                <c:pt idx="2">
                  <c:v>7869.96</c:v>
                </c:pt>
                <c:pt idx="3">
                  <c:v>1108.47</c:v>
                </c:pt>
                <c:pt idx="4">
                  <c:v>11631.469999999998</c:v>
                </c:pt>
                <c:pt idx="5">
                  <c:v>14015.890000000005</c:v>
                </c:pt>
                <c:pt idx="6">
                  <c:v>8026.6400000000012</c:v>
                </c:pt>
                <c:pt idx="7">
                  <c:v>399.89000000000016</c:v>
                </c:pt>
                <c:pt idx="8">
                  <c:v>4374.3199999999988</c:v>
                </c:pt>
                <c:pt idx="9">
                  <c:v>152.22</c:v>
                </c:pt>
              </c:numCache>
            </c:numRef>
          </c:val>
          <c:extLst>
            <c:ext xmlns:c16="http://schemas.microsoft.com/office/drawing/2014/chart" uri="{C3380CC4-5D6E-409C-BE32-E72D297353CC}">
              <c16:uniqueId val="{00000000-6D54-4F90-9959-313001AEE30B}"/>
            </c:ext>
          </c:extLst>
        </c:ser>
        <c:ser>
          <c:idx val="0"/>
          <c:order val="1"/>
          <c:tx>
            <c:strRef>
              <c:f>Summary!$C$41</c:f>
              <c:strCache>
                <c:ptCount val="1"/>
                <c:pt idx="0">
                  <c:v>Announced Withdrawal</c:v>
                </c:pt>
              </c:strCache>
            </c:strRef>
          </c:tx>
          <c:spPr>
            <a:solidFill>
              <a:srgbClr val="FFD966"/>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Summary!$D$41:$M$41</c:f>
              <c:numCache>
                <c:formatCode>_-* #,##0_-;\-* #,##0_-;_-* "-"??_-;_-@_-</c:formatCode>
                <c:ptCount val="10"/>
                <c:pt idx="0">
                  <c:v>6010</c:v>
                </c:pt>
                <c:pt idx="1">
                  <c:v>180</c:v>
                </c:pt>
                <c:pt idx="2">
                  <c:v>157.5</c:v>
                </c:pt>
                <c:pt idx="3">
                  <c:v>800</c:v>
                </c:pt>
                <c:pt idx="4">
                  <c:v>0</c:v>
                </c:pt>
                <c:pt idx="5">
                  <c:v>0</c:v>
                </c:pt>
                <c:pt idx="6">
                  <c:v>0</c:v>
                </c:pt>
                <c:pt idx="7">
                  <c:v>0</c:v>
                </c:pt>
                <c:pt idx="8">
                  <c:v>0</c:v>
                </c:pt>
                <c:pt idx="9">
                  <c:v>0</c:v>
                </c:pt>
              </c:numCache>
            </c:numRef>
          </c:val>
          <c:extLst>
            <c:ext xmlns:c16="http://schemas.microsoft.com/office/drawing/2014/chart" uri="{C3380CC4-5D6E-409C-BE32-E72D297353CC}">
              <c16:uniqueId val="{00000001-6D54-4F90-9959-313001AEE30B}"/>
            </c:ext>
          </c:extLst>
        </c:ser>
        <c:ser>
          <c:idx val="2"/>
          <c:order val="2"/>
          <c:tx>
            <c:strRef>
              <c:f>Summary!$C$44</c:f>
              <c:strCache>
                <c:ptCount val="1"/>
                <c:pt idx="0">
                  <c:v>Committed</c:v>
                </c:pt>
              </c:strCache>
            </c:strRef>
          </c:tx>
          <c:spPr>
            <a:solidFill>
              <a:srgbClr val="0070C0">
                <a:alpha val="50000"/>
              </a:srgbClr>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Summary!$D$44:$M$44</c:f>
              <c:numCache>
                <c:formatCode>_-* #,##0_-;\-* #,##0_-;_-* "-"??_-;_-@_-</c:formatCode>
                <c:ptCount val="10"/>
                <c:pt idx="0">
                  <c:v>0</c:v>
                </c:pt>
                <c:pt idx="1">
                  <c:v>0</c:v>
                </c:pt>
                <c:pt idx="2">
                  <c:v>0</c:v>
                </c:pt>
                <c:pt idx="3">
                  <c:v>0</c:v>
                </c:pt>
                <c:pt idx="4">
                  <c:v>1963.4399999999998</c:v>
                </c:pt>
                <c:pt idx="5">
                  <c:v>1508.27</c:v>
                </c:pt>
                <c:pt idx="6">
                  <c:v>2450</c:v>
                </c:pt>
                <c:pt idx="7">
                  <c:v>0</c:v>
                </c:pt>
                <c:pt idx="8">
                  <c:v>6435.2100000000009</c:v>
                </c:pt>
                <c:pt idx="9">
                  <c:v>0</c:v>
                </c:pt>
              </c:numCache>
            </c:numRef>
          </c:val>
          <c:extLst>
            <c:ext xmlns:c16="http://schemas.microsoft.com/office/drawing/2014/chart" uri="{C3380CC4-5D6E-409C-BE32-E72D297353CC}">
              <c16:uniqueId val="{00000002-6D54-4F90-9959-313001AEE30B}"/>
            </c:ext>
          </c:extLst>
        </c:ser>
        <c:ser>
          <c:idx val="6"/>
          <c:order val="3"/>
          <c:tx>
            <c:strRef>
              <c:f>Summary!$C$45</c:f>
              <c:strCache>
                <c:ptCount val="1"/>
                <c:pt idx="0">
                  <c:v>Anticipated</c:v>
                </c:pt>
              </c:strCache>
            </c:strRef>
          </c:tx>
          <c:spPr>
            <a:solidFill>
              <a:srgbClr val="7030A0"/>
            </a:solidFill>
            <a:ln>
              <a:noFill/>
            </a:ln>
            <a:effectLst/>
          </c:spPr>
          <c:invertIfNegative val="0"/>
          <c:val>
            <c:numRef>
              <c:f>Summary!$D$45:$M$45</c:f>
              <c:numCache>
                <c:formatCode>_-* #,##0_-;\-* #,##0_-;_-* "-"??_-;_-@_-</c:formatCode>
                <c:ptCount val="10"/>
                <c:pt idx="0">
                  <c:v>0</c:v>
                </c:pt>
                <c:pt idx="1">
                  <c:v>0</c:v>
                </c:pt>
                <c:pt idx="2">
                  <c:v>117</c:v>
                </c:pt>
                <c:pt idx="3">
                  <c:v>0</c:v>
                </c:pt>
                <c:pt idx="4">
                  <c:v>4049.2600000000007</c:v>
                </c:pt>
                <c:pt idx="5">
                  <c:v>2550.31</c:v>
                </c:pt>
                <c:pt idx="6">
                  <c:v>1998</c:v>
                </c:pt>
                <c:pt idx="7">
                  <c:v>0</c:v>
                </c:pt>
                <c:pt idx="8">
                  <c:v>6128.9</c:v>
                </c:pt>
                <c:pt idx="9">
                  <c:v>0</c:v>
                </c:pt>
              </c:numCache>
            </c:numRef>
          </c:val>
          <c:extLst>
            <c:ext xmlns:c16="http://schemas.microsoft.com/office/drawing/2014/chart" uri="{C3380CC4-5D6E-409C-BE32-E72D297353CC}">
              <c16:uniqueId val="{00000003-6D54-4F90-9959-313001AEE30B}"/>
            </c:ext>
          </c:extLst>
        </c:ser>
        <c:ser>
          <c:idx val="3"/>
          <c:order val="4"/>
          <c:tx>
            <c:strRef>
              <c:f>Summary!$C$46</c:f>
              <c:strCache>
                <c:ptCount val="1"/>
                <c:pt idx="0">
                  <c:v>Proposed</c:v>
                </c:pt>
              </c:strCache>
            </c:strRef>
          </c:tx>
          <c:spPr>
            <a:solidFill>
              <a:schemeClr val="accent1">
                <a:lumMod val="60000"/>
                <a:lumOff val="40000"/>
                <a:alpha val="50000"/>
              </a:schemeClr>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Summary!$D$46:$M$46</c:f>
              <c:numCache>
                <c:formatCode>_-* #,##0_-;\-* #,##0_-;_-* "-"??_-;_-@_-</c:formatCode>
                <c:ptCount val="10"/>
                <c:pt idx="0">
                  <c:v>0</c:v>
                </c:pt>
                <c:pt idx="1">
                  <c:v>207</c:v>
                </c:pt>
                <c:pt idx="2">
                  <c:v>4387.99</c:v>
                </c:pt>
                <c:pt idx="3">
                  <c:v>1652.97</c:v>
                </c:pt>
                <c:pt idx="4">
                  <c:v>55018.26</c:v>
                </c:pt>
                <c:pt idx="5">
                  <c:v>120534.74999999999</c:v>
                </c:pt>
                <c:pt idx="6">
                  <c:v>14078</c:v>
                </c:pt>
                <c:pt idx="7">
                  <c:v>183</c:v>
                </c:pt>
                <c:pt idx="8">
                  <c:v>119856.89999999998</c:v>
                </c:pt>
                <c:pt idx="9">
                  <c:v>5679</c:v>
                </c:pt>
              </c:numCache>
            </c:numRef>
          </c:val>
          <c:extLst>
            <c:ext xmlns:c16="http://schemas.microsoft.com/office/drawing/2014/chart" uri="{C3380CC4-5D6E-409C-BE32-E72D297353CC}">
              <c16:uniqueId val="{00000004-6D54-4F90-9959-313001AEE30B}"/>
            </c:ext>
          </c:extLst>
        </c:ser>
        <c:ser>
          <c:idx val="5"/>
          <c:order val="5"/>
          <c:tx>
            <c:strRef>
              <c:f>Summary!$C$43</c:f>
              <c:strCache>
                <c:ptCount val="1"/>
                <c:pt idx="0">
                  <c:v>Upgrade / Expansion</c:v>
                </c:pt>
              </c:strCache>
            </c:strRef>
          </c:tx>
          <c:spPr>
            <a:solidFill>
              <a:schemeClr val="accent6">
                <a:lumMod val="75000"/>
                <a:alpha val="50000"/>
              </a:schemeClr>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Summary!$D$43:$M$43</c:f>
              <c:numCache>
                <c:formatCode>_-* #,##0_-;\-* #,##0_-;_-* "-"??_-;_-@_-</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5-6D54-4F90-9959-313001AEE30B}"/>
            </c:ext>
          </c:extLst>
        </c:ser>
        <c:ser>
          <c:idx val="4"/>
          <c:order val="6"/>
          <c:tx>
            <c:strRef>
              <c:f>Summary!$C$47</c:f>
              <c:strCache>
                <c:ptCount val="1"/>
                <c:pt idx="0">
                  <c:v>Withdrawn</c:v>
                </c:pt>
              </c:strCache>
            </c:strRef>
          </c:tx>
          <c:spPr>
            <a:solidFill>
              <a:srgbClr val="C00000">
                <a:alpha val="50000"/>
              </a:srgbClr>
            </a:solidFill>
            <a:ln w="3175">
              <a:noFill/>
            </a:ln>
            <a:effectLst/>
          </c:spPr>
          <c:invertIfNegative val="0"/>
          <c:val>
            <c:numRef>
              <c:f>Summary!$D$47:$M$47</c:f>
              <c:numCache>
                <c:formatCode>_-* #,##0_-;\-* #,##0_-;_-* "-"??_-;_-@_-</c:formatCode>
                <c:ptCount val="10"/>
                <c:pt idx="0">
                  <c:v>0</c:v>
                </c:pt>
                <c:pt idx="1">
                  <c:v>0</c:v>
                </c:pt>
                <c:pt idx="2">
                  <c:v>0</c:v>
                </c:pt>
                <c:pt idx="3">
                  <c:v>36</c:v>
                </c:pt>
                <c:pt idx="4">
                  <c:v>0</c:v>
                </c:pt>
                <c:pt idx="5">
                  <c:v>0</c:v>
                </c:pt>
                <c:pt idx="6">
                  <c:v>0</c:v>
                </c:pt>
                <c:pt idx="7">
                  <c:v>12</c:v>
                </c:pt>
                <c:pt idx="8">
                  <c:v>0</c:v>
                </c:pt>
                <c:pt idx="9">
                  <c:v>0</c:v>
                </c:pt>
              </c:numCache>
            </c:numRef>
          </c:val>
          <c:extLst>
            <c:ext xmlns:c16="http://schemas.microsoft.com/office/drawing/2014/chart" uri="{C3380CC4-5D6E-409C-BE32-E72D297353CC}">
              <c16:uniqueId val="{00000006-6D54-4F90-9959-313001AEE30B}"/>
            </c:ext>
          </c:extLst>
        </c:ser>
        <c:dLbls>
          <c:showLegendKey val="0"/>
          <c:showVal val="0"/>
          <c:showCatName val="0"/>
          <c:showSerName val="0"/>
          <c:showPercent val="0"/>
          <c:showBubbleSize val="0"/>
        </c:dLbls>
        <c:gapWidth val="150"/>
        <c:overlap val="100"/>
        <c:axId val="1023113008"/>
        <c:axId val="1023113336"/>
      </c:barChart>
      <c:catAx>
        <c:axId val="1023113008"/>
        <c:scaling>
          <c:orientation val="minMax"/>
        </c:scaling>
        <c:delete val="0"/>
        <c:axPos val="b"/>
        <c:majorGridlines>
          <c:spPr>
            <a:ln w="15875" cap="flat" cmpd="sng" algn="ctr">
              <a:solidFill>
                <a:schemeClr val="bg1"/>
              </a:solidFill>
              <a:round/>
            </a:ln>
            <a:effectLst/>
          </c:spPr>
        </c:majorGridlines>
        <c:minorGridlines>
          <c:spPr>
            <a:ln w="9525" cap="flat" cmpd="sng" algn="ctr">
              <a:noFill/>
              <a:round/>
            </a:ln>
            <a:effectLst/>
          </c:spPr>
        </c:min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AU" sz="900" b="1"/>
                  <a:t>Fuel-Technology category</a:t>
                </a:r>
              </a:p>
            </c:rich>
          </c:tx>
          <c:layout>
            <c:manualLayout>
              <c:xMode val="edge"/>
              <c:yMode val="edge"/>
              <c:x val="0.51614127818797739"/>
              <c:y val="0.92372245967303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12700" cap="flat" cmpd="sng" algn="ctr">
            <a:solidFill>
              <a:srgbClr val="F9F8F6"/>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3113336"/>
        <c:crosses val="autoZero"/>
        <c:auto val="1"/>
        <c:lblAlgn val="ctr"/>
        <c:lblOffset val="100"/>
        <c:noMultiLvlLbl val="0"/>
      </c:catAx>
      <c:valAx>
        <c:axId val="1023113336"/>
        <c:scaling>
          <c:orientation val="minMax"/>
        </c:scaling>
        <c:delete val="0"/>
        <c:axPos val="l"/>
        <c:minorGridlines>
          <c:spPr>
            <a:ln w="9525" cap="flat" cmpd="sng" algn="ctr">
              <a:solidFill>
                <a:schemeClr val="bg1"/>
              </a:solidFill>
              <a:round/>
            </a:ln>
            <a:effectLst/>
          </c:spPr>
        </c:min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AU" sz="900" b="1"/>
                  <a:t>Generation capacity (MW)</a:t>
                </a:r>
              </a:p>
            </c:rich>
          </c:tx>
          <c:layout>
            <c:manualLayout>
              <c:xMode val="edge"/>
              <c:yMode val="edge"/>
              <c:x val="0.1458207715645774"/>
              <c:y val="0.253823551631624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3113008"/>
        <c:crosses val="autoZero"/>
        <c:crossBetween val="between"/>
      </c:valAx>
      <c:spPr>
        <a:solidFill>
          <a:schemeClr val="bg1">
            <a:lumMod val="95000"/>
          </a:schemeClr>
        </a:solidFill>
        <a:ln>
          <a:noFill/>
        </a:ln>
        <a:effectLst/>
      </c:spPr>
    </c:plotArea>
    <c:legend>
      <c:legendPos val="r"/>
      <c:layout>
        <c:manualLayout>
          <c:xMode val="edge"/>
          <c:yMode val="edge"/>
          <c:x val="1.5836104380850188E-2"/>
          <c:y val="0.13057005043402187"/>
          <c:w val="0.11532372308971846"/>
          <c:h val="0.67043696311855883"/>
        </c:manualLayout>
      </c:layout>
      <c:overlay val="1"/>
      <c:spPr>
        <a:noFill/>
        <a:ln w="3175">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1</xdr:colOff>
      <xdr:row>15</xdr:row>
      <xdr:rowOff>0</xdr:rowOff>
    </xdr:from>
    <xdr:to>
      <xdr:col>13</xdr:col>
      <xdr:colOff>582083</xdr:colOff>
      <xdr:row>35</xdr:row>
      <xdr:rowOff>61913</xdr:rowOff>
    </xdr:to>
    <xdr:graphicFrame macro="">
      <xdr:nvGraphicFramePr>
        <xdr:cNvPr id="2" name="Chart 1">
          <a:extLst>
            <a:ext uri="{FF2B5EF4-FFF2-40B4-BE49-F238E27FC236}">
              <a16:creationId xmlns:a16="http://schemas.microsoft.com/office/drawing/2014/main" id="{487D4D4F-AC5F-4ACB-8E39-48B9DA5DF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235184</xdr:colOff>
      <xdr:row>76</xdr:row>
      <xdr:rowOff>17639</xdr:rowOff>
    </xdr:from>
    <xdr:to>
      <xdr:col>3</xdr:col>
      <xdr:colOff>365359</xdr:colOff>
      <xdr:row>76</xdr:row>
      <xdr:rowOff>147814</xdr:rowOff>
    </xdr:to>
    <xdr:sp macro="" textlink="">
      <xdr:nvSpPr>
        <xdr:cNvPr id="5" name="Oval 4">
          <a:extLst>
            <a:ext uri="{FF2B5EF4-FFF2-40B4-BE49-F238E27FC236}">
              <a16:creationId xmlns:a16="http://schemas.microsoft.com/office/drawing/2014/main" id="{1D2926ED-3DD5-4E25-AA95-F873538960AE}"/>
            </a:ext>
          </a:extLst>
        </xdr:cNvPr>
        <xdr:cNvSpPr/>
      </xdr:nvSpPr>
      <xdr:spPr>
        <a:xfrm>
          <a:off x="2786943" y="10060046"/>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254403</xdr:colOff>
      <xdr:row>76</xdr:row>
      <xdr:rowOff>17639</xdr:rowOff>
    </xdr:from>
    <xdr:to>
      <xdr:col>4</xdr:col>
      <xdr:colOff>382999</xdr:colOff>
      <xdr:row>76</xdr:row>
      <xdr:rowOff>147814</xdr:rowOff>
    </xdr:to>
    <xdr:sp macro="" textlink="">
      <xdr:nvSpPr>
        <xdr:cNvPr id="6" name="Oval 5">
          <a:extLst>
            <a:ext uri="{FF2B5EF4-FFF2-40B4-BE49-F238E27FC236}">
              <a16:creationId xmlns:a16="http://schemas.microsoft.com/office/drawing/2014/main" id="{4F5496DB-4E08-4A13-BFAF-36D6CDF23F69}"/>
            </a:ext>
          </a:extLst>
        </xdr:cNvPr>
        <xdr:cNvSpPr/>
      </xdr:nvSpPr>
      <xdr:spPr>
        <a:xfrm>
          <a:off x="3358847" y="10060046"/>
          <a:ext cx="128596"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223426</xdr:colOff>
      <xdr:row>76</xdr:row>
      <xdr:rowOff>41158</xdr:rowOff>
    </xdr:from>
    <xdr:to>
      <xdr:col>5</xdr:col>
      <xdr:colOff>353601</xdr:colOff>
      <xdr:row>76</xdr:row>
      <xdr:rowOff>171333</xdr:rowOff>
    </xdr:to>
    <xdr:sp macro="" textlink="">
      <xdr:nvSpPr>
        <xdr:cNvPr id="7" name="Oval 6">
          <a:extLst>
            <a:ext uri="{FF2B5EF4-FFF2-40B4-BE49-F238E27FC236}">
              <a16:creationId xmlns:a16="http://schemas.microsoft.com/office/drawing/2014/main" id="{AC487A7F-28CF-4949-8BB7-E0C1B3D33255}"/>
            </a:ext>
          </a:extLst>
        </xdr:cNvPr>
        <xdr:cNvSpPr/>
      </xdr:nvSpPr>
      <xdr:spPr>
        <a:xfrm>
          <a:off x="3880556" y="10083565"/>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229302</xdr:colOff>
      <xdr:row>77</xdr:row>
      <xdr:rowOff>17640</xdr:rowOff>
    </xdr:from>
    <xdr:to>
      <xdr:col>3</xdr:col>
      <xdr:colOff>359477</xdr:colOff>
      <xdr:row>77</xdr:row>
      <xdr:rowOff>147815</xdr:rowOff>
    </xdr:to>
    <xdr:sp macro="" textlink="">
      <xdr:nvSpPr>
        <xdr:cNvPr id="13" name="Oval 12">
          <a:extLst>
            <a:ext uri="{FF2B5EF4-FFF2-40B4-BE49-F238E27FC236}">
              <a16:creationId xmlns:a16="http://schemas.microsoft.com/office/drawing/2014/main" id="{F13F9EE0-7620-4B6B-AD8C-4A033382F306}"/>
            </a:ext>
          </a:extLst>
        </xdr:cNvPr>
        <xdr:cNvSpPr/>
      </xdr:nvSpPr>
      <xdr:spPr>
        <a:xfrm>
          <a:off x="2781061" y="10242316"/>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242643</xdr:colOff>
      <xdr:row>77</xdr:row>
      <xdr:rowOff>23519</xdr:rowOff>
    </xdr:from>
    <xdr:to>
      <xdr:col>4</xdr:col>
      <xdr:colOff>377589</xdr:colOff>
      <xdr:row>77</xdr:row>
      <xdr:rowOff>160044</xdr:rowOff>
    </xdr:to>
    <xdr:sp macro="" textlink="">
      <xdr:nvSpPr>
        <xdr:cNvPr id="14" name="Oval 13">
          <a:extLst>
            <a:ext uri="{FF2B5EF4-FFF2-40B4-BE49-F238E27FC236}">
              <a16:creationId xmlns:a16="http://schemas.microsoft.com/office/drawing/2014/main" id="{7E8FBF47-0E23-48F2-A564-C985D819EFE2}"/>
            </a:ext>
          </a:extLst>
        </xdr:cNvPr>
        <xdr:cNvSpPr/>
      </xdr:nvSpPr>
      <xdr:spPr>
        <a:xfrm>
          <a:off x="3347087" y="10248195"/>
          <a:ext cx="134946"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211667</xdr:colOff>
      <xdr:row>77</xdr:row>
      <xdr:rowOff>29398</xdr:rowOff>
    </xdr:from>
    <xdr:to>
      <xdr:col>5</xdr:col>
      <xdr:colOff>341842</xdr:colOff>
      <xdr:row>77</xdr:row>
      <xdr:rowOff>159573</xdr:rowOff>
    </xdr:to>
    <xdr:sp macro="" textlink="">
      <xdr:nvSpPr>
        <xdr:cNvPr id="15" name="Oval 14">
          <a:extLst>
            <a:ext uri="{FF2B5EF4-FFF2-40B4-BE49-F238E27FC236}">
              <a16:creationId xmlns:a16="http://schemas.microsoft.com/office/drawing/2014/main" id="{1E057E75-8E9E-4366-BBB9-83241051276E}"/>
            </a:ext>
          </a:extLst>
        </xdr:cNvPr>
        <xdr:cNvSpPr/>
      </xdr:nvSpPr>
      <xdr:spPr>
        <a:xfrm>
          <a:off x="3868797" y="10254074"/>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229306</xdr:colOff>
      <xdr:row>78</xdr:row>
      <xdr:rowOff>0</xdr:rowOff>
    </xdr:from>
    <xdr:to>
      <xdr:col>3</xdr:col>
      <xdr:colOff>359481</xdr:colOff>
      <xdr:row>78</xdr:row>
      <xdr:rowOff>130175</xdr:rowOff>
    </xdr:to>
    <xdr:sp macro="" textlink="">
      <xdr:nvSpPr>
        <xdr:cNvPr id="21" name="Oval 20">
          <a:extLst>
            <a:ext uri="{FF2B5EF4-FFF2-40B4-BE49-F238E27FC236}">
              <a16:creationId xmlns:a16="http://schemas.microsoft.com/office/drawing/2014/main" id="{C483FA99-F778-4F04-97AA-9C1A2605AC48}"/>
            </a:ext>
          </a:extLst>
        </xdr:cNvPr>
        <xdr:cNvSpPr/>
      </xdr:nvSpPr>
      <xdr:spPr>
        <a:xfrm>
          <a:off x="2781065" y="10406944"/>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248524</xdr:colOff>
      <xdr:row>78</xdr:row>
      <xdr:rowOff>17639</xdr:rowOff>
    </xdr:from>
    <xdr:to>
      <xdr:col>4</xdr:col>
      <xdr:colOff>377120</xdr:colOff>
      <xdr:row>78</xdr:row>
      <xdr:rowOff>147814</xdr:rowOff>
    </xdr:to>
    <xdr:sp macro="" textlink="">
      <xdr:nvSpPr>
        <xdr:cNvPr id="22" name="Oval 21">
          <a:extLst>
            <a:ext uri="{FF2B5EF4-FFF2-40B4-BE49-F238E27FC236}">
              <a16:creationId xmlns:a16="http://schemas.microsoft.com/office/drawing/2014/main" id="{F43AA8D6-F9D1-43B9-A3B8-209631249F54}"/>
            </a:ext>
          </a:extLst>
        </xdr:cNvPr>
        <xdr:cNvSpPr/>
      </xdr:nvSpPr>
      <xdr:spPr>
        <a:xfrm>
          <a:off x="3352968" y="10424583"/>
          <a:ext cx="128596"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211667</xdr:colOff>
      <xdr:row>78</xdr:row>
      <xdr:rowOff>23519</xdr:rowOff>
    </xdr:from>
    <xdr:to>
      <xdr:col>5</xdr:col>
      <xdr:colOff>348192</xdr:colOff>
      <xdr:row>78</xdr:row>
      <xdr:rowOff>160044</xdr:rowOff>
    </xdr:to>
    <xdr:sp macro="" textlink="">
      <xdr:nvSpPr>
        <xdr:cNvPr id="23" name="Oval 22">
          <a:extLst>
            <a:ext uri="{FF2B5EF4-FFF2-40B4-BE49-F238E27FC236}">
              <a16:creationId xmlns:a16="http://schemas.microsoft.com/office/drawing/2014/main" id="{B6A6FFD6-A434-4FF8-952A-3BDAFC538128}"/>
            </a:ext>
          </a:extLst>
        </xdr:cNvPr>
        <xdr:cNvSpPr/>
      </xdr:nvSpPr>
      <xdr:spPr>
        <a:xfrm>
          <a:off x="3868797" y="10430463"/>
          <a:ext cx="136525"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223432</xdr:colOff>
      <xdr:row>79</xdr:row>
      <xdr:rowOff>66</xdr:rowOff>
    </xdr:from>
    <xdr:to>
      <xdr:col>3</xdr:col>
      <xdr:colOff>353607</xdr:colOff>
      <xdr:row>79</xdr:row>
      <xdr:rowOff>130175</xdr:rowOff>
    </xdr:to>
    <xdr:sp macro="" textlink="">
      <xdr:nvSpPr>
        <xdr:cNvPr id="29" name="Oval 28">
          <a:extLst>
            <a:ext uri="{FF2B5EF4-FFF2-40B4-BE49-F238E27FC236}">
              <a16:creationId xmlns:a16="http://schemas.microsoft.com/office/drawing/2014/main" id="{59933DD8-8AB9-478F-B085-435E5FC3F08C}"/>
            </a:ext>
          </a:extLst>
        </xdr:cNvPr>
        <xdr:cNvSpPr/>
      </xdr:nvSpPr>
      <xdr:spPr>
        <a:xfrm>
          <a:off x="2775191" y="10589279"/>
          <a:ext cx="130175"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242644</xdr:colOff>
      <xdr:row>79</xdr:row>
      <xdr:rowOff>11825</xdr:rowOff>
    </xdr:from>
    <xdr:to>
      <xdr:col>4</xdr:col>
      <xdr:colOff>371240</xdr:colOff>
      <xdr:row>79</xdr:row>
      <xdr:rowOff>141934</xdr:rowOff>
    </xdr:to>
    <xdr:sp macro="" textlink="">
      <xdr:nvSpPr>
        <xdr:cNvPr id="30" name="Oval 29">
          <a:extLst>
            <a:ext uri="{FF2B5EF4-FFF2-40B4-BE49-F238E27FC236}">
              <a16:creationId xmlns:a16="http://schemas.microsoft.com/office/drawing/2014/main" id="{ABC7E101-269A-4767-B318-1AEC8485EABE}"/>
            </a:ext>
          </a:extLst>
        </xdr:cNvPr>
        <xdr:cNvSpPr/>
      </xdr:nvSpPr>
      <xdr:spPr>
        <a:xfrm>
          <a:off x="3347088" y="10601038"/>
          <a:ext cx="128596"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205787</xdr:colOff>
      <xdr:row>79</xdr:row>
      <xdr:rowOff>11825</xdr:rowOff>
    </xdr:from>
    <xdr:to>
      <xdr:col>5</xdr:col>
      <xdr:colOff>335962</xdr:colOff>
      <xdr:row>79</xdr:row>
      <xdr:rowOff>141934</xdr:rowOff>
    </xdr:to>
    <xdr:sp macro="" textlink="">
      <xdr:nvSpPr>
        <xdr:cNvPr id="31" name="Oval 30">
          <a:extLst>
            <a:ext uri="{FF2B5EF4-FFF2-40B4-BE49-F238E27FC236}">
              <a16:creationId xmlns:a16="http://schemas.microsoft.com/office/drawing/2014/main" id="{3F2B544D-E896-423C-845B-7AD17DA2D727}"/>
            </a:ext>
          </a:extLst>
        </xdr:cNvPr>
        <xdr:cNvSpPr/>
      </xdr:nvSpPr>
      <xdr:spPr>
        <a:xfrm>
          <a:off x="3862917" y="10601038"/>
          <a:ext cx="130175"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211680</xdr:colOff>
      <xdr:row>80</xdr:row>
      <xdr:rowOff>5880</xdr:rowOff>
    </xdr:from>
    <xdr:to>
      <xdr:col>3</xdr:col>
      <xdr:colOff>341855</xdr:colOff>
      <xdr:row>80</xdr:row>
      <xdr:rowOff>136055</xdr:rowOff>
    </xdr:to>
    <xdr:sp macro="" textlink="">
      <xdr:nvSpPr>
        <xdr:cNvPr id="37" name="Oval 36">
          <a:extLst>
            <a:ext uri="{FF2B5EF4-FFF2-40B4-BE49-F238E27FC236}">
              <a16:creationId xmlns:a16="http://schemas.microsoft.com/office/drawing/2014/main" id="{814D0C4A-BF38-4078-A0EF-6EC6453B5440}"/>
            </a:ext>
          </a:extLst>
        </xdr:cNvPr>
        <xdr:cNvSpPr/>
      </xdr:nvSpPr>
      <xdr:spPr>
        <a:xfrm>
          <a:off x="2763439" y="10777361"/>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248524</xdr:colOff>
      <xdr:row>80</xdr:row>
      <xdr:rowOff>1</xdr:rowOff>
    </xdr:from>
    <xdr:to>
      <xdr:col>4</xdr:col>
      <xdr:colOff>377120</xdr:colOff>
      <xdr:row>80</xdr:row>
      <xdr:rowOff>130176</xdr:rowOff>
    </xdr:to>
    <xdr:sp macro="" textlink="">
      <xdr:nvSpPr>
        <xdr:cNvPr id="38" name="Oval 37">
          <a:extLst>
            <a:ext uri="{FF2B5EF4-FFF2-40B4-BE49-F238E27FC236}">
              <a16:creationId xmlns:a16="http://schemas.microsoft.com/office/drawing/2014/main" id="{55FBB485-F18D-4E57-8FF7-4364318ADF40}"/>
            </a:ext>
          </a:extLst>
        </xdr:cNvPr>
        <xdr:cNvSpPr/>
      </xdr:nvSpPr>
      <xdr:spPr>
        <a:xfrm>
          <a:off x="3352968" y="10771482"/>
          <a:ext cx="128596"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199909</xdr:colOff>
      <xdr:row>80</xdr:row>
      <xdr:rowOff>5880</xdr:rowOff>
    </xdr:from>
    <xdr:to>
      <xdr:col>5</xdr:col>
      <xdr:colOff>330084</xdr:colOff>
      <xdr:row>80</xdr:row>
      <xdr:rowOff>136055</xdr:rowOff>
    </xdr:to>
    <xdr:sp macro="" textlink="">
      <xdr:nvSpPr>
        <xdr:cNvPr id="39" name="Oval 38">
          <a:extLst>
            <a:ext uri="{FF2B5EF4-FFF2-40B4-BE49-F238E27FC236}">
              <a16:creationId xmlns:a16="http://schemas.microsoft.com/office/drawing/2014/main" id="{E64D8A0D-0DA4-4F0C-8E46-AE9EE7A1E4EE}"/>
            </a:ext>
          </a:extLst>
        </xdr:cNvPr>
        <xdr:cNvSpPr/>
      </xdr:nvSpPr>
      <xdr:spPr>
        <a:xfrm>
          <a:off x="3857039" y="10777361"/>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2</xdr:col>
      <xdr:colOff>285750</xdr:colOff>
      <xdr:row>63</xdr:row>
      <xdr:rowOff>9525</xdr:rowOff>
    </xdr:from>
    <xdr:to>
      <xdr:col>2</xdr:col>
      <xdr:colOff>421640</xdr:colOff>
      <xdr:row>63</xdr:row>
      <xdr:rowOff>145415</xdr:rowOff>
    </xdr:to>
    <xdr:sp macro="" textlink="">
      <xdr:nvSpPr>
        <xdr:cNvPr id="50" name="Oval 49">
          <a:extLst>
            <a:ext uri="{FF2B5EF4-FFF2-40B4-BE49-F238E27FC236}">
              <a16:creationId xmlns:a16="http://schemas.microsoft.com/office/drawing/2014/main" id="{6102E8B4-941A-4D55-93D9-138392EC2813}"/>
            </a:ext>
          </a:extLst>
        </xdr:cNvPr>
        <xdr:cNvSpPr/>
      </xdr:nvSpPr>
      <xdr:spPr>
        <a:xfrm>
          <a:off x="1514475" y="14287500"/>
          <a:ext cx="135890" cy="13589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lang="en-AU"/>
        </a:p>
      </xdr:txBody>
    </xdr:sp>
    <xdr:clientData/>
  </xdr:twoCellAnchor>
  <xdr:twoCellAnchor>
    <xdr:from>
      <xdr:col>2</xdr:col>
      <xdr:colOff>285750</xdr:colOff>
      <xdr:row>64</xdr:row>
      <xdr:rowOff>9525</xdr:rowOff>
    </xdr:from>
    <xdr:to>
      <xdr:col>2</xdr:col>
      <xdr:colOff>422275</xdr:colOff>
      <xdr:row>64</xdr:row>
      <xdr:rowOff>146050</xdr:rowOff>
    </xdr:to>
    <xdr:sp macro="" textlink="">
      <xdr:nvSpPr>
        <xdr:cNvPr id="51" name="Oval 50">
          <a:extLst>
            <a:ext uri="{FF2B5EF4-FFF2-40B4-BE49-F238E27FC236}">
              <a16:creationId xmlns:a16="http://schemas.microsoft.com/office/drawing/2014/main" id="{A9B45474-0A8F-4B23-A428-A38A7279DF4A}"/>
            </a:ext>
          </a:extLst>
        </xdr:cNvPr>
        <xdr:cNvSpPr/>
      </xdr:nvSpPr>
      <xdr:spPr>
        <a:xfrm>
          <a:off x="1514475" y="14449425"/>
          <a:ext cx="136525"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lang="en-AU"/>
        </a:p>
      </xdr:txBody>
    </xdr:sp>
    <xdr:clientData/>
  </xdr:twoCellAnchor>
  <xdr:twoCellAnchor>
    <xdr:from>
      <xdr:col>2</xdr:col>
      <xdr:colOff>285750</xdr:colOff>
      <xdr:row>65</xdr:row>
      <xdr:rowOff>9525</xdr:rowOff>
    </xdr:from>
    <xdr:to>
      <xdr:col>2</xdr:col>
      <xdr:colOff>415925</xdr:colOff>
      <xdr:row>65</xdr:row>
      <xdr:rowOff>139700</xdr:rowOff>
    </xdr:to>
    <xdr:sp macro="" textlink="">
      <xdr:nvSpPr>
        <xdr:cNvPr id="52" name="Oval 51">
          <a:extLst>
            <a:ext uri="{FF2B5EF4-FFF2-40B4-BE49-F238E27FC236}">
              <a16:creationId xmlns:a16="http://schemas.microsoft.com/office/drawing/2014/main" id="{65100C3D-9D8D-44D7-B0EF-026E144BD1FC}"/>
            </a:ext>
          </a:extLst>
        </xdr:cNvPr>
        <xdr:cNvSpPr/>
      </xdr:nvSpPr>
      <xdr:spPr>
        <a:xfrm>
          <a:off x="1514475" y="14611350"/>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algn="ctr"/>
          <a:endParaRPr lang="en-AU"/>
        </a:p>
      </xdr:txBody>
    </xdr:sp>
    <xdr:clientData/>
  </xdr:twoCellAnchor>
  <xdr:twoCellAnchor>
    <xdr:from>
      <xdr:col>6</xdr:col>
      <xdr:colOff>238125</xdr:colOff>
      <xdr:row>76</xdr:row>
      <xdr:rowOff>19050</xdr:rowOff>
    </xdr:from>
    <xdr:to>
      <xdr:col>6</xdr:col>
      <xdr:colOff>368300</xdr:colOff>
      <xdr:row>76</xdr:row>
      <xdr:rowOff>145415</xdr:rowOff>
    </xdr:to>
    <xdr:sp macro="" textlink="">
      <xdr:nvSpPr>
        <xdr:cNvPr id="2" name="Oval 44">
          <a:extLst>
            <a:ext uri="{FF2B5EF4-FFF2-40B4-BE49-F238E27FC236}">
              <a16:creationId xmlns:a16="http://schemas.microsoft.com/office/drawing/2014/main" id="{30ACD8C1-6CDB-45B0-8A2B-96DFC71C9D59}"/>
            </a:ext>
          </a:extLst>
        </xdr:cNvPr>
        <xdr:cNvSpPr/>
      </xdr:nvSpPr>
      <xdr:spPr>
        <a:xfrm>
          <a:off x="3857625" y="24326850"/>
          <a:ext cx="130175" cy="126365"/>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238125</xdr:colOff>
      <xdr:row>77</xdr:row>
      <xdr:rowOff>19050</xdr:rowOff>
    </xdr:from>
    <xdr:to>
      <xdr:col>6</xdr:col>
      <xdr:colOff>364490</xdr:colOff>
      <xdr:row>77</xdr:row>
      <xdr:rowOff>151130</xdr:rowOff>
    </xdr:to>
    <xdr:sp macro="" textlink="">
      <xdr:nvSpPr>
        <xdr:cNvPr id="3" name="Oval 45">
          <a:extLst>
            <a:ext uri="{FF2B5EF4-FFF2-40B4-BE49-F238E27FC236}">
              <a16:creationId xmlns:a16="http://schemas.microsoft.com/office/drawing/2014/main" id="{085E3CD1-DFC7-4473-8F78-3EA701000441}"/>
            </a:ext>
          </a:extLst>
        </xdr:cNvPr>
        <xdr:cNvSpPr/>
      </xdr:nvSpPr>
      <xdr:spPr>
        <a:xfrm>
          <a:off x="3857625" y="24526875"/>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247650</xdr:colOff>
      <xdr:row>78</xdr:row>
      <xdr:rowOff>19050</xdr:rowOff>
    </xdr:from>
    <xdr:to>
      <xdr:col>6</xdr:col>
      <xdr:colOff>374015</xdr:colOff>
      <xdr:row>78</xdr:row>
      <xdr:rowOff>151130</xdr:rowOff>
    </xdr:to>
    <xdr:sp macro="" textlink="">
      <xdr:nvSpPr>
        <xdr:cNvPr id="4" name="Oval 46">
          <a:extLst>
            <a:ext uri="{FF2B5EF4-FFF2-40B4-BE49-F238E27FC236}">
              <a16:creationId xmlns:a16="http://schemas.microsoft.com/office/drawing/2014/main" id="{C3610282-FA70-4FF2-9161-BAAAE2924682}"/>
            </a:ext>
          </a:extLst>
        </xdr:cNvPr>
        <xdr:cNvSpPr/>
      </xdr:nvSpPr>
      <xdr:spPr>
        <a:xfrm>
          <a:off x="3867150" y="24726900"/>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247650</xdr:colOff>
      <xdr:row>79</xdr:row>
      <xdr:rowOff>9525</xdr:rowOff>
    </xdr:from>
    <xdr:to>
      <xdr:col>6</xdr:col>
      <xdr:colOff>374015</xdr:colOff>
      <xdr:row>79</xdr:row>
      <xdr:rowOff>141605</xdr:rowOff>
    </xdr:to>
    <xdr:sp macro="" textlink="">
      <xdr:nvSpPr>
        <xdr:cNvPr id="53" name="Oval 47">
          <a:extLst>
            <a:ext uri="{FF2B5EF4-FFF2-40B4-BE49-F238E27FC236}">
              <a16:creationId xmlns:a16="http://schemas.microsoft.com/office/drawing/2014/main" id="{14594A0E-EDAF-4F0D-8DC4-66D6E5AE122D}"/>
            </a:ext>
          </a:extLst>
        </xdr:cNvPr>
        <xdr:cNvSpPr/>
      </xdr:nvSpPr>
      <xdr:spPr>
        <a:xfrm>
          <a:off x="3867150" y="24917400"/>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247650</xdr:colOff>
      <xdr:row>80</xdr:row>
      <xdr:rowOff>38100</xdr:rowOff>
    </xdr:from>
    <xdr:to>
      <xdr:col>6</xdr:col>
      <xdr:colOff>374015</xdr:colOff>
      <xdr:row>80</xdr:row>
      <xdr:rowOff>170180</xdr:rowOff>
    </xdr:to>
    <xdr:sp macro="" textlink="">
      <xdr:nvSpPr>
        <xdr:cNvPr id="54" name="Oval 48">
          <a:extLst>
            <a:ext uri="{FF2B5EF4-FFF2-40B4-BE49-F238E27FC236}">
              <a16:creationId xmlns:a16="http://schemas.microsoft.com/office/drawing/2014/main" id="{A7B7A42F-4789-44E0-9B00-F6080306FF7C}"/>
            </a:ext>
          </a:extLst>
        </xdr:cNvPr>
        <xdr:cNvSpPr/>
      </xdr:nvSpPr>
      <xdr:spPr>
        <a:xfrm>
          <a:off x="3867150" y="25146000"/>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7</xdr:col>
      <xdr:colOff>238125</xdr:colOff>
      <xdr:row>76</xdr:row>
      <xdr:rowOff>9525</xdr:rowOff>
    </xdr:from>
    <xdr:to>
      <xdr:col>7</xdr:col>
      <xdr:colOff>374015</xdr:colOff>
      <xdr:row>76</xdr:row>
      <xdr:rowOff>149225</xdr:rowOff>
    </xdr:to>
    <xdr:sp macro="" textlink="">
      <xdr:nvSpPr>
        <xdr:cNvPr id="60" name="Oval 52">
          <a:extLst>
            <a:ext uri="{FF2B5EF4-FFF2-40B4-BE49-F238E27FC236}">
              <a16:creationId xmlns:a16="http://schemas.microsoft.com/office/drawing/2014/main" id="{31D5BDB3-FFA4-4AF9-AC57-8522102AB2FE}"/>
            </a:ext>
          </a:extLst>
        </xdr:cNvPr>
        <xdr:cNvSpPr/>
      </xdr:nvSpPr>
      <xdr:spPr>
        <a:xfrm>
          <a:off x="4524375" y="24317325"/>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228600</xdr:colOff>
      <xdr:row>77</xdr:row>
      <xdr:rowOff>28575</xdr:rowOff>
    </xdr:from>
    <xdr:to>
      <xdr:col>7</xdr:col>
      <xdr:colOff>364490</xdr:colOff>
      <xdr:row>77</xdr:row>
      <xdr:rowOff>168275</xdr:rowOff>
    </xdr:to>
    <xdr:sp macro="" textlink="">
      <xdr:nvSpPr>
        <xdr:cNvPr id="61" name="Oval 53">
          <a:extLst>
            <a:ext uri="{FF2B5EF4-FFF2-40B4-BE49-F238E27FC236}">
              <a16:creationId xmlns:a16="http://schemas.microsoft.com/office/drawing/2014/main" id="{3B8A8784-04A0-4BFB-A549-7643AEC7F706}"/>
            </a:ext>
          </a:extLst>
        </xdr:cNvPr>
        <xdr:cNvSpPr/>
      </xdr:nvSpPr>
      <xdr:spPr>
        <a:xfrm>
          <a:off x="4514850" y="24536400"/>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228600</xdr:colOff>
      <xdr:row>78</xdr:row>
      <xdr:rowOff>19050</xdr:rowOff>
    </xdr:from>
    <xdr:to>
      <xdr:col>7</xdr:col>
      <xdr:colOff>364490</xdr:colOff>
      <xdr:row>78</xdr:row>
      <xdr:rowOff>158750</xdr:rowOff>
    </xdr:to>
    <xdr:sp macro="" textlink="">
      <xdr:nvSpPr>
        <xdr:cNvPr id="62" name="Oval 54">
          <a:extLst>
            <a:ext uri="{FF2B5EF4-FFF2-40B4-BE49-F238E27FC236}">
              <a16:creationId xmlns:a16="http://schemas.microsoft.com/office/drawing/2014/main" id="{DEF0472F-9251-4B5E-A7AB-0C5AD99EFC22}"/>
            </a:ext>
          </a:extLst>
        </xdr:cNvPr>
        <xdr:cNvSpPr/>
      </xdr:nvSpPr>
      <xdr:spPr>
        <a:xfrm>
          <a:off x="4514850" y="24726900"/>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238125</xdr:colOff>
      <xdr:row>79</xdr:row>
      <xdr:rowOff>19050</xdr:rowOff>
    </xdr:from>
    <xdr:to>
      <xdr:col>7</xdr:col>
      <xdr:colOff>374015</xdr:colOff>
      <xdr:row>79</xdr:row>
      <xdr:rowOff>158750</xdr:rowOff>
    </xdr:to>
    <xdr:sp macro="" textlink="">
      <xdr:nvSpPr>
        <xdr:cNvPr id="63" name="Oval 55">
          <a:extLst>
            <a:ext uri="{FF2B5EF4-FFF2-40B4-BE49-F238E27FC236}">
              <a16:creationId xmlns:a16="http://schemas.microsoft.com/office/drawing/2014/main" id="{FFE718CC-90A8-4B54-8AC7-31D05D612499}"/>
            </a:ext>
          </a:extLst>
        </xdr:cNvPr>
        <xdr:cNvSpPr/>
      </xdr:nvSpPr>
      <xdr:spPr>
        <a:xfrm>
          <a:off x="4524375" y="24926925"/>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238125</xdr:colOff>
      <xdr:row>80</xdr:row>
      <xdr:rowOff>19050</xdr:rowOff>
    </xdr:from>
    <xdr:to>
      <xdr:col>7</xdr:col>
      <xdr:colOff>374015</xdr:colOff>
      <xdr:row>80</xdr:row>
      <xdr:rowOff>158750</xdr:rowOff>
    </xdr:to>
    <xdr:sp macro="" textlink="">
      <xdr:nvSpPr>
        <xdr:cNvPr id="64" name="Oval 56">
          <a:extLst>
            <a:ext uri="{FF2B5EF4-FFF2-40B4-BE49-F238E27FC236}">
              <a16:creationId xmlns:a16="http://schemas.microsoft.com/office/drawing/2014/main" id="{335A9A47-A1CE-4C67-9F04-E41BD4830CD3}"/>
            </a:ext>
          </a:extLst>
        </xdr:cNvPr>
        <xdr:cNvSpPr/>
      </xdr:nvSpPr>
      <xdr:spPr>
        <a:xfrm>
          <a:off x="4524375" y="25126950"/>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47624</xdr:colOff>
      <xdr:row>19</xdr:row>
      <xdr:rowOff>38101</xdr:rowOff>
    </xdr:from>
    <xdr:to>
      <xdr:col>10</xdr:col>
      <xdr:colOff>96296</xdr:colOff>
      <xdr:row>57</xdr:row>
      <xdr:rowOff>161925</xdr:rowOff>
    </xdr:to>
    <xdr:pic>
      <xdr:nvPicPr>
        <xdr:cNvPr id="2" name="Picture 1">
          <a:extLst>
            <a:ext uri="{FF2B5EF4-FFF2-40B4-BE49-F238E27FC236}">
              <a16:creationId xmlns:a16="http://schemas.microsoft.com/office/drawing/2014/main" id="{72D74D8A-AAF6-47F2-97B2-F30118CE90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1449" y="4705351"/>
          <a:ext cx="8916447" cy="7362824"/>
        </a:xfrm>
        <a:prstGeom prst="rect">
          <a:avLst/>
        </a:prstGeom>
      </xdr:spPr>
    </xdr:pic>
    <xdr:clientData/>
  </xdr:twoCellAnchor>
  <xdr:twoCellAnchor editAs="oneCell">
    <xdr:from>
      <xdr:col>1</xdr:col>
      <xdr:colOff>28575</xdr:colOff>
      <xdr:row>71</xdr:row>
      <xdr:rowOff>47625</xdr:rowOff>
    </xdr:from>
    <xdr:to>
      <xdr:col>10</xdr:col>
      <xdr:colOff>1234</xdr:colOff>
      <xdr:row>109</xdr:row>
      <xdr:rowOff>96267</xdr:rowOff>
    </xdr:to>
    <xdr:pic>
      <xdr:nvPicPr>
        <xdr:cNvPr id="3" name="Picture 2">
          <a:extLst>
            <a:ext uri="{FF2B5EF4-FFF2-40B4-BE49-F238E27FC236}">
              <a16:creationId xmlns:a16="http://schemas.microsoft.com/office/drawing/2014/main" id="{A4CB5430-3F2E-4426-B9CD-28570D8784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 y="15249525"/>
          <a:ext cx="8840434" cy="7287642"/>
        </a:xfrm>
        <a:prstGeom prst="rect">
          <a:avLst/>
        </a:prstGeom>
      </xdr:spPr>
    </xdr:pic>
    <xdr:clientData/>
  </xdr:twoCellAnchor>
  <xdr:twoCellAnchor editAs="oneCell">
    <xdr:from>
      <xdr:col>1</xdr:col>
      <xdr:colOff>9525</xdr:colOff>
      <xdr:row>116</xdr:row>
      <xdr:rowOff>104775</xdr:rowOff>
    </xdr:from>
    <xdr:to>
      <xdr:col>9</xdr:col>
      <xdr:colOff>10678</xdr:colOff>
      <xdr:row>154</xdr:row>
      <xdr:rowOff>86733</xdr:rowOff>
    </xdr:to>
    <xdr:pic>
      <xdr:nvPicPr>
        <xdr:cNvPr id="4" name="Picture 3">
          <a:extLst>
            <a:ext uri="{FF2B5EF4-FFF2-40B4-BE49-F238E27FC236}">
              <a16:creationId xmlns:a16="http://schemas.microsoft.com/office/drawing/2014/main" id="{FBBD1F07-89C8-4E58-AA10-4179434DF1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350" y="23879175"/>
          <a:ext cx="8259328" cy="7220958"/>
        </a:xfrm>
        <a:prstGeom prst="rect">
          <a:avLst/>
        </a:prstGeom>
      </xdr:spPr>
    </xdr:pic>
    <xdr:clientData/>
  </xdr:twoCellAnchor>
  <xdr:twoCellAnchor editAs="oneCell">
    <xdr:from>
      <xdr:col>1</xdr:col>
      <xdr:colOff>9525</xdr:colOff>
      <xdr:row>161</xdr:row>
      <xdr:rowOff>57150</xdr:rowOff>
    </xdr:from>
    <xdr:to>
      <xdr:col>9</xdr:col>
      <xdr:colOff>12864</xdr:colOff>
      <xdr:row>199</xdr:row>
      <xdr:rowOff>41019</xdr:rowOff>
    </xdr:to>
    <xdr:pic>
      <xdr:nvPicPr>
        <xdr:cNvPr id="5" name="Picture 4">
          <a:extLst>
            <a:ext uri="{FF2B5EF4-FFF2-40B4-BE49-F238E27FC236}">
              <a16:creationId xmlns:a16="http://schemas.microsoft.com/office/drawing/2014/main" id="{4C73613F-D1B2-46E7-9F99-3391A09FF9A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33350" y="32537400"/>
          <a:ext cx="8261514" cy="7222869"/>
        </a:xfrm>
        <a:prstGeom prst="rect">
          <a:avLst/>
        </a:prstGeom>
      </xdr:spPr>
    </xdr:pic>
    <xdr:clientData/>
  </xdr:twoCellAnchor>
  <xdr:twoCellAnchor editAs="oneCell">
    <xdr:from>
      <xdr:col>1</xdr:col>
      <xdr:colOff>0</xdr:colOff>
      <xdr:row>206</xdr:row>
      <xdr:rowOff>76200</xdr:rowOff>
    </xdr:from>
    <xdr:to>
      <xdr:col>9</xdr:col>
      <xdr:colOff>584599</xdr:colOff>
      <xdr:row>244</xdr:row>
      <xdr:rowOff>126771</xdr:rowOff>
    </xdr:to>
    <xdr:pic>
      <xdr:nvPicPr>
        <xdr:cNvPr id="6" name="Picture 5">
          <a:extLst>
            <a:ext uri="{FF2B5EF4-FFF2-40B4-BE49-F238E27FC236}">
              <a16:creationId xmlns:a16="http://schemas.microsoft.com/office/drawing/2014/main" id="{AD0D55BB-EAEA-4519-BB7F-6E8317525A3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3825" y="41281350"/>
          <a:ext cx="8842774" cy="7289571"/>
        </a:xfrm>
        <a:prstGeom prst="rect">
          <a:avLst/>
        </a:prstGeom>
      </xdr:spPr>
    </xdr:pic>
    <xdr:clientData/>
  </xdr:twoCellAnchor>
  <xdr:twoCellAnchor editAs="oneCell">
    <xdr:from>
      <xdr:col>1</xdr:col>
      <xdr:colOff>28574</xdr:colOff>
      <xdr:row>5</xdr:row>
      <xdr:rowOff>66674</xdr:rowOff>
    </xdr:from>
    <xdr:to>
      <xdr:col>14</xdr:col>
      <xdr:colOff>257174</xdr:colOff>
      <xdr:row>12</xdr:row>
      <xdr:rowOff>52811</xdr:rowOff>
    </xdr:to>
    <xdr:pic>
      <xdr:nvPicPr>
        <xdr:cNvPr id="7" name="Picture 6">
          <a:extLst>
            <a:ext uri="{FF2B5EF4-FFF2-40B4-BE49-F238E27FC236}">
              <a16:creationId xmlns:a16="http://schemas.microsoft.com/office/drawing/2014/main" id="{CF91B46F-1C17-42E1-AD63-4E1ECEA5A7F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52399" y="1142999"/>
          <a:ext cx="11534775" cy="160538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F6700-0B70-4954-8761-A76F5E624D46}" name="ChangeLogNotes4" displayName="ChangeLogNotes4" ref="A5:H1493" totalsRowShown="0" headerRowDxfId="278" dataDxfId="276" headerRowBorderDxfId="277" tableBorderDxfId="275" headerRowCellStyle="Normal 2 2" dataCellStyle="Normal 2 2">
  <autoFilter ref="A5:H1493" xr:uid="{4F00C943-3912-487D-92FC-F6F7208C6155}"/>
  <sortState xmlns:xlrd2="http://schemas.microsoft.com/office/spreadsheetml/2017/richdata2" ref="A6:H1493">
    <sortCondition descending="1" ref="A5:A1493"/>
    <sortCondition ref="B5:B1493"/>
    <sortCondition ref="C5:C1493"/>
    <sortCondition ref="D5:D1493"/>
    <sortCondition ref="F5:F1493"/>
  </sortState>
  <tableColumns count="8">
    <tableColumn id="1" xr3:uid="{26121BAC-C18B-4645-8B3C-7189C748E204}" name="Publication Date" dataDxfId="274" dataCellStyle="Normal 2 2"/>
    <tableColumn id="2" xr3:uid="{13ABD4C4-E096-4CF4-A22F-76F2B525959C}" name="Region" dataDxfId="273" dataCellStyle="Normal 2 2"/>
    <tableColumn id="8" xr3:uid="{57159E53-D524-47B7-A1A1-FC2A4202B49D}" name="Type of Change" dataDxfId="272" dataCellStyle="Normal 2 2"/>
    <tableColumn id="3" xr3:uid="{4E58CBE9-3962-4042-85DA-9BADD4017A4B}" name="Site Name" dataDxfId="271" dataCellStyle="Normal 2 2"/>
    <tableColumn id="4" xr3:uid="{2C16223F-849F-401E-8DF8-234684B59C4A}" name="Owner" dataDxfId="270" dataCellStyle="Normal 2 2"/>
    <tableColumn id="6" xr3:uid="{5C4DA40E-BE82-470C-8447-30F87557920C}" name="DUID(s)" dataDxfId="269" dataCellStyle="Normal 2 2"/>
    <tableColumn id="5" xr3:uid="{DD3A0771-AAC0-401B-8AC9-BBC083AD0354}" name="Note" dataDxfId="268" dataCellStyle="Normal 2 2"/>
    <tableColumn id="7" xr3:uid="{974D026D-D0BD-49A6-8790-C486CE582C65}" name="Effective Date" dataDxfId="267" dataCellStyle="Normal 2 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C1CFD6-BB24-4C8E-9A3B-4D03D776D0A3}" name="ConsolidatedUnits2" displayName="ConsolidatedUnits2" ref="A2:Y1572" totalsRowShown="0" headerRowDxfId="266" tableBorderDxfId="265">
  <autoFilter ref="A2:Y1572" xr:uid="{EBC1CFD6-BB24-4C8E-9A3B-4D03D776D0A3}"/>
  <tableColumns count="25">
    <tableColumn id="18" xr3:uid="{CA9872BA-8520-4F50-B902-96700747DE95}" name="Region" dataDxfId="264" dataCellStyle="Comma 6"/>
    <tableColumn id="3" xr3:uid="{2B5F2FB4-9DA3-4437-BF46-D15D1EF93CE3}" name="Asset Type" dataDxfId="263" dataCellStyle="Comma"/>
    <tableColumn id="50" xr3:uid="{1AC1C8B5-6F61-4428-85E6-91FB01225C83}" name="Site Name" dataDxfId="262" dataCellStyle="Comma 6"/>
    <tableColumn id="2" xr3:uid="{90338556-DDDF-419B-AD26-CA5BC2177976}" name="Owner" dataDxfId="261"/>
    <tableColumn id="4" xr3:uid="{16242830-FD78-4A39-ABD6-D48959DF0D88}" name="Technology Type" dataDxfId="260" dataCellStyle="Comma 6"/>
    <tableColumn id="5" xr3:uid="{49CA5CF4-17A6-4F40-B970-26CA52370B10}" name="Fuel Type" dataDxfId="259" dataCellStyle="Comma"/>
    <tableColumn id="6" xr3:uid="{F79FB9EA-ABAF-40BC-9EBD-B3DB6E23D6FB}" name="DUID" dataDxfId="258" dataCellStyle="Comma 6"/>
    <tableColumn id="7" xr3:uid="{BDEDA29A-B479-40E4-8F14-4ACBA6AD5FB9}" name="Number of Units" dataDxfId="257" dataCellStyle="Comma"/>
    <tableColumn id="8" xr3:uid="{6C7BF35E-15C3-4E00-90F0-A80A81675FFC}" name="Lower Nameplate Capacity (MW)" dataDxfId="256" dataCellStyle="Comma 6"/>
    <tableColumn id="9" xr3:uid="{05AEAD6B-093B-4943-8877-A13A532F9F31}" name="Upper Nameplate Capacity (MW)" dataDxfId="255" dataCellStyle="Comma"/>
    <tableColumn id="10" xr3:uid="{510E19EB-FAAB-49C9-9550-A10775126F15}" name="Aggregated Lower Nameplate Capacity (MW)" dataDxfId="254" dataCellStyle="Comma 6"/>
    <tableColumn id="11" xr3:uid="{002DF983-97FF-422F-8464-BE8142DE6526}" name="Aggregated Upper Nameplate Capacity (MW)" dataDxfId="253" dataCellStyle="Comma"/>
    <tableColumn id="1" xr3:uid="{3CC259CE-FAEA-4A39-A7EA-4B43A44B785E}" name="Nameplate Capacity (MW)" dataDxfId="252" dataCellStyle="Comma 6"/>
    <tableColumn id="12" xr3:uid="{63B72BB5-DF70-4593-9226-D563BDCABAAB}" name="Storage Capacity (MWh)" dataDxfId="251"/>
    <tableColumn id="13" xr3:uid="{BFE29744-A28E-464E-9A5C-AA973877A5B2}" name="Unit Status" dataDxfId="250" dataCellStyle="Comma 6"/>
    <tableColumn id="14" xr3:uid="{9F95628D-AC0C-4FB5-B6F1-D42A653F8672}" name="Dispatch Type" dataDxfId="249"/>
    <tableColumn id="15" xr3:uid="{78B47595-06EB-4ACD-B31B-7F3131C56A36}" name="Full Commercial Use Date" dataDxfId="248" dataCellStyle="Comma 6"/>
    <tableColumn id="16" xr3:uid="{9E81CFAC-19BD-472D-A344-06B9957F47B3}" name="Expected Closure Year" dataDxfId="247"/>
    <tableColumn id="17" xr3:uid="{307B9955-E480-4153-B7E2-A0F56CE9D887}" name="Closure Date" dataDxfId="246" dataCellStyle="Comma 6"/>
    <tableColumn id="19" xr3:uid="{D00F374E-8E3D-4C00-A140-15FE19987FA3}" name="Status Bucket Summary" dataDxfId="245" dataCellStyle="Comma"/>
    <tableColumn id="20" xr3:uid="{AA924BE9-2A26-4322-A6F6-8D75C442F201}" name="Fuel Bucket Summary" dataDxfId="244" dataCellStyle="Comma 6"/>
    <tableColumn id="43" xr3:uid="{144A5D7D-0B28-4EF2-9576-DC937D0FF38E}" name="SurveyId" dataDxfId="243" dataCellStyle="Comma"/>
    <tableColumn id="21" xr3:uid="{8EBC2E8A-8530-41AC-958F-692C71D1D20F}" name="AEMO KCI Id" dataDxfId="242" dataCellStyle="Comma"/>
    <tableColumn id="24" xr3:uid="{D2E655BD-1EDC-415E-8052-3DF646D1D824}" name="Survey Last Requested" dataDxfId="241" dataCellStyle="Comma"/>
    <tableColumn id="22" xr3:uid="{A6B4C7A0-42A3-494D-AFA0-D9DCBF98ACBF}" name="Survey Version DateTime" dataDxfId="240" dataCellStyle="Comma 6"/>
  </tableColumns>
  <tableStyleInfo name="TableStyleMedium7"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FD99A1-ADEB-47AB-82BA-02475A38084C}" name="ConsolidatedCapacities2" displayName="ConsolidatedCapacities2" ref="A4:AM453" totalsRowShown="0" headerRowDxfId="239" dataDxfId="238" tableBorderDxfId="237">
  <autoFilter ref="A4:AM453" xr:uid="{636CE6F8-71B5-42CE-A899-E7D82AB96C57}"/>
  <sortState xmlns:xlrd2="http://schemas.microsoft.com/office/spreadsheetml/2017/richdata2" ref="A5:AM453">
    <sortCondition ref="C4:C453"/>
    <sortCondition ref="B4:B453"/>
    <sortCondition ref="D4:D453"/>
  </sortState>
  <tableColumns count="39">
    <tableColumn id="18" xr3:uid="{31AC07B4-070A-45DE-8161-422547DFC5EB}" name="Region" dataDxfId="236" dataCellStyle="Comma 6"/>
    <tableColumn id="3" xr3:uid="{F8D04446-0939-44AC-B9BD-8629CD9931A7}" name="Asset Type" dataDxfId="235" dataCellStyle="Comma 6"/>
    <tableColumn id="1" xr3:uid="{AFAF490B-A3FF-4C0D-9128-FD521269B2C0}" name="Site Name" dataDxfId="234" dataCellStyle="Comma 6"/>
    <tableColumn id="6" xr3:uid="{777D0DCD-EB18-4B87-B1A5-861D62FCA2A8}" name="DUID" dataDxfId="233" dataCellStyle="Comma 6"/>
    <tableColumn id="9" xr3:uid="{C48E31A9-F187-4FB3-8537-C0465414C4DA}" name="Winter 2025" dataDxfId="232" dataCellStyle="20% - Accent2"/>
    <tableColumn id="51" xr3:uid="{455C0328-F012-42FE-B7F4-5B382860C1CC}" name="Summer Typical 2025-26" dataDxfId="231" dataCellStyle="40% - Accent2"/>
    <tableColumn id="21" xr3:uid="{3F84C795-7ABB-4BEE-8860-E1B651510FB2}" name="Summer Peak 2025-26" dataDxfId="230" dataCellStyle="20% - Accent5"/>
    <tableColumn id="22" xr3:uid="{25754D0D-C9CB-4EB0-82AF-6A550CC7FEE3}" name="Winter 2026" dataDxfId="229" dataCellStyle="20% - Accent2"/>
    <tableColumn id="50" xr3:uid="{06F98E3D-D655-4D75-B091-A49D6D3C8131}" name="Summer Typical 2026-27" dataDxfId="228" dataCellStyle="40% - Accent2"/>
    <tableColumn id="23" xr3:uid="{40F46052-F012-4AAF-AE69-46236F4D2368}" name="Summer Peak 2026-27" dataDxfId="227" dataCellStyle="20% - Accent5"/>
    <tableColumn id="24" xr3:uid="{0DF07F81-403E-4328-A354-41CA04BC5B96}" name="Winter 2027" dataDxfId="226" dataCellStyle="20% - Accent2"/>
    <tableColumn id="49" xr3:uid="{0A28ABAC-C1F0-48E4-96AB-90D2C829A9CF}" name="Summer Typical 2027-28" dataDxfId="225" dataCellStyle="40% - Accent2"/>
    <tableColumn id="25" xr3:uid="{64E8B6E3-9A39-4768-8738-A60486C3ABF3}" name="Summer Peak 2027-28" dataDxfId="224" dataCellStyle="20% - Accent5"/>
    <tableColumn id="26" xr3:uid="{1DFDBB7B-A09A-4FEB-96FE-4E0F3A95025E}" name="Winter 2028" dataDxfId="223" dataCellStyle="20% - Accent2"/>
    <tableColumn id="48" xr3:uid="{8CC01227-2CC3-497B-B0AF-A3345F6EBCEA}" name="Summer Typical 2028-29" dataDxfId="222" dataCellStyle="40% - Accent2"/>
    <tableColumn id="27" xr3:uid="{26D0F051-A05B-4619-BE4B-C01BAFD1A41B}" name="Summer Peak 2028-29" dataDxfId="221" dataCellStyle="20% - Accent5"/>
    <tableColumn id="28" xr3:uid="{9F0B70EA-70DA-4699-885E-0D3396D1C70F}" name="Winter 2029" dataDxfId="220" dataCellStyle="20% - Accent2"/>
    <tableColumn id="47" xr3:uid="{28A8BD2C-8D9D-4B43-91AA-4BC7A4912069}" name="Summer Typical 2029-30" dataDxfId="219" dataCellStyle="40% - Accent2"/>
    <tableColumn id="29" xr3:uid="{F373E949-DE87-40F4-B24C-969B87941EE1}" name="Summer Peak 2029-30" dataDxfId="218" dataCellStyle="20% - Accent5"/>
    <tableColumn id="30" xr3:uid="{D75A43C9-C6FB-46B8-AB7C-D19339B36EF1}" name="Winter 2030" dataDxfId="217" dataCellStyle="20% - Accent2"/>
    <tableColumn id="44" xr3:uid="{CCF49266-56D7-4BFD-A805-E8B91429C7B0}" name="Summer Typical 2030-31" dataDxfId="216" dataCellStyle="40% - Accent2"/>
    <tableColumn id="31" xr3:uid="{69B21772-5830-4474-8DB6-9362283D217B}" name="Summer Peak 2030-31" dataDxfId="215" dataCellStyle="20% - Accent5"/>
    <tableColumn id="32" xr3:uid="{4472FD37-8015-4243-B2EC-4656A0E5CBF9}" name="Winter 2031" dataDxfId="214" dataCellStyle="20% - Accent2"/>
    <tableColumn id="42" xr3:uid="{55E8CF2A-35EE-431A-935C-2ED2C0BD4702}" name="Summer Typical 2031-32" dataDxfId="213" dataCellStyle="40% - Accent2"/>
    <tableColumn id="33" xr3:uid="{01F8D4FA-2410-4CD8-A1B2-5F0CDD5F7B4C}" name="Summer Peak 2031-32" dataDxfId="212" dataCellStyle="20% - Accent5"/>
    <tableColumn id="34" xr3:uid="{BAE1FDD5-5528-457A-82E8-2B6CEC47CC39}" name="Winter 2032" dataDxfId="211" dataCellStyle="20% - Accent2"/>
    <tableColumn id="41" xr3:uid="{DF765844-3777-42B2-AF97-0629D99347ED}" name="Summer Typical 2032-33" dataDxfId="210" dataCellStyle="40% - Accent2"/>
    <tableColumn id="35" xr3:uid="{1FCF516F-798D-49C5-8A21-C5E7C78DBDA1}" name="Summer Peak 2032-33" dataDxfId="209" dataCellStyle="20% - Accent5"/>
    <tableColumn id="36" xr3:uid="{793D392A-7E65-4A8A-BE2A-6B8CB9EEC935}" name="Winter 2033" dataDxfId="208" dataCellStyle="20% - Accent2"/>
    <tableColumn id="40" xr3:uid="{94ABAF11-6A55-4E9C-9A37-71EAF44D41B5}" name="Summer Typical 2033-34" dataDxfId="207" dataCellStyle="40% - Accent2"/>
    <tableColumn id="37" xr3:uid="{8AA5C372-F680-462D-BEA1-1DAD37C398A3}" name="Summer Peak 2033-34" dataDxfId="206" dataCellStyle="20% - Accent5"/>
    <tableColumn id="38" xr3:uid="{0215D92B-B15D-4847-ABBD-B83A11E22CA6}" name="Winter 2034" dataDxfId="205" dataCellStyle="20% - Accent2"/>
    <tableColumn id="52" xr3:uid="{30BB4C3F-546A-46F4-A338-C41A8DC186CB}" name="Summer Typical 2034-35" dataDxfId="204" dataCellStyle="40% - Accent2"/>
    <tableColumn id="8" xr3:uid="{4EB25A1E-EBCB-4B8B-8600-CE56CA55C130}" name="Summer Peak 2034-35" dataDxfId="203" dataCellStyle="20% - Accent5"/>
    <tableColumn id="2" xr3:uid="{45D9A952-6F3A-487D-8F51-0877D66DC355}" name="Owner" dataDxfId="202" dataCellStyle="Comma 6"/>
    <tableColumn id="4" xr3:uid="{A81F9D9F-AA79-46C3-81A2-51733760CD20}" name="Technology Type" dataDxfId="201" dataCellStyle="Comma 6"/>
    <tableColumn id="5" xr3:uid="{1CED3177-FE22-490F-B6D0-85C2B19AF8EB}" name="Fuel Type" dataDxfId="200" dataCellStyle="Comma 6"/>
    <tableColumn id="20" xr3:uid="{66E7EB5A-CC5D-47E7-B326-39DE756578F0}" name="Fuel Bucket Summary" dataDxfId="199" dataCellStyle="Comma 6"/>
    <tableColumn id="43" xr3:uid="{8F27B90B-6F20-48BA-838B-49FED434DC21}" name="SurveyId" dataDxfId="198" dataCellStyle="Comma 6"/>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aemo.com.au/energy-systems/electricity/national-electricity-market-nem/nem-forecasting-and-planning/forecasting-and-planning-data/generation-information"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2346E-EFD4-44BF-A47F-B8027D9CFAF3}">
  <sheetPr codeName="Sheet1"/>
  <dimension ref="A1:P55"/>
  <sheetViews>
    <sheetView tabSelected="1" zoomScaleNormal="100" workbookViewId="0"/>
  </sheetViews>
  <sheetFormatPr defaultColWidth="9.3828125" defaultRowHeight="14.6"/>
  <cols>
    <col min="1" max="1" width="1.3828125" style="62" customWidth="1"/>
    <col min="2" max="2" width="2.3828125" style="62" customWidth="1"/>
    <col min="3" max="3" width="27.3828125" style="62" customWidth="1"/>
    <col min="4" max="13" width="8.3828125" style="62" customWidth="1"/>
    <col min="14" max="14" width="10.69140625" style="62" customWidth="1"/>
    <col min="15" max="15" width="1.3828125" style="62" customWidth="1"/>
    <col min="16" max="16384" width="9.3828125" style="62"/>
  </cols>
  <sheetData>
    <row r="1" spans="1:15" s="19" customFormat="1" ht="19.3">
      <c r="A1" s="63"/>
      <c r="B1" s="64" t="s">
        <v>0</v>
      </c>
      <c r="C1" s="63"/>
      <c r="D1" s="63"/>
      <c r="E1" s="63"/>
      <c r="F1" s="63"/>
      <c r="G1" s="65"/>
      <c r="H1" s="63"/>
      <c r="I1" s="63"/>
      <c r="J1" s="63"/>
      <c r="K1" s="63"/>
      <c r="L1" s="63"/>
      <c r="M1" s="63"/>
      <c r="N1" s="63"/>
      <c r="O1" s="60"/>
    </row>
    <row r="2" spans="1:15" s="19" customFormat="1" ht="14.15">
      <c r="A2" s="63"/>
      <c r="B2" s="66" t="s">
        <v>1</v>
      </c>
      <c r="C2" s="63"/>
      <c r="D2" s="63"/>
      <c r="E2" s="63"/>
      <c r="F2" s="63"/>
      <c r="G2" s="65"/>
      <c r="H2" s="63"/>
      <c r="I2" s="63"/>
      <c r="J2" s="63"/>
      <c r="K2" s="63"/>
      <c r="L2" s="66"/>
      <c r="M2" s="66"/>
      <c r="N2" s="66"/>
      <c r="O2" s="60"/>
    </row>
    <row r="3" spans="1:15" ht="15" thickBot="1">
      <c r="A3" s="67"/>
      <c r="B3" s="67"/>
      <c r="C3" s="68"/>
      <c r="D3" s="68"/>
      <c r="E3" s="68"/>
      <c r="F3" s="68"/>
      <c r="G3" s="68"/>
      <c r="H3" s="68"/>
      <c r="I3" s="68"/>
      <c r="J3" s="68"/>
      <c r="K3" s="68"/>
      <c r="L3" s="68"/>
      <c r="M3" s="68"/>
      <c r="N3" s="68"/>
      <c r="O3" s="61"/>
    </row>
    <row r="4" spans="1:15" ht="15" thickTop="1">
      <c r="A4" s="68"/>
      <c r="B4" s="69" t="s">
        <v>2</v>
      </c>
      <c r="C4" s="70"/>
      <c r="D4" s="70"/>
      <c r="E4" s="70"/>
      <c r="F4" s="70"/>
      <c r="G4" s="70"/>
      <c r="H4" s="70"/>
      <c r="I4" s="70"/>
      <c r="J4" s="70"/>
      <c r="K4" s="70"/>
      <c r="L4" s="70"/>
      <c r="M4" s="70"/>
      <c r="N4" s="71"/>
      <c r="O4" s="61"/>
    </row>
    <row r="5" spans="1:15">
      <c r="A5" s="68"/>
      <c r="B5" s="72" t="s">
        <v>3</v>
      </c>
      <c r="C5" s="4"/>
      <c r="D5" s="4"/>
      <c r="E5" s="4"/>
      <c r="F5" s="4"/>
      <c r="G5" s="4"/>
      <c r="H5" s="4"/>
      <c r="I5" s="4"/>
      <c r="J5" s="4"/>
      <c r="K5" s="4"/>
      <c r="L5" s="4"/>
      <c r="M5" s="4"/>
      <c r="N5" s="73"/>
      <c r="O5" s="61"/>
    </row>
    <row r="6" spans="1:15">
      <c r="A6" s="68"/>
      <c r="B6" s="72" t="s">
        <v>4</v>
      </c>
      <c r="C6" s="4"/>
      <c r="D6" s="4"/>
      <c r="E6" s="4"/>
      <c r="F6" s="4"/>
      <c r="G6" s="4"/>
      <c r="H6" s="4"/>
      <c r="I6" s="4"/>
      <c r="J6" s="4"/>
      <c r="K6" s="4"/>
      <c r="L6" s="4"/>
      <c r="M6" s="4"/>
      <c r="N6" s="73"/>
      <c r="O6" s="61"/>
    </row>
    <row r="7" spans="1:15" ht="15" thickBot="1">
      <c r="A7" s="68"/>
      <c r="B7" s="104" t="s">
        <v>5</v>
      </c>
      <c r="C7" s="74"/>
      <c r="D7" s="74"/>
      <c r="E7" s="74"/>
      <c r="F7" s="74"/>
      <c r="G7" s="74"/>
      <c r="H7" s="74"/>
      <c r="I7" s="74"/>
      <c r="J7" s="74"/>
      <c r="K7" s="74"/>
      <c r="L7" s="74"/>
      <c r="M7" s="74"/>
      <c r="N7" s="75"/>
      <c r="O7" s="61"/>
    </row>
    <row r="8" spans="1:15" ht="15" thickTop="1">
      <c r="A8" s="68"/>
      <c r="B8" s="76"/>
      <c r="C8" s="68"/>
      <c r="D8" s="76"/>
      <c r="E8" s="76"/>
      <c r="F8" s="76"/>
      <c r="G8" s="76"/>
      <c r="H8" s="76"/>
      <c r="I8" s="76"/>
      <c r="J8" s="76"/>
      <c r="K8" s="68"/>
      <c r="L8" s="68"/>
      <c r="M8" s="68"/>
      <c r="N8" s="68"/>
      <c r="O8" s="61"/>
    </row>
    <row r="9" spans="1:15" ht="6" customHeight="1">
      <c r="A9" s="68"/>
      <c r="B9" s="77"/>
      <c r="C9" s="68"/>
      <c r="D9" s="68"/>
      <c r="E9" s="68"/>
      <c r="F9" s="68"/>
      <c r="G9" s="68"/>
      <c r="H9" s="68"/>
      <c r="I9" s="68"/>
      <c r="J9" s="68"/>
      <c r="K9" s="68"/>
      <c r="L9" s="68"/>
      <c r="M9" s="68"/>
      <c r="N9" s="68"/>
      <c r="O9" s="61"/>
    </row>
    <row r="10" spans="1:15" ht="19.5" customHeight="1">
      <c r="A10" s="68"/>
      <c r="B10" s="68"/>
      <c r="C10" s="78" t="s">
        <v>6</v>
      </c>
      <c r="D10" s="68"/>
      <c r="E10" s="68"/>
      <c r="F10" s="68"/>
      <c r="G10" s="68"/>
      <c r="H10" s="79"/>
      <c r="I10" s="68"/>
      <c r="J10" s="68"/>
      <c r="K10" s="68"/>
      <c r="L10" s="68"/>
      <c r="M10" s="68"/>
      <c r="N10" s="68"/>
      <c r="O10" s="61"/>
    </row>
    <row r="11" spans="1:15" ht="18.75" customHeight="1">
      <c r="A11" s="68"/>
      <c r="B11" s="68"/>
      <c r="C11" s="1" t="s">
        <v>5414</v>
      </c>
      <c r="D11" s="68"/>
      <c r="E11" s="68"/>
      <c r="F11" s="68"/>
      <c r="G11" s="68"/>
      <c r="H11" s="79"/>
      <c r="I11" s="68"/>
      <c r="J11" s="68"/>
      <c r="K11" s="68"/>
      <c r="L11" s="68"/>
      <c r="M11" s="68"/>
      <c r="N11" s="68"/>
      <c r="O11" s="61"/>
    </row>
    <row r="12" spans="1:15" ht="19.5" customHeight="1">
      <c r="A12" s="68"/>
      <c r="B12" s="68"/>
      <c r="C12" s="78" t="s">
        <v>8</v>
      </c>
      <c r="D12" s="68"/>
      <c r="E12" s="68"/>
      <c r="F12" s="68"/>
      <c r="G12" s="68"/>
      <c r="H12" s="79"/>
      <c r="I12" s="68"/>
      <c r="J12" s="68"/>
      <c r="K12" s="68"/>
      <c r="L12" s="68"/>
      <c r="M12" s="68"/>
      <c r="N12" s="68"/>
      <c r="O12" s="61"/>
    </row>
    <row r="13" spans="1:15" ht="18.75" customHeight="1">
      <c r="A13" s="68"/>
      <c r="B13" s="68"/>
      <c r="C13" s="1" t="s">
        <v>9</v>
      </c>
      <c r="D13" s="68"/>
      <c r="E13" s="68"/>
      <c r="F13" s="68"/>
      <c r="G13" s="68"/>
      <c r="H13" s="68"/>
      <c r="I13" s="68"/>
      <c r="J13" s="68"/>
      <c r="K13" s="68"/>
      <c r="L13" s="68"/>
      <c r="M13" s="68"/>
      <c r="N13" s="68"/>
      <c r="O13" s="61"/>
    </row>
    <row r="14" spans="1:15" ht="7.5" customHeight="1">
      <c r="A14" s="68"/>
      <c r="B14" s="68"/>
      <c r="C14" s="68"/>
      <c r="D14" s="68"/>
      <c r="E14" s="68"/>
      <c r="F14" s="68"/>
      <c r="G14" s="68"/>
      <c r="H14" s="68"/>
      <c r="I14" s="68"/>
      <c r="J14" s="68"/>
      <c r="K14" s="68"/>
      <c r="L14" s="68"/>
      <c r="M14" s="68"/>
      <c r="N14" s="68"/>
      <c r="O14" s="61"/>
    </row>
    <row r="15" spans="1:15" ht="18.75" customHeight="1">
      <c r="A15" s="68"/>
      <c r="B15" s="80" t="str">
        <f>"Summary Chart:  "&amp;$C$11&amp;" "&amp;IF($C$13="S","Scheduled",IF($C$13="SS","Semi-scheduled",IF($C$13="NS","Non-scheduled",IF($C$13="S &amp; SS","Scheduled &amp; Semi-scheduled","Scheduled, Semi-scheduled &amp; Non-scheduled"))))&amp;" Generation (MW) - Existing and New Developments by Fuel-Technology Category"</f>
        <v>Summary Chart:  NEM Scheduled, Semi-scheduled &amp; Non-scheduled Generation (MW) - Existing and New Developments by Fuel-Technology Category</v>
      </c>
      <c r="C15" s="68"/>
      <c r="D15" s="68"/>
      <c r="E15" s="68"/>
      <c r="F15" s="68"/>
      <c r="G15" s="68"/>
      <c r="H15" s="68"/>
      <c r="I15" s="68"/>
      <c r="J15" s="68"/>
      <c r="K15" s="68"/>
      <c r="L15" s="68"/>
      <c r="M15" s="68"/>
      <c r="N15" s="68"/>
      <c r="O15" s="61"/>
    </row>
    <row r="16" spans="1:15">
      <c r="A16" s="68"/>
      <c r="B16" s="68"/>
      <c r="C16" s="68"/>
      <c r="D16" s="68"/>
      <c r="E16" s="68"/>
      <c r="F16" s="68"/>
      <c r="G16" s="68"/>
      <c r="H16" s="68"/>
      <c r="I16" s="68"/>
      <c r="J16" s="68"/>
      <c r="K16" s="68"/>
      <c r="L16" s="68"/>
      <c r="M16" s="68"/>
      <c r="N16" s="68"/>
      <c r="O16" s="61"/>
    </row>
    <row r="17" spans="1:15">
      <c r="A17" s="68"/>
      <c r="B17" s="68"/>
      <c r="C17" s="68"/>
      <c r="D17" s="68"/>
      <c r="E17" s="68"/>
      <c r="F17" s="68"/>
      <c r="G17" s="68"/>
      <c r="H17" s="68"/>
      <c r="I17" s="68"/>
      <c r="J17" s="68"/>
      <c r="K17" s="68"/>
      <c r="L17" s="68"/>
      <c r="M17" s="68"/>
      <c r="N17" s="68"/>
      <c r="O17" s="61"/>
    </row>
    <row r="18" spans="1:15">
      <c r="A18" s="68"/>
      <c r="B18" s="68"/>
      <c r="C18" s="68"/>
      <c r="D18" s="68"/>
      <c r="E18" s="68"/>
      <c r="F18" s="68"/>
      <c r="G18" s="68"/>
      <c r="H18" s="68"/>
      <c r="I18" s="68"/>
      <c r="J18" s="68"/>
      <c r="K18" s="68"/>
      <c r="L18" s="68"/>
      <c r="M18" s="68"/>
      <c r="N18" s="68"/>
      <c r="O18" s="61"/>
    </row>
    <row r="19" spans="1:15">
      <c r="A19" s="68"/>
      <c r="B19" s="68"/>
      <c r="C19" s="68"/>
      <c r="D19" s="68"/>
      <c r="E19" s="68"/>
      <c r="F19" s="68"/>
      <c r="G19" s="68"/>
      <c r="H19" s="68"/>
      <c r="I19" s="68"/>
      <c r="J19" s="68"/>
      <c r="K19" s="68"/>
      <c r="L19" s="68"/>
      <c r="M19" s="68"/>
      <c r="N19" s="68"/>
      <c r="O19" s="61"/>
    </row>
    <row r="20" spans="1:15">
      <c r="A20" s="68"/>
      <c r="B20" s="68"/>
      <c r="C20" s="68"/>
      <c r="D20" s="68"/>
      <c r="E20" s="68"/>
      <c r="F20" s="68"/>
      <c r="G20" s="68"/>
      <c r="H20" s="68"/>
      <c r="I20" s="68"/>
      <c r="J20" s="68"/>
      <c r="K20" s="68"/>
      <c r="L20" s="68"/>
      <c r="M20" s="68"/>
      <c r="N20" s="68"/>
      <c r="O20" s="61"/>
    </row>
    <row r="21" spans="1:15">
      <c r="A21" s="68"/>
      <c r="B21" s="68"/>
      <c r="C21" s="68"/>
      <c r="D21" s="68"/>
      <c r="E21" s="68"/>
      <c r="F21" s="68"/>
      <c r="G21" s="68"/>
      <c r="H21" s="68"/>
      <c r="I21" s="68"/>
      <c r="J21" s="68"/>
      <c r="K21" s="68"/>
      <c r="L21" s="68"/>
      <c r="M21" s="68"/>
      <c r="N21" s="68"/>
      <c r="O21" s="61"/>
    </row>
    <row r="22" spans="1:15">
      <c r="A22" s="68"/>
      <c r="B22" s="68"/>
      <c r="C22" s="68"/>
      <c r="D22" s="68"/>
      <c r="E22" s="68"/>
      <c r="F22" s="68"/>
      <c r="G22" s="68"/>
      <c r="H22" s="68"/>
      <c r="I22" s="68"/>
      <c r="J22" s="68"/>
      <c r="K22" s="68"/>
      <c r="L22" s="68"/>
      <c r="M22" s="68"/>
      <c r="N22" s="68"/>
      <c r="O22" s="61"/>
    </row>
    <row r="23" spans="1:15">
      <c r="A23" s="68"/>
      <c r="B23" s="68"/>
      <c r="C23" s="68"/>
      <c r="D23" s="68"/>
      <c r="E23" s="68"/>
      <c r="F23" s="68"/>
      <c r="G23" s="68"/>
      <c r="H23" s="68"/>
      <c r="I23" s="68"/>
      <c r="J23" s="68"/>
      <c r="K23" s="68"/>
      <c r="L23" s="68"/>
      <c r="M23" s="68"/>
      <c r="N23" s="68"/>
      <c r="O23" s="61"/>
    </row>
    <row r="24" spans="1:15">
      <c r="A24" s="68"/>
      <c r="B24" s="68"/>
      <c r="C24" s="68"/>
      <c r="D24" s="68"/>
      <c r="E24" s="68"/>
      <c r="F24" s="68"/>
      <c r="G24" s="68"/>
      <c r="H24" s="68"/>
      <c r="I24" s="68"/>
      <c r="J24" s="68"/>
      <c r="K24" s="68"/>
      <c r="L24" s="68"/>
      <c r="M24" s="68"/>
      <c r="N24" s="68"/>
      <c r="O24" s="61"/>
    </row>
    <row r="25" spans="1:15">
      <c r="A25" s="68"/>
      <c r="B25" s="68"/>
      <c r="C25" s="68"/>
      <c r="D25" s="68"/>
      <c r="E25" s="68"/>
      <c r="F25" s="68"/>
      <c r="G25" s="68"/>
      <c r="H25" s="68"/>
      <c r="I25" s="68"/>
      <c r="J25" s="68"/>
      <c r="K25" s="68"/>
      <c r="L25" s="68"/>
      <c r="M25" s="68"/>
      <c r="N25" s="68"/>
      <c r="O25" s="61"/>
    </row>
    <row r="26" spans="1:15">
      <c r="A26" s="68"/>
      <c r="B26" s="68"/>
      <c r="C26" s="68"/>
      <c r="D26" s="68"/>
      <c r="E26" s="68"/>
      <c r="F26" s="68"/>
      <c r="G26" s="68"/>
      <c r="H26" s="68"/>
      <c r="I26" s="68"/>
      <c r="J26" s="68"/>
      <c r="K26" s="68"/>
      <c r="L26" s="68"/>
      <c r="M26" s="68"/>
      <c r="N26" s="68"/>
      <c r="O26" s="61"/>
    </row>
    <row r="27" spans="1:15">
      <c r="A27" s="68"/>
      <c r="B27" s="68"/>
      <c r="C27" s="68"/>
      <c r="D27" s="68"/>
      <c r="E27" s="68"/>
      <c r="F27" s="68"/>
      <c r="G27" s="68"/>
      <c r="H27" s="68"/>
      <c r="I27" s="68"/>
      <c r="J27" s="68"/>
      <c r="K27" s="68"/>
      <c r="L27" s="68"/>
      <c r="M27" s="68"/>
      <c r="N27" s="68"/>
      <c r="O27" s="61"/>
    </row>
    <row r="28" spans="1:15">
      <c r="A28" s="68"/>
      <c r="B28" s="68"/>
      <c r="C28" s="68"/>
      <c r="D28" s="68"/>
      <c r="E28" s="68"/>
      <c r="F28" s="68"/>
      <c r="G28" s="68"/>
      <c r="H28" s="68"/>
      <c r="I28" s="68"/>
      <c r="J28" s="68"/>
      <c r="K28" s="68"/>
      <c r="L28" s="68"/>
      <c r="M28" s="68"/>
      <c r="N28" s="68"/>
      <c r="O28" s="61"/>
    </row>
    <row r="29" spans="1:15">
      <c r="A29" s="68"/>
      <c r="B29" s="68"/>
      <c r="C29" s="68"/>
      <c r="D29" s="68"/>
      <c r="E29" s="68"/>
      <c r="F29" s="68"/>
      <c r="G29" s="68"/>
      <c r="H29" s="68"/>
      <c r="I29" s="68"/>
      <c r="J29" s="68"/>
      <c r="K29" s="68"/>
      <c r="L29" s="68"/>
      <c r="M29" s="68"/>
      <c r="N29" s="68"/>
      <c r="O29" s="61"/>
    </row>
    <row r="30" spans="1:15">
      <c r="A30" s="68"/>
      <c r="B30" s="68"/>
      <c r="C30" s="68"/>
      <c r="D30" s="68"/>
      <c r="E30" s="68"/>
      <c r="F30" s="68"/>
      <c r="G30" s="68"/>
      <c r="H30" s="68"/>
      <c r="I30" s="68"/>
      <c r="J30" s="68"/>
      <c r="K30" s="68"/>
      <c r="L30" s="68"/>
      <c r="M30" s="68"/>
      <c r="N30" s="68"/>
      <c r="O30" s="61"/>
    </row>
    <row r="31" spans="1:15">
      <c r="A31" s="68"/>
      <c r="B31" s="68"/>
      <c r="C31" s="68"/>
      <c r="D31" s="68"/>
      <c r="E31" s="68"/>
      <c r="F31" s="68"/>
      <c r="G31" s="68"/>
      <c r="H31" s="68"/>
      <c r="I31" s="68"/>
      <c r="J31" s="68"/>
      <c r="K31" s="68"/>
      <c r="L31" s="68"/>
      <c r="M31" s="68"/>
      <c r="N31" s="68"/>
      <c r="O31" s="61"/>
    </row>
    <row r="32" spans="1:15">
      <c r="A32" s="68"/>
      <c r="B32" s="68"/>
      <c r="C32" s="68"/>
      <c r="D32" s="68"/>
      <c r="E32" s="68"/>
      <c r="F32" s="68"/>
      <c r="G32" s="68"/>
      <c r="H32" s="68"/>
      <c r="I32" s="68"/>
      <c r="J32" s="68"/>
      <c r="K32" s="68"/>
      <c r="L32" s="68"/>
      <c r="M32" s="68"/>
      <c r="N32" s="68"/>
      <c r="O32" s="61"/>
    </row>
    <row r="33" spans="1:16">
      <c r="A33" s="68"/>
      <c r="B33" s="68"/>
      <c r="C33" s="68"/>
      <c r="D33" s="68"/>
      <c r="E33" s="68"/>
      <c r="F33" s="68"/>
      <c r="G33" s="68"/>
      <c r="H33" s="68"/>
      <c r="I33" s="68"/>
      <c r="J33" s="68"/>
      <c r="K33" s="68"/>
      <c r="L33" s="68"/>
      <c r="M33" s="68"/>
      <c r="N33" s="68"/>
      <c r="O33" s="61"/>
    </row>
    <row r="34" spans="1:16">
      <c r="A34" s="68"/>
      <c r="B34" s="68"/>
      <c r="C34" s="68"/>
      <c r="D34" s="68"/>
      <c r="E34" s="68"/>
      <c r="F34" s="68"/>
      <c r="G34" s="68"/>
      <c r="H34" s="68"/>
      <c r="I34" s="68"/>
      <c r="J34" s="68"/>
      <c r="K34" s="68"/>
      <c r="L34" s="68"/>
      <c r="M34" s="68"/>
      <c r="N34" s="68"/>
      <c r="O34" s="61"/>
    </row>
    <row r="35" spans="1:16">
      <c r="A35" s="68"/>
      <c r="B35" s="68"/>
      <c r="C35" s="68"/>
      <c r="D35" s="68"/>
      <c r="E35" s="68"/>
      <c r="F35" s="68"/>
      <c r="G35" s="68"/>
      <c r="H35" s="68"/>
      <c r="I35" s="68"/>
      <c r="J35" s="68"/>
      <c r="K35" s="68"/>
      <c r="L35" s="68"/>
      <c r="M35" s="68"/>
      <c r="N35" s="68"/>
      <c r="O35" s="61"/>
    </row>
    <row r="36" spans="1:16">
      <c r="A36" s="68"/>
      <c r="B36" s="68"/>
      <c r="C36" s="68"/>
      <c r="D36" s="68"/>
      <c r="E36" s="68"/>
      <c r="F36" s="68"/>
      <c r="G36" s="68"/>
      <c r="H36" s="68"/>
      <c r="I36" s="68"/>
      <c r="J36" s="68"/>
      <c r="K36" s="68"/>
      <c r="L36" s="68"/>
      <c r="M36" s="68"/>
      <c r="N36" s="68"/>
      <c r="O36" s="61"/>
    </row>
    <row r="37" spans="1:16" ht="18.75" customHeight="1" thickBot="1">
      <c r="A37" s="68"/>
      <c r="B37" s="80" t="str">
        <f>"Summary Table:  "&amp;$C$11&amp;" "&amp;IF($C$13="S","Scheduled",IF($C$13="SS","Semi-scheduled",IF($C$13="NS","Non-scheduled",IF($C$13="S &amp; SS","Scheduled &amp; Semi-scheduled","Scheduled, Semi-scheduled &amp; Non-scheduled"))))&amp;" Generation (MW) - Existing and New Developments by Fuel-Technology Category"</f>
        <v>Summary Table:  NEM Scheduled, Semi-scheduled &amp; Non-scheduled Generation (MW) - Existing and New Developments by Fuel-Technology Category</v>
      </c>
      <c r="C37" s="68"/>
      <c r="D37" s="68"/>
      <c r="E37" s="68"/>
      <c r="F37" s="68"/>
      <c r="G37" s="68"/>
      <c r="H37" s="68"/>
      <c r="I37" s="68"/>
      <c r="J37" s="68"/>
      <c r="K37" s="68"/>
      <c r="L37" s="68"/>
      <c r="M37" s="68"/>
      <c r="N37" s="68"/>
      <c r="O37" s="61"/>
    </row>
    <row r="38" spans="1:16" ht="25.5" customHeight="1" thickBot="1">
      <c r="A38" s="68"/>
      <c r="B38" s="68"/>
      <c r="C38" s="81"/>
      <c r="D38" s="244" t="s">
        <v>10</v>
      </c>
      <c r="E38" s="245"/>
      <c r="F38" s="245"/>
      <c r="G38" s="245"/>
      <c r="H38" s="245"/>
      <c r="I38" s="245"/>
      <c r="J38" s="245"/>
      <c r="K38" s="245"/>
      <c r="L38" s="245"/>
      <c r="M38" s="245"/>
      <c r="N38" s="246"/>
      <c r="O38" s="61"/>
    </row>
    <row r="39" spans="1:16" ht="25.5" customHeight="1" thickBot="1">
      <c r="A39" s="68"/>
      <c r="B39" s="82"/>
      <c r="C39" s="83" t="s">
        <v>11</v>
      </c>
      <c r="D39" s="84" t="s">
        <v>12</v>
      </c>
      <c r="E39" s="84" t="s">
        <v>13</v>
      </c>
      <c r="F39" s="84" t="s">
        <v>14</v>
      </c>
      <c r="G39" s="84" t="s">
        <v>15</v>
      </c>
      <c r="H39" s="84" t="s">
        <v>16</v>
      </c>
      <c r="I39" s="84" t="s">
        <v>17</v>
      </c>
      <c r="J39" s="84" t="s">
        <v>18</v>
      </c>
      <c r="K39" s="84" t="s">
        <v>19</v>
      </c>
      <c r="L39" s="84" t="s">
        <v>20</v>
      </c>
      <c r="M39" s="84" t="s">
        <v>21</v>
      </c>
      <c r="N39" s="84" t="s">
        <v>22</v>
      </c>
      <c r="O39" s="61"/>
    </row>
    <row r="40" spans="1:16" ht="15" thickBot="1">
      <c r="A40" s="68"/>
      <c r="B40" s="85"/>
      <c r="C40" s="86" t="s">
        <v>23</v>
      </c>
      <c r="D40" s="87">
        <f>D41+D42</f>
        <v>21255</v>
      </c>
      <c r="E40" s="88">
        <f t="shared" ref="E40:M40" si="0">E41+E42</f>
        <v>2857.9</v>
      </c>
      <c r="F40" s="87">
        <f t="shared" si="0"/>
        <v>8027.46</v>
      </c>
      <c r="G40" s="88">
        <f t="shared" si="0"/>
        <v>1908.47</v>
      </c>
      <c r="H40" s="87">
        <f t="shared" si="0"/>
        <v>11631.469999999998</v>
      </c>
      <c r="I40" s="88">
        <f>I41+I42</f>
        <v>14015.890000000005</v>
      </c>
      <c r="J40" s="87">
        <f t="shared" si="0"/>
        <v>8026.6400000000012</v>
      </c>
      <c r="K40" s="88">
        <f t="shared" si="0"/>
        <v>399.89000000000016</v>
      </c>
      <c r="L40" s="87">
        <f t="shared" si="0"/>
        <v>4374.3199999999988</v>
      </c>
      <c r="M40" s="88">
        <f t="shared" si="0"/>
        <v>152.22</v>
      </c>
      <c r="N40" s="87">
        <f t="shared" ref="N40:N41" si="1">SUM(D40:M40)</f>
        <v>72649.260000000009</v>
      </c>
      <c r="O40" s="61"/>
      <c r="P40" s="135"/>
    </row>
    <row r="41" spans="1:16" ht="15" thickBot="1">
      <c r="A41" s="68"/>
      <c r="B41" s="89"/>
      <c r="C41" s="90" t="s">
        <v>24</v>
      </c>
      <c r="D41" s="87" cm="1">
        <f t="array" ref="D41">IF($C$13="S"&amp;CHAR(130)&amp;" SS &amp; NS",IF($C$11="NEM",SUMIFS(ConsolidatedUnits2[Aggregated Upper Nameplate Capacity (MW)],ConsolidatedUnits2[Status Bucket Summary],$C41,ConsolidatedUnits2[Fuel Bucket Summary],D$39),SUMIFS(ConsolidatedUnits2[Aggregated Upper Nameplate Capacity (MW)],ConsolidatedUnits2[Status Bucket Summary],$C41,ConsolidatedUnits2[Fuel Bucket Summary],D$39,ConsolidatedUnits2[Region],$C$11)),IF($C$13="S &amp; SS",IF($C$11="NEM",SUMIFS(ConsolidatedUnits2[Aggregated Upper Nameplate Capacity (MW)],ConsolidatedUnits2[Status Bucket Summary],$C41,ConsolidatedUnits2[Fuel Bucket Summary],D$39),SUMIFS(ConsolidatedUnits2[Aggregated Upper Nameplate Capacity (MW)],ConsolidatedUnits2[Status Bucket Summary],$C41,ConsolidatedUnits2[Fuel Bucket Summary],D$39,ConsolidatedUnits2[Region],$C$11))-IF($C$11="NEM",SUMIFS(ConsolidatedUnits2[Aggregated Upper Nameplate Capacity (MW)],ConsolidatedUnits2[Status Bucket Summary],$C41,ConsolidatedUnits2[Fuel Bucket Summary],D$39,ConsolidatedUnits2[Dispatch Type],"NS"),SUMIFS(ConsolidatedUnits2[Aggregated Upper Nameplate Capacity (MW)],ConsolidatedUnits2[Status Bucket Summary],$C41,ConsolidatedUnits2[Fuel Bucket Summary],D$39,ConsolidatedUnits2[Region],$C$11,ConsolidatedUnits2[Dispatch Type],"NS")),IF($C$11="NEM",SUMIFS(ConsolidatedUnits2[Aggregated Upper Nameplate Capacity (MW)],ConsolidatedUnits2[Status Bucket Summary],$C41,ConsolidatedUnits2[Fuel Bucket Summary],D$39,ConsolidatedUnits2[Dispatch Type],_xlfn.IFS($C$13="NS","NS",$C$13="SS","SS",$C$13="S","S")),SUMIFS(ConsolidatedUnits2[Aggregated Upper Nameplate Capacity (MW)],ConsolidatedUnits2[Status Bucket Summary],$C41,ConsolidatedUnits2[Fuel Bucket Summary],D$39,ConsolidatedUnits2[Region],$C$11,ConsolidatedUnits2[Dispatch Type],_xlfn.IFS($C$13="NS","NS",$C$13="SS","SS",$C$13="S","S")))))</f>
        <v>6010</v>
      </c>
      <c r="E41" s="140" cm="1">
        <f t="array" ref="E41">IF($C$13="S"&amp;CHAR(130)&amp;" SS &amp; NS",IF($C$11="NEM",SUMIFS(ConsolidatedUnits2[Aggregated Upper Nameplate Capacity (MW)],ConsolidatedUnits2[Status Bucket Summary],$C41,ConsolidatedUnits2[Fuel Bucket Summary],E$39),SUMIFS(ConsolidatedUnits2[Aggregated Upper Nameplate Capacity (MW)],ConsolidatedUnits2[Status Bucket Summary],$C41,ConsolidatedUnits2[Fuel Bucket Summary],E$39,ConsolidatedUnits2[Region],$C$11)),IF($C$13="S &amp; SS",IF($C$11="NEM",SUMIFS(ConsolidatedUnits2[Aggregated Upper Nameplate Capacity (MW)],ConsolidatedUnits2[Status Bucket Summary],$C41,ConsolidatedUnits2[Fuel Bucket Summary],E$39),SUMIFS(ConsolidatedUnits2[Aggregated Upper Nameplate Capacity (MW)],ConsolidatedUnits2[Status Bucket Summary],$C41,ConsolidatedUnits2[Fuel Bucket Summary],E$39,ConsolidatedUnits2[Region],$C$11))-IF($C$11="NEM",SUMIFS(ConsolidatedUnits2[Aggregated Upper Nameplate Capacity (MW)],ConsolidatedUnits2[Status Bucket Summary],$C41,ConsolidatedUnits2[Fuel Bucket Summary],E$39,ConsolidatedUnits2[Dispatch Type],"NS"),SUMIFS(ConsolidatedUnits2[Aggregated Upper Nameplate Capacity (MW)],ConsolidatedUnits2[Status Bucket Summary],$C41,ConsolidatedUnits2[Fuel Bucket Summary],E$39,ConsolidatedUnits2[Region],$C$11,ConsolidatedUnits2[Dispatch Type],"NS")),IF($C$11="NEM",SUMIFS(ConsolidatedUnits2[Aggregated Upper Nameplate Capacity (MW)],ConsolidatedUnits2[Status Bucket Summary],$C41,ConsolidatedUnits2[Fuel Bucket Summary],E$39,ConsolidatedUnits2[Dispatch Type],_xlfn.IFS($C$13="NS","NS",$C$13="SS","SS",$C$13="S","S")),SUMIFS(ConsolidatedUnits2[Aggregated Upper Nameplate Capacity (MW)],ConsolidatedUnits2[Status Bucket Summary],$C41,ConsolidatedUnits2[Fuel Bucket Summary],E$39,ConsolidatedUnits2[Region],$C$11,ConsolidatedUnits2[Dispatch Type],_xlfn.IFS($C$13="NS","NS",$C$13="SS","SS",$C$13="S","S")))))</f>
        <v>180</v>
      </c>
      <c r="F41" s="141" cm="1">
        <f t="array" ref="F41">IF($C$13="S"&amp;CHAR(130)&amp;" SS &amp; NS",IF($C$11="NEM",SUMIFS(ConsolidatedUnits2[Aggregated Upper Nameplate Capacity (MW)],ConsolidatedUnits2[Status Bucket Summary],$C41,ConsolidatedUnits2[Fuel Bucket Summary],F$39),SUMIFS(ConsolidatedUnits2[Aggregated Upper Nameplate Capacity (MW)],ConsolidatedUnits2[Status Bucket Summary],$C41,ConsolidatedUnits2[Fuel Bucket Summary],F$39,ConsolidatedUnits2[Region],$C$11)),IF($C$13="S &amp; SS",IF($C$11="NEM",SUMIFS(ConsolidatedUnits2[Aggregated Upper Nameplate Capacity (MW)],ConsolidatedUnits2[Status Bucket Summary],$C41,ConsolidatedUnits2[Fuel Bucket Summary],F$39),SUMIFS(ConsolidatedUnits2[Aggregated Upper Nameplate Capacity (MW)],ConsolidatedUnits2[Status Bucket Summary],$C41,ConsolidatedUnits2[Fuel Bucket Summary],F$39,ConsolidatedUnits2[Region],$C$11))-IF($C$11="NEM",SUMIFS(ConsolidatedUnits2[Aggregated Upper Nameplate Capacity (MW)],ConsolidatedUnits2[Status Bucket Summary],$C41,ConsolidatedUnits2[Fuel Bucket Summary],F$39,ConsolidatedUnits2[Dispatch Type],"NS"),SUMIFS(ConsolidatedUnits2[Aggregated Upper Nameplate Capacity (MW)],ConsolidatedUnits2[Status Bucket Summary],$C41,ConsolidatedUnits2[Fuel Bucket Summary],F$39,ConsolidatedUnits2[Region],$C$11,ConsolidatedUnits2[Dispatch Type],"NS")),IF($C$11="NEM",SUMIFS(ConsolidatedUnits2[Aggregated Upper Nameplate Capacity (MW)],ConsolidatedUnits2[Status Bucket Summary],$C41,ConsolidatedUnits2[Fuel Bucket Summary],F$39,ConsolidatedUnits2[Dispatch Type],_xlfn.IFS($C$13="NS","NS",$C$13="SS","SS",$C$13="S","S")),SUMIFS(ConsolidatedUnits2[Aggregated Upper Nameplate Capacity (MW)],ConsolidatedUnits2[Status Bucket Summary],$C41,ConsolidatedUnits2[Fuel Bucket Summary],F$39,ConsolidatedUnits2[Region],$C$11,ConsolidatedUnits2[Dispatch Type],_xlfn.IFS($C$13="NS","NS",$C$13="SS","SS",$C$13="S","S")))))</f>
        <v>157.5</v>
      </c>
      <c r="G41" s="140" cm="1">
        <f t="array" ref="G41">IF($C$13="S"&amp;CHAR(130)&amp;" SS &amp; NS",IF($C$11="NEM",SUMIFS(ConsolidatedUnits2[Aggregated Upper Nameplate Capacity (MW)],ConsolidatedUnits2[Status Bucket Summary],$C41,ConsolidatedUnits2[Fuel Bucket Summary],G$39),SUMIFS(ConsolidatedUnits2[Aggregated Upper Nameplate Capacity (MW)],ConsolidatedUnits2[Status Bucket Summary],$C41,ConsolidatedUnits2[Fuel Bucket Summary],G$39,ConsolidatedUnits2[Region],$C$11)),IF($C$13="S &amp; SS",IF($C$11="NEM",SUMIFS(ConsolidatedUnits2[Aggregated Upper Nameplate Capacity (MW)],ConsolidatedUnits2[Status Bucket Summary],$C41,ConsolidatedUnits2[Fuel Bucket Summary],G$39),SUMIFS(ConsolidatedUnits2[Aggregated Upper Nameplate Capacity (MW)],ConsolidatedUnits2[Status Bucket Summary],$C41,ConsolidatedUnits2[Fuel Bucket Summary],G$39,ConsolidatedUnits2[Region],$C$11))-IF($C$11="NEM",SUMIFS(ConsolidatedUnits2[Aggregated Upper Nameplate Capacity (MW)],ConsolidatedUnits2[Status Bucket Summary],$C41,ConsolidatedUnits2[Fuel Bucket Summary],G$39,ConsolidatedUnits2[Dispatch Type],"NS"),SUMIFS(ConsolidatedUnits2[Aggregated Upper Nameplate Capacity (MW)],ConsolidatedUnits2[Status Bucket Summary],$C41,ConsolidatedUnits2[Fuel Bucket Summary],G$39,ConsolidatedUnits2[Region],$C$11,ConsolidatedUnits2[Dispatch Type],"NS")),IF($C$11="NEM",SUMIFS(ConsolidatedUnits2[Aggregated Upper Nameplate Capacity (MW)],ConsolidatedUnits2[Status Bucket Summary],$C41,ConsolidatedUnits2[Fuel Bucket Summary],G$39,ConsolidatedUnits2[Dispatch Type],_xlfn.IFS($C$13="NS","NS",$C$13="SS","SS",$C$13="S","S")),SUMIFS(ConsolidatedUnits2[Aggregated Upper Nameplate Capacity (MW)],ConsolidatedUnits2[Status Bucket Summary],$C41,ConsolidatedUnits2[Fuel Bucket Summary],G$39,ConsolidatedUnits2[Region],$C$11,ConsolidatedUnits2[Dispatch Type],_xlfn.IFS($C$13="NS","NS",$C$13="SS","SS",$C$13="S","S")))))</f>
        <v>800</v>
      </c>
      <c r="H41" s="141" cm="1">
        <f t="array" ref="H41">IF($C$13="S"&amp;CHAR(130)&amp;" SS &amp; NS",IF($C$11="NEM",SUMIFS(ConsolidatedUnits2[Aggregated Upper Nameplate Capacity (MW)],ConsolidatedUnits2[Status Bucket Summary],$C41,ConsolidatedUnits2[Fuel Bucket Summary],H$39),SUMIFS(ConsolidatedUnits2[Aggregated Upper Nameplate Capacity (MW)],ConsolidatedUnits2[Status Bucket Summary],$C41,ConsolidatedUnits2[Fuel Bucket Summary],H$39,ConsolidatedUnits2[Region],$C$11)),IF($C$13="S &amp; SS",IF($C$11="NEM",SUMIFS(ConsolidatedUnits2[Aggregated Upper Nameplate Capacity (MW)],ConsolidatedUnits2[Status Bucket Summary],$C41,ConsolidatedUnits2[Fuel Bucket Summary],H$39),SUMIFS(ConsolidatedUnits2[Aggregated Upper Nameplate Capacity (MW)],ConsolidatedUnits2[Status Bucket Summary],$C41,ConsolidatedUnits2[Fuel Bucket Summary],H$39,ConsolidatedUnits2[Region],$C$11))-IF($C$11="NEM",SUMIFS(ConsolidatedUnits2[Aggregated Upper Nameplate Capacity (MW)],ConsolidatedUnits2[Status Bucket Summary],$C41,ConsolidatedUnits2[Fuel Bucket Summary],H$39,ConsolidatedUnits2[Dispatch Type],"NS"),SUMIFS(ConsolidatedUnits2[Aggregated Upper Nameplate Capacity (MW)],ConsolidatedUnits2[Status Bucket Summary],$C41,ConsolidatedUnits2[Fuel Bucket Summary],H$39,ConsolidatedUnits2[Region],$C$11,ConsolidatedUnits2[Dispatch Type],"NS")),IF($C$11="NEM",SUMIFS(ConsolidatedUnits2[Aggregated Upper Nameplate Capacity (MW)],ConsolidatedUnits2[Status Bucket Summary],$C41,ConsolidatedUnits2[Fuel Bucket Summary],H$39,ConsolidatedUnits2[Dispatch Type],_xlfn.IFS($C$13="NS","NS",$C$13="SS","SS",$C$13="S","S")),SUMIFS(ConsolidatedUnits2[Aggregated Upper Nameplate Capacity (MW)],ConsolidatedUnits2[Status Bucket Summary],$C41,ConsolidatedUnits2[Fuel Bucket Summary],H$39,ConsolidatedUnits2[Region],$C$11,ConsolidatedUnits2[Dispatch Type],_xlfn.IFS($C$13="NS","NS",$C$13="SS","SS",$C$13="S","S")))))</f>
        <v>0</v>
      </c>
      <c r="I41" s="140" cm="1">
        <f t="array" ref="I41">IF($C$13="S"&amp;CHAR(130)&amp;" SS &amp; NS",IF($C$11="NEM",SUMIFS(ConsolidatedUnits2[Aggregated Upper Nameplate Capacity (MW)],ConsolidatedUnits2[Status Bucket Summary],$C41,ConsolidatedUnits2[Fuel Bucket Summary],I$39),SUMIFS(ConsolidatedUnits2[Aggregated Upper Nameplate Capacity (MW)],ConsolidatedUnits2[Status Bucket Summary],$C41,ConsolidatedUnits2[Fuel Bucket Summary],I$39,ConsolidatedUnits2[Region],$C$11)),IF($C$13="S &amp; SS",IF($C$11="NEM",SUMIFS(ConsolidatedUnits2[Aggregated Upper Nameplate Capacity (MW)],ConsolidatedUnits2[Status Bucket Summary],$C41,ConsolidatedUnits2[Fuel Bucket Summary],I$39),SUMIFS(ConsolidatedUnits2[Aggregated Upper Nameplate Capacity (MW)],ConsolidatedUnits2[Status Bucket Summary],$C41,ConsolidatedUnits2[Fuel Bucket Summary],I$39,ConsolidatedUnits2[Region],$C$11))-IF($C$11="NEM",SUMIFS(ConsolidatedUnits2[Aggregated Upper Nameplate Capacity (MW)],ConsolidatedUnits2[Status Bucket Summary],$C41,ConsolidatedUnits2[Fuel Bucket Summary],I$39,ConsolidatedUnits2[Dispatch Type],"NS"),SUMIFS(ConsolidatedUnits2[Aggregated Upper Nameplate Capacity (MW)],ConsolidatedUnits2[Status Bucket Summary],$C41,ConsolidatedUnits2[Fuel Bucket Summary],I$39,ConsolidatedUnits2[Region],$C$11,ConsolidatedUnits2[Dispatch Type],"NS")),IF($C$11="NEM",SUMIFS(ConsolidatedUnits2[Aggregated Upper Nameplate Capacity (MW)],ConsolidatedUnits2[Status Bucket Summary],$C41,ConsolidatedUnits2[Fuel Bucket Summary],I$39,ConsolidatedUnits2[Dispatch Type],_xlfn.IFS($C$13="NS","NS",$C$13="SS","SS",$C$13="S","S")),SUMIFS(ConsolidatedUnits2[Aggregated Upper Nameplate Capacity (MW)],ConsolidatedUnits2[Status Bucket Summary],$C41,ConsolidatedUnits2[Fuel Bucket Summary],I$39,ConsolidatedUnits2[Region],$C$11,ConsolidatedUnits2[Dispatch Type],_xlfn.IFS($C$13="NS","NS",$C$13="SS","SS",$C$13="S","S")))))</f>
        <v>0</v>
      </c>
      <c r="J41" s="141" cm="1">
        <f t="array" ref="J41">IF($C$13="S"&amp;CHAR(130)&amp;" SS &amp; NS",IF($C$11="NEM",SUMIFS(ConsolidatedUnits2[Aggregated Upper Nameplate Capacity (MW)],ConsolidatedUnits2[Status Bucket Summary],$C41,ConsolidatedUnits2[Fuel Bucket Summary],J$39),SUMIFS(ConsolidatedUnits2[Aggregated Upper Nameplate Capacity (MW)],ConsolidatedUnits2[Status Bucket Summary],$C41,ConsolidatedUnits2[Fuel Bucket Summary],J$39,ConsolidatedUnits2[Region],$C$11)),IF($C$13="S &amp; SS",IF($C$11="NEM",SUMIFS(ConsolidatedUnits2[Aggregated Upper Nameplate Capacity (MW)],ConsolidatedUnits2[Status Bucket Summary],$C41,ConsolidatedUnits2[Fuel Bucket Summary],J$39),SUMIFS(ConsolidatedUnits2[Aggregated Upper Nameplate Capacity (MW)],ConsolidatedUnits2[Status Bucket Summary],$C41,ConsolidatedUnits2[Fuel Bucket Summary],J$39,ConsolidatedUnits2[Region],$C$11))-IF($C$11="NEM",SUMIFS(ConsolidatedUnits2[Aggregated Upper Nameplate Capacity (MW)],ConsolidatedUnits2[Status Bucket Summary],$C41,ConsolidatedUnits2[Fuel Bucket Summary],J$39,ConsolidatedUnits2[Dispatch Type],"NS"),SUMIFS(ConsolidatedUnits2[Aggregated Upper Nameplate Capacity (MW)],ConsolidatedUnits2[Status Bucket Summary],$C41,ConsolidatedUnits2[Fuel Bucket Summary],J$39,ConsolidatedUnits2[Region],$C$11,ConsolidatedUnits2[Dispatch Type],"NS")),IF($C$11="NEM",SUMIFS(ConsolidatedUnits2[Aggregated Upper Nameplate Capacity (MW)],ConsolidatedUnits2[Status Bucket Summary],$C41,ConsolidatedUnits2[Fuel Bucket Summary],J$39,ConsolidatedUnits2[Dispatch Type],_xlfn.IFS($C$13="NS","NS",$C$13="SS","SS",$C$13="S","S")),SUMIFS(ConsolidatedUnits2[Aggregated Upper Nameplate Capacity (MW)],ConsolidatedUnits2[Status Bucket Summary],$C41,ConsolidatedUnits2[Fuel Bucket Summary],J$39,ConsolidatedUnits2[Region],$C$11,ConsolidatedUnits2[Dispatch Type],_xlfn.IFS($C$13="NS","NS",$C$13="SS","SS",$C$13="S","S")))))</f>
        <v>0</v>
      </c>
      <c r="K41" s="140" cm="1">
        <f t="array" ref="K41">IF($C$13="S"&amp;CHAR(130)&amp;" SS &amp; NS",IF($C$11="NEM",SUMIFS(ConsolidatedUnits2[Aggregated Upper Nameplate Capacity (MW)],ConsolidatedUnits2[Status Bucket Summary],$C41,ConsolidatedUnits2[Fuel Bucket Summary],K$39),SUMIFS(ConsolidatedUnits2[Aggregated Upper Nameplate Capacity (MW)],ConsolidatedUnits2[Status Bucket Summary],$C41,ConsolidatedUnits2[Fuel Bucket Summary],K$39,ConsolidatedUnits2[Region],$C$11)),IF($C$13="S &amp; SS",IF($C$11="NEM",SUMIFS(ConsolidatedUnits2[Aggregated Upper Nameplate Capacity (MW)],ConsolidatedUnits2[Status Bucket Summary],$C41,ConsolidatedUnits2[Fuel Bucket Summary],K$39),SUMIFS(ConsolidatedUnits2[Aggregated Upper Nameplate Capacity (MW)],ConsolidatedUnits2[Status Bucket Summary],$C41,ConsolidatedUnits2[Fuel Bucket Summary],K$39,ConsolidatedUnits2[Region],$C$11))-IF($C$11="NEM",SUMIFS(ConsolidatedUnits2[Aggregated Upper Nameplate Capacity (MW)],ConsolidatedUnits2[Status Bucket Summary],$C41,ConsolidatedUnits2[Fuel Bucket Summary],K$39,ConsolidatedUnits2[Dispatch Type],"NS"),SUMIFS(ConsolidatedUnits2[Aggregated Upper Nameplate Capacity (MW)],ConsolidatedUnits2[Status Bucket Summary],$C41,ConsolidatedUnits2[Fuel Bucket Summary],K$39,ConsolidatedUnits2[Region],$C$11,ConsolidatedUnits2[Dispatch Type],"NS")),IF($C$11="NEM",SUMIFS(ConsolidatedUnits2[Aggregated Upper Nameplate Capacity (MW)],ConsolidatedUnits2[Status Bucket Summary],$C41,ConsolidatedUnits2[Fuel Bucket Summary],K$39,ConsolidatedUnits2[Dispatch Type],_xlfn.IFS($C$13="NS","NS",$C$13="SS","SS",$C$13="S","S")),SUMIFS(ConsolidatedUnits2[Aggregated Upper Nameplate Capacity (MW)],ConsolidatedUnits2[Status Bucket Summary],$C41,ConsolidatedUnits2[Fuel Bucket Summary],K$39,ConsolidatedUnits2[Region],$C$11,ConsolidatedUnits2[Dispatch Type],_xlfn.IFS($C$13="NS","NS",$C$13="SS","SS",$C$13="S","S")))))</f>
        <v>0</v>
      </c>
      <c r="L41" s="141" cm="1">
        <f t="array" ref="L41">IF($C$13="S"&amp;CHAR(130)&amp;" SS &amp; NS",IF($C$11="NEM",SUMIFS(ConsolidatedUnits2[Aggregated Upper Nameplate Capacity (MW)],ConsolidatedUnits2[Status Bucket Summary],$C41,ConsolidatedUnits2[Fuel Bucket Summary],L$39),SUMIFS(ConsolidatedUnits2[Aggregated Upper Nameplate Capacity (MW)],ConsolidatedUnits2[Status Bucket Summary],$C41,ConsolidatedUnits2[Fuel Bucket Summary],L$39,ConsolidatedUnits2[Region],$C$11)),IF($C$13="S &amp; SS",IF($C$11="NEM",SUMIFS(ConsolidatedUnits2[Aggregated Upper Nameplate Capacity (MW)],ConsolidatedUnits2[Status Bucket Summary],$C41,ConsolidatedUnits2[Fuel Bucket Summary],L$39),SUMIFS(ConsolidatedUnits2[Aggregated Upper Nameplate Capacity (MW)],ConsolidatedUnits2[Status Bucket Summary],$C41,ConsolidatedUnits2[Fuel Bucket Summary],L$39,ConsolidatedUnits2[Region],$C$11))-IF($C$11="NEM",SUMIFS(ConsolidatedUnits2[Aggregated Upper Nameplate Capacity (MW)],ConsolidatedUnits2[Status Bucket Summary],$C41,ConsolidatedUnits2[Fuel Bucket Summary],L$39,ConsolidatedUnits2[Dispatch Type],"NS"),SUMIFS(ConsolidatedUnits2[Aggregated Upper Nameplate Capacity (MW)],ConsolidatedUnits2[Status Bucket Summary],$C41,ConsolidatedUnits2[Fuel Bucket Summary],L$39,ConsolidatedUnits2[Region],$C$11,ConsolidatedUnits2[Dispatch Type],"NS")),IF($C$11="NEM",SUMIFS(ConsolidatedUnits2[Aggregated Upper Nameplate Capacity (MW)],ConsolidatedUnits2[Status Bucket Summary],$C41,ConsolidatedUnits2[Fuel Bucket Summary],L$39,ConsolidatedUnits2[Dispatch Type],_xlfn.IFS($C$13="NS","NS",$C$13="SS","SS",$C$13="S","S")),SUMIFS(ConsolidatedUnits2[Aggregated Upper Nameplate Capacity (MW)],ConsolidatedUnits2[Status Bucket Summary],$C41,ConsolidatedUnits2[Fuel Bucket Summary],L$39,ConsolidatedUnits2[Region],$C$11,ConsolidatedUnits2[Dispatch Type],_xlfn.IFS($C$13="NS","NS",$C$13="SS","SS",$C$13="S","S")))))</f>
        <v>0</v>
      </c>
      <c r="M41" s="140" cm="1">
        <f t="array" ref="M41">IF($C$13="S"&amp;CHAR(130)&amp;" SS &amp; NS",IF($C$11="NEM",SUMIFS(ConsolidatedUnits2[Aggregated Upper Nameplate Capacity (MW)],ConsolidatedUnits2[Status Bucket Summary],$C41,ConsolidatedUnits2[Fuel Bucket Summary],M$39),SUMIFS(ConsolidatedUnits2[Aggregated Upper Nameplate Capacity (MW)],ConsolidatedUnits2[Status Bucket Summary],$C41,ConsolidatedUnits2[Fuel Bucket Summary],M$39,ConsolidatedUnits2[Region],$C$11)),IF($C$13="S &amp; SS",IF($C$11="NEM",SUMIFS(ConsolidatedUnits2[Aggregated Upper Nameplate Capacity (MW)],ConsolidatedUnits2[Status Bucket Summary],$C41,ConsolidatedUnits2[Fuel Bucket Summary],M$39),SUMIFS(ConsolidatedUnits2[Aggregated Upper Nameplate Capacity (MW)],ConsolidatedUnits2[Status Bucket Summary],$C41,ConsolidatedUnits2[Fuel Bucket Summary],M$39,ConsolidatedUnits2[Region],$C$11))-IF($C$11="NEM",SUMIFS(ConsolidatedUnits2[Aggregated Upper Nameplate Capacity (MW)],ConsolidatedUnits2[Status Bucket Summary],$C41,ConsolidatedUnits2[Fuel Bucket Summary],M$39,ConsolidatedUnits2[Dispatch Type],"NS"),SUMIFS(ConsolidatedUnits2[Aggregated Upper Nameplate Capacity (MW)],ConsolidatedUnits2[Status Bucket Summary],$C41,ConsolidatedUnits2[Fuel Bucket Summary],M$39,ConsolidatedUnits2[Region],$C$11,ConsolidatedUnits2[Dispatch Type],"NS")),IF($C$11="NEM",SUMIFS(ConsolidatedUnits2[Aggregated Upper Nameplate Capacity (MW)],ConsolidatedUnits2[Status Bucket Summary],$C41,ConsolidatedUnits2[Fuel Bucket Summary],M$39,ConsolidatedUnits2[Dispatch Type],_xlfn.IFS($C$13="NS","NS",$C$13="SS","SS",$C$13="S","S")),SUMIFS(ConsolidatedUnits2[Aggregated Upper Nameplate Capacity (MW)],ConsolidatedUnits2[Status Bucket Summary],$C41,ConsolidatedUnits2[Fuel Bucket Summary],M$39,ConsolidatedUnits2[Region],$C$11,ConsolidatedUnits2[Dispatch Type],_xlfn.IFS($C$13="NS","NS",$C$13="SS","SS",$C$13="S","S")))))</f>
        <v>0</v>
      </c>
      <c r="N41" s="87">
        <f t="shared" si="1"/>
        <v>7147.5</v>
      </c>
      <c r="O41" s="61"/>
      <c r="P41" s="135"/>
    </row>
    <row r="42" spans="1:16" ht="23.15" customHeight="1" thickBot="1">
      <c r="A42" s="68"/>
      <c r="B42" s="91"/>
      <c r="C42" s="90" t="s">
        <v>25</v>
      </c>
      <c r="D42" s="87" cm="1">
        <f t="array" ref="D42">IF($C$13="S"&amp;CHAR(130)&amp;" SS &amp; NS",IF($C$11="NEM",SUMIFS(ConsolidatedUnits2[Aggregated Upper Nameplate Capacity (MW)],ConsolidatedUnits2[Status Bucket Summary],$C42,ConsolidatedUnits2[Fuel Bucket Summary],D$39),SUMIFS(ConsolidatedUnits2[Aggregated Upper Nameplate Capacity (MW)],ConsolidatedUnits2[Status Bucket Summary],$C42,ConsolidatedUnits2[Fuel Bucket Summary],D$39,ConsolidatedUnits2[Region],$C$11)),IF($C$13="S &amp; SS",IF($C$11="NEM",SUMIFS(ConsolidatedUnits2[Aggregated Upper Nameplate Capacity (MW)],ConsolidatedUnits2[Status Bucket Summary],$C42,ConsolidatedUnits2[Fuel Bucket Summary],D$39),SUMIFS(ConsolidatedUnits2[Aggregated Upper Nameplate Capacity (MW)],ConsolidatedUnits2[Status Bucket Summary],$C42,ConsolidatedUnits2[Fuel Bucket Summary],D$39,ConsolidatedUnits2[Region],$C$11))-IF($C$11="NEM",SUMIFS(ConsolidatedUnits2[Aggregated Upper Nameplate Capacity (MW)],ConsolidatedUnits2[Status Bucket Summary],$C42,ConsolidatedUnits2[Fuel Bucket Summary],D$39,ConsolidatedUnits2[Dispatch Type],"NS"),SUMIFS(ConsolidatedUnits2[Aggregated Upper Nameplate Capacity (MW)],ConsolidatedUnits2[Status Bucket Summary],$C42,ConsolidatedUnits2[Fuel Bucket Summary],D$39,ConsolidatedUnits2[Region],$C$11,ConsolidatedUnits2[Dispatch Type],"NS")),IF($C$11="NEM",SUMIFS(ConsolidatedUnits2[Aggregated Upper Nameplate Capacity (MW)],ConsolidatedUnits2[Status Bucket Summary],$C42,ConsolidatedUnits2[Fuel Bucket Summary],D$39,ConsolidatedUnits2[Dispatch Type],_xlfn.IFS($C$13="NS","NS",$C$13="SS","SS",$C$13="S","S")),SUMIFS(ConsolidatedUnits2[Aggregated Upper Nameplate Capacity (MW)],ConsolidatedUnits2[Status Bucket Summary],$C42,ConsolidatedUnits2[Fuel Bucket Summary],D$39,ConsolidatedUnits2[Region],$C$11,ConsolidatedUnits2[Dispatch Type],_xlfn.IFS($C$13="NS","NS",$C$13="SS","SS",$C$13="S","S")))))</f>
        <v>15245</v>
      </c>
      <c r="E42" s="140" cm="1">
        <f t="array" ref="E42">IF($C$13="S"&amp;CHAR(130)&amp;" SS &amp; NS",IF($C$11="NEM",SUMIFS(ConsolidatedUnits2[Aggregated Upper Nameplate Capacity (MW)],ConsolidatedUnits2[Status Bucket Summary],$C42,ConsolidatedUnits2[Fuel Bucket Summary],E$39),SUMIFS(ConsolidatedUnits2[Aggregated Upper Nameplate Capacity (MW)],ConsolidatedUnits2[Status Bucket Summary],$C42,ConsolidatedUnits2[Fuel Bucket Summary],E$39,ConsolidatedUnits2[Region],$C$11)),IF($C$13="S &amp; SS",IF($C$11="NEM",SUMIFS(ConsolidatedUnits2[Aggregated Upper Nameplate Capacity (MW)],ConsolidatedUnits2[Status Bucket Summary],$C42,ConsolidatedUnits2[Fuel Bucket Summary],E$39),SUMIFS(ConsolidatedUnits2[Aggregated Upper Nameplate Capacity (MW)],ConsolidatedUnits2[Status Bucket Summary],$C42,ConsolidatedUnits2[Fuel Bucket Summary],E$39,ConsolidatedUnits2[Region],$C$11))-IF($C$11="NEM",SUMIFS(ConsolidatedUnits2[Aggregated Upper Nameplate Capacity (MW)],ConsolidatedUnits2[Status Bucket Summary],$C42,ConsolidatedUnits2[Fuel Bucket Summary],E$39,ConsolidatedUnits2[Dispatch Type],"NS"),SUMIFS(ConsolidatedUnits2[Aggregated Upper Nameplate Capacity (MW)],ConsolidatedUnits2[Status Bucket Summary],$C42,ConsolidatedUnits2[Fuel Bucket Summary],E$39,ConsolidatedUnits2[Region],$C$11,ConsolidatedUnits2[Dispatch Type],"NS")),IF($C$11="NEM",SUMIFS(ConsolidatedUnits2[Aggregated Upper Nameplate Capacity (MW)],ConsolidatedUnits2[Status Bucket Summary],$C42,ConsolidatedUnits2[Fuel Bucket Summary],E$39,ConsolidatedUnits2[Dispatch Type],_xlfn.IFS($C$13="NS","NS",$C$13="SS","SS",$C$13="S","S")),SUMIFS(ConsolidatedUnits2[Aggregated Upper Nameplate Capacity (MW)],ConsolidatedUnits2[Status Bucket Summary],$C42,ConsolidatedUnits2[Fuel Bucket Summary],E$39,ConsolidatedUnits2[Region],$C$11,ConsolidatedUnits2[Dispatch Type],_xlfn.IFS($C$13="NS","NS",$C$13="SS","SS",$C$13="S","S")))))</f>
        <v>2677.9</v>
      </c>
      <c r="F42" s="141" cm="1">
        <f t="array" ref="F42">IF($C$13="S"&amp;CHAR(130)&amp;" SS &amp; NS",IF($C$11="NEM",SUMIFS(ConsolidatedUnits2[Aggregated Upper Nameplate Capacity (MW)],ConsolidatedUnits2[Status Bucket Summary],$C42,ConsolidatedUnits2[Fuel Bucket Summary],F$39),SUMIFS(ConsolidatedUnits2[Aggregated Upper Nameplate Capacity (MW)],ConsolidatedUnits2[Status Bucket Summary],$C42,ConsolidatedUnits2[Fuel Bucket Summary],F$39,ConsolidatedUnits2[Region],$C$11)),IF($C$13="S &amp; SS",IF($C$11="NEM",SUMIFS(ConsolidatedUnits2[Aggregated Upper Nameplate Capacity (MW)],ConsolidatedUnits2[Status Bucket Summary],$C42,ConsolidatedUnits2[Fuel Bucket Summary],F$39),SUMIFS(ConsolidatedUnits2[Aggregated Upper Nameplate Capacity (MW)],ConsolidatedUnits2[Status Bucket Summary],$C42,ConsolidatedUnits2[Fuel Bucket Summary],F$39,ConsolidatedUnits2[Region],$C$11))-IF($C$11="NEM",SUMIFS(ConsolidatedUnits2[Aggregated Upper Nameplate Capacity (MW)],ConsolidatedUnits2[Status Bucket Summary],$C42,ConsolidatedUnits2[Fuel Bucket Summary],F$39,ConsolidatedUnits2[Dispatch Type],"NS"),SUMIFS(ConsolidatedUnits2[Aggregated Upper Nameplate Capacity (MW)],ConsolidatedUnits2[Status Bucket Summary],$C42,ConsolidatedUnits2[Fuel Bucket Summary],F$39,ConsolidatedUnits2[Region],$C$11,ConsolidatedUnits2[Dispatch Type],"NS")),IF($C$11="NEM",SUMIFS(ConsolidatedUnits2[Aggregated Upper Nameplate Capacity (MW)],ConsolidatedUnits2[Status Bucket Summary],$C42,ConsolidatedUnits2[Fuel Bucket Summary],F$39,ConsolidatedUnits2[Dispatch Type],_xlfn.IFS($C$13="NS","NS",$C$13="SS","SS",$C$13="S","S")),SUMIFS(ConsolidatedUnits2[Aggregated Upper Nameplate Capacity (MW)],ConsolidatedUnits2[Status Bucket Summary],$C42,ConsolidatedUnits2[Fuel Bucket Summary],F$39,ConsolidatedUnits2[Region],$C$11,ConsolidatedUnits2[Dispatch Type],_xlfn.IFS($C$13="NS","NS",$C$13="SS","SS",$C$13="S","S")))))</f>
        <v>7869.96</v>
      </c>
      <c r="G42" s="140" cm="1">
        <f t="array" ref="G42">IF($C$13="S"&amp;CHAR(130)&amp;" SS &amp; NS",IF($C$11="NEM",SUMIFS(ConsolidatedUnits2[Aggregated Upper Nameplate Capacity (MW)],ConsolidatedUnits2[Status Bucket Summary],$C42,ConsolidatedUnits2[Fuel Bucket Summary],G$39),SUMIFS(ConsolidatedUnits2[Aggregated Upper Nameplate Capacity (MW)],ConsolidatedUnits2[Status Bucket Summary],$C42,ConsolidatedUnits2[Fuel Bucket Summary],G$39,ConsolidatedUnits2[Region],$C$11)),IF($C$13="S &amp; SS",IF($C$11="NEM",SUMIFS(ConsolidatedUnits2[Aggregated Upper Nameplate Capacity (MW)],ConsolidatedUnits2[Status Bucket Summary],$C42,ConsolidatedUnits2[Fuel Bucket Summary],G$39),SUMIFS(ConsolidatedUnits2[Aggregated Upper Nameplate Capacity (MW)],ConsolidatedUnits2[Status Bucket Summary],$C42,ConsolidatedUnits2[Fuel Bucket Summary],G$39,ConsolidatedUnits2[Region],$C$11))-IF($C$11="NEM",SUMIFS(ConsolidatedUnits2[Aggregated Upper Nameplate Capacity (MW)],ConsolidatedUnits2[Status Bucket Summary],$C42,ConsolidatedUnits2[Fuel Bucket Summary],G$39,ConsolidatedUnits2[Dispatch Type],"NS"),SUMIFS(ConsolidatedUnits2[Aggregated Upper Nameplate Capacity (MW)],ConsolidatedUnits2[Status Bucket Summary],$C42,ConsolidatedUnits2[Fuel Bucket Summary],G$39,ConsolidatedUnits2[Region],$C$11,ConsolidatedUnits2[Dispatch Type],"NS")),IF($C$11="NEM",SUMIFS(ConsolidatedUnits2[Aggregated Upper Nameplate Capacity (MW)],ConsolidatedUnits2[Status Bucket Summary],$C42,ConsolidatedUnits2[Fuel Bucket Summary],G$39,ConsolidatedUnits2[Dispatch Type],_xlfn.IFS($C$13="NS","NS",$C$13="SS","SS",$C$13="S","S")),SUMIFS(ConsolidatedUnits2[Aggregated Upper Nameplate Capacity (MW)],ConsolidatedUnits2[Status Bucket Summary],$C42,ConsolidatedUnits2[Fuel Bucket Summary],G$39,ConsolidatedUnits2[Region],$C$11,ConsolidatedUnits2[Dispatch Type],_xlfn.IFS($C$13="NS","NS",$C$13="SS","SS",$C$13="S","S")))))</f>
        <v>1108.47</v>
      </c>
      <c r="H42" s="141" cm="1">
        <f t="array" ref="H42">IF($C$13="S"&amp;CHAR(130)&amp;" SS &amp; NS",IF($C$11="NEM",SUMIFS(ConsolidatedUnits2[Aggregated Upper Nameplate Capacity (MW)],ConsolidatedUnits2[Status Bucket Summary],$C42,ConsolidatedUnits2[Fuel Bucket Summary],H$39),SUMIFS(ConsolidatedUnits2[Aggregated Upper Nameplate Capacity (MW)],ConsolidatedUnits2[Status Bucket Summary],$C42,ConsolidatedUnits2[Fuel Bucket Summary],H$39,ConsolidatedUnits2[Region],$C$11)),IF($C$13="S &amp; SS",IF($C$11="NEM",SUMIFS(ConsolidatedUnits2[Aggregated Upper Nameplate Capacity (MW)],ConsolidatedUnits2[Status Bucket Summary],$C42,ConsolidatedUnits2[Fuel Bucket Summary],H$39),SUMIFS(ConsolidatedUnits2[Aggregated Upper Nameplate Capacity (MW)],ConsolidatedUnits2[Status Bucket Summary],$C42,ConsolidatedUnits2[Fuel Bucket Summary],H$39,ConsolidatedUnits2[Region],$C$11))-IF($C$11="NEM",SUMIFS(ConsolidatedUnits2[Aggregated Upper Nameplate Capacity (MW)],ConsolidatedUnits2[Status Bucket Summary],$C42,ConsolidatedUnits2[Fuel Bucket Summary],H$39,ConsolidatedUnits2[Dispatch Type],"NS"),SUMIFS(ConsolidatedUnits2[Aggregated Upper Nameplate Capacity (MW)],ConsolidatedUnits2[Status Bucket Summary],$C42,ConsolidatedUnits2[Fuel Bucket Summary],H$39,ConsolidatedUnits2[Region],$C$11,ConsolidatedUnits2[Dispatch Type],"NS")),IF($C$11="NEM",SUMIFS(ConsolidatedUnits2[Aggregated Upper Nameplate Capacity (MW)],ConsolidatedUnits2[Status Bucket Summary],$C42,ConsolidatedUnits2[Fuel Bucket Summary],H$39,ConsolidatedUnits2[Dispatch Type],_xlfn.IFS($C$13="NS","NS",$C$13="SS","SS",$C$13="S","S")),SUMIFS(ConsolidatedUnits2[Aggregated Upper Nameplate Capacity (MW)],ConsolidatedUnits2[Status Bucket Summary],$C42,ConsolidatedUnits2[Fuel Bucket Summary],H$39,ConsolidatedUnits2[Region],$C$11,ConsolidatedUnits2[Dispatch Type],_xlfn.IFS($C$13="NS","NS",$C$13="SS","SS",$C$13="S","S")))))</f>
        <v>11631.469999999998</v>
      </c>
      <c r="I42" s="140" cm="1">
        <f t="array" ref="I42">IF($C$13="S"&amp;CHAR(130)&amp;" SS &amp; NS",IF($C$11="NEM",SUMIFS(ConsolidatedUnits2[Aggregated Upper Nameplate Capacity (MW)],ConsolidatedUnits2[Status Bucket Summary],$C42,ConsolidatedUnits2[Fuel Bucket Summary],I$39),SUMIFS(ConsolidatedUnits2[Aggregated Upper Nameplate Capacity (MW)],ConsolidatedUnits2[Status Bucket Summary],$C42,ConsolidatedUnits2[Fuel Bucket Summary],I$39,ConsolidatedUnits2[Region],$C$11)),IF($C$13="S &amp; SS",IF($C$11="NEM",SUMIFS(ConsolidatedUnits2[Aggregated Upper Nameplate Capacity (MW)],ConsolidatedUnits2[Status Bucket Summary],$C42,ConsolidatedUnits2[Fuel Bucket Summary],I$39),SUMIFS(ConsolidatedUnits2[Aggregated Upper Nameplate Capacity (MW)],ConsolidatedUnits2[Status Bucket Summary],$C42,ConsolidatedUnits2[Fuel Bucket Summary],I$39,ConsolidatedUnits2[Region],$C$11))-IF($C$11="NEM",SUMIFS(ConsolidatedUnits2[Aggregated Upper Nameplate Capacity (MW)],ConsolidatedUnits2[Status Bucket Summary],$C42,ConsolidatedUnits2[Fuel Bucket Summary],I$39,ConsolidatedUnits2[Dispatch Type],"NS"),SUMIFS(ConsolidatedUnits2[Aggregated Upper Nameplate Capacity (MW)],ConsolidatedUnits2[Status Bucket Summary],$C42,ConsolidatedUnits2[Fuel Bucket Summary],I$39,ConsolidatedUnits2[Region],$C$11,ConsolidatedUnits2[Dispatch Type],"NS")),IF($C$11="NEM",SUMIFS(ConsolidatedUnits2[Aggregated Upper Nameplate Capacity (MW)],ConsolidatedUnits2[Status Bucket Summary],$C42,ConsolidatedUnits2[Fuel Bucket Summary],I$39,ConsolidatedUnits2[Dispatch Type],_xlfn.IFS($C$13="NS","NS",$C$13="SS","SS",$C$13="S","S")),SUMIFS(ConsolidatedUnits2[Aggregated Upper Nameplate Capacity (MW)],ConsolidatedUnits2[Status Bucket Summary],$C42,ConsolidatedUnits2[Fuel Bucket Summary],I$39,ConsolidatedUnits2[Region],$C$11,ConsolidatedUnits2[Dispatch Type],_xlfn.IFS($C$13="NS","NS",$C$13="SS","SS",$C$13="S","S")))))</f>
        <v>14015.890000000005</v>
      </c>
      <c r="J42" s="141" cm="1">
        <f t="array" ref="J42">IF($C$13="S"&amp;CHAR(130)&amp;" SS &amp; NS",IF($C$11="NEM",SUMIFS(ConsolidatedUnits2[Aggregated Upper Nameplate Capacity (MW)],ConsolidatedUnits2[Status Bucket Summary],$C42,ConsolidatedUnits2[Fuel Bucket Summary],J$39),SUMIFS(ConsolidatedUnits2[Aggregated Upper Nameplate Capacity (MW)],ConsolidatedUnits2[Status Bucket Summary],$C42,ConsolidatedUnits2[Fuel Bucket Summary],J$39,ConsolidatedUnits2[Region],$C$11)),IF($C$13="S &amp; SS",IF($C$11="NEM",SUMIFS(ConsolidatedUnits2[Aggregated Upper Nameplate Capacity (MW)],ConsolidatedUnits2[Status Bucket Summary],$C42,ConsolidatedUnits2[Fuel Bucket Summary],J$39),SUMIFS(ConsolidatedUnits2[Aggregated Upper Nameplate Capacity (MW)],ConsolidatedUnits2[Status Bucket Summary],$C42,ConsolidatedUnits2[Fuel Bucket Summary],J$39,ConsolidatedUnits2[Region],$C$11))-IF($C$11="NEM",SUMIFS(ConsolidatedUnits2[Aggregated Upper Nameplate Capacity (MW)],ConsolidatedUnits2[Status Bucket Summary],$C42,ConsolidatedUnits2[Fuel Bucket Summary],J$39,ConsolidatedUnits2[Dispatch Type],"NS"),SUMIFS(ConsolidatedUnits2[Aggregated Upper Nameplate Capacity (MW)],ConsolidatedUnits2[Status Bucket Summary],$C42,ConsolidatedUnits2[Fuel Bucket Summary],J$39,ConsolidatedUnits2[Region],$C$11,ConsolidatedUnits2[Dispatch Type],"NS")),IF($C$11="NEM",SUMIFS(ConsolidatedUnits2[Aggregated Upper Nameplate Capacity (MW)],ConsolidatedUnits2[Status Bucket Summary],$C42,ConsolidatedUnits2[Fuel Bucket Summary],J$39,ConsolidatedUnits2[Dispatch Type],_xlfn.IFS($C$13="NS","NS",$C$13="SS","SS",$C$13="S","S")),SUMIFS(ConsolidatedUnits2[Aggregated Upper Nameplate Capacity (MW)],ConsolidatedUnits2[Status Bucket Summary],$C42,ConsolidatedUnits2[Fuel Bucket Summary],J$39,ConsolidatedUnits2[Region],$C$11,ConsolidatedUnits2[Dispatch Type],_xlfn.IFS($C$13="NS","NS",$C$13="SS","SS",$C$13="S","S")))))</f>
        <v>8026.6400000000012</v>
      </c>
      <c r="K42" s="140" cm="1">
        <f t="array" ref="K42">IF($C$13="S"&amp;CHAR(130)&amp;" SS &amp; NS",IF($C$11="NEM",SUMIFS(ConsolidatedUnits2[Aggregated Upper Nameplate Capacity (MW)],ConsolidatedUnits2[Status Bucket Summary],$C42,ConsolidatedUnits2[Fuel Bucket Summary],K$39),SUMIFS(ConsolidatedUnits2[Aggregated Upper Nameplate Capacity (MW)],ConsolidatedUnits2[Status Bucket Summary],$C42,ConsolidatedUnits2[Fuel Bucket Summary],K$39,ConsolidatedUnits2[Region],$C$11)),IF($C$13="S &amp; SS",IF($C$11="NEM",SUMIFS(ConsolidatedUnits2[Aggregated Upper Nameplate Capacity (MW)],ConsolidatedUnits2[Status Bucket Summary],$C42,ConsolidatedUnits2[Fuel Bucket Summary],K$39),SUMIFS(ConsolidatedUnits2[Aggregated Upper Nameplate Capacity (MW)],ConsolidatedUnits2[Status Bucket Summary],$C42,ConsolidatedUnits2[Fuel Bucket Summary],K$39,ConsolidatedUnits2[Region],$C$11))-IF($C$11="NEM",SUMIFS(ConsolidatedUnits2[Aggregated Upper Nameplate Capacity (MW)],ConsolidatedUnits2[Status Bucket Summary],$C42,ConsolidatedUnits2[Fuel Bucket Summary],K$39,ConsolidatedUnits2[Dispatch Type],"NS"),SUMIFS(ConsolidatedUnits2[Aggregated Upper Nameplate Capacity (MW)],ConsolidatedUnits2[Status Bucket Summary],$C42,ConsolidatedUnits2[Fuel Bucket Summary],K$39,ConsolidatedUnits2[Region],$C$11,ConsolidatedUnits2[Dispatch Type],"NS")),IF($C$11="NEM",SUMIFS(ConsolidatedUnits2[Aggregated Upper Nameplate Capacity (MW)],ConsolidatedUnits2[Status Bucket Summary],$C42,ConsolidatedUnits2[Fuel Bucket Summary],K$39,ConsolidatedUnits2[Dispatch Type],_xlfn.IFS($C$13="NS","NS",$C$13="SS","SS",$C$13="S","S")),SUMIFS(ConsolidatedUnits2[Aggregated Upper Nameplate Capacity (MW)],ConsolidatedUnits2[Status Bucket Summary],$C42,ConsolidatedUnits2[Fuel Bucket Summary],K$39,ConsolidatedUnits2[Region],$C$11,ConsolidatedUnits2[Dispatch Type],_xlfn.IFS($C$13="NS","NS",$C$13="SS","SS",$C$13="S","S")))))</f>
        <v>399.89000000000016</v>
      </c>
      <c r="L42" s="141" cm="1">
        <f t="array" ref="L42">IF($C$13="S"&amp;CHAR(130)&amp;" SS &amp; NS",IF($C$11="NEM",SUMIFS(ConsolidatedUnits2[Aggregated Upper Nameplate Capacity (MW)],ConsolidatedUnits2[Status Bucket Summary],$C42,ConsolidatedUnits2[Fuel Bucket Summary],L$39),SUMIFS(ConsolidatedUnits2[Aggregated Upper Nameplate Capacity (MW)],ConsolidatedUnits2[Status Bucket Summary],$C42,ConsolidatedUnits2[Fuel Bucket Summary],L$39,ConsolidatedUnits2[Region],$C$11)),IF($C$13="S &amp; SS",IF($C$11="NEM",SUMIFS(ConsolidatedUnits2[Aggregated Upper Nameplate Capacity (MW)],ConsolidatedUnits2[Status Bucket Summary],$C42,ConsolidatedUnits2[Fuel Bucket Summary],L$39),SUMIFS(ConsolidatedUnits2[Aggregated Upper Nameplate Capacity (MW)],ConsolidatedUnits2[Status Bucket Summary],$C42,ConsolidatedUnits2[Fuel Bucket Summary],L$39,ConsolidatedUnits2[Region],$C$11))-IF($C$11="NEM",SUMIFS(ConsolidatedUnits2[Aggregated Upper Nameplate Capacity (MW)],ConsolidatedUnits2[Status Bucket Summary],$C42,ConsolidatedUnits2[Fuel Bucket Summary],L$39,ConsolidatedUnits2[Dispatch Type],"NS"),SUMIFS(ConsolidatedUnits2[Aggregated Upper Nameplate Capacity (MW)],ConsolidatedUnits2[Status Bucket Summary],$C42,ConsolidatedUnits2[Fuel Bucket Summary],L$39,ConsolidatedUnits2[Region],$C$11,ConsolidatedUnits2[Dispatch Type],"NS")),IF($C$11="NEM",SUMIFS(ConsolidatedUnits2[Aggregated Upper Nameplate Capacity (MW)],ConsolidatedUnits2[Status Bucket Summary],$C42,ConsolidatedUnits2[Fuel Bucket Summary],L$39,ConsolidatedUnits2[Dispatch Type],_xlfn.IFS($C$13="NS","NS",$C$13="SS","SS",$C$13="S","S")),SUMIFS(ConsolidatedUnits2[Aggregated Upper Nameplate Capacity (MW)],ConsolidatedUnits2[Status Bucket Summary],$C42,ConsolidatedUnits2[Fuel Bucket Summary],L$39,ConsolidatedUnits2[Region],$C$11,ConsolidatedUnits2[Dispatch Type],_xlfn.IFS($C$13="NS","NS",$C$13="SS","SS",$C$13="S","S")))))</f>
        <v>4374.3199999999988</v>
      </c>
      <c r="M42" s="140" cm="1">
        <f t="array" ref="M42">IF($C$13="S"&amp;CHAR(130)&amp;" SS &amp; NS",IF($C$11="NEM",SUMIFS(ConsolidatedUnits2[Aggregated Upper Nameplate Capacity (MW)],ConsolidatedUnits2[Status Bucket Summary],$C42,ConsolidatedUnits2[Fuel Bucket Summary],M$39),SUMIFS(ConsolidatedUnits2[Aggregated Upper Nameplate Capacity (MW)],ConsolidatedUnits2[Status Bucket Summary],$C42,ConsolidatedUnits2[Fuel Bucket Summary],M$39,ConsolidatedUnits2[Region],$C$11)),IF($C$13="S &amp; SS",IF($C$11="NEM",SUMIFS(ConsolidatedUnits2[Aggregated Upper Nameplate Capacity (MW)],ConsolidatedUnits2[Status Bucket Summary],$C42,ConsolidatedUnits2[Fuel Bucket Summary],M$39),SUMIFS(ConsolidatedUnits2[Aggregated Upper Nameplate Capacity (MW)],ConsolidatedUnits2[Status Bucket Summary],$C42,ConsolidatedUnits2[Fuel Bucket Summary],M$39,ConsolidatedUnits2[Region],$C$11))-IF($C$11="NEM",SUMIFS(ConsolidatedUnits2[Aggregated Upper Nameplate Capacity (MW)],ConsolidatedUnits2[Status Bucket Summary],$C42,ConsolidatedUnits2[Fuel Bucket Summary],M$39,ConsolidatedUnits2[Dispatch Type],"NS"),SUMIFS(ConsolidatedUnits2[Aggregated Upper Nameplate Capacity (MW)],ConsolidatedUnits2[Status Bucket Summary],$C42,ConsolidatedUnits2[Fuel Bucket Summary],M$39,ConsolidatedUnits2[Region],$C$11,ConsolidatedUnits2[Dispatch Type],"NS")),IF($C$11="NEM",SUMIFS(ConsolidatedUnits2[Aggregated Upper Nameplate Capacity (MW)],ConsolidatedUnits2[Status Bucket Summary],$C42,ConsolidatedUnits2[Fuel Bucket Summary],M$39,ConsolidatedUnits2[Dispatch Type],_xlfn.IFS($C$13="NS","NS",$C$13="SS","SS",$C$13="S","S")),SUMIFS(ConsolidatedUnits2[Aggregated Upper Nameplate Capacity (MW)],ConsolidatedUnits2[Status Bucket Summary],$C42,ConsolidatedUnits2[Fuel Bucket Summary],M$39,ConsolidatedUnits2[Region],$C$11,ConsolidatedUnits2[Dispatch Type],_xlfn.IFS($C$13="NS","NS",$C$13="SS","SS",$C$13="S","S")))))</f>
        <v>152.22</v>
      </c>
      <c r="N42" s="87">
        <f>SUM(D42:M42)</f>
        <v>65501.760000000009</v>
      </c>
      <c r="O42" s="61"/>
      <c r="P42" s="135"/>
    </row>
    <row r="43" spans="1:16" ht="15" thickBot="1">
      <c r="A43" s="68"/>
      <c r="B43" s="92"/>
      <c r="C43" s="90" t="s">
        <v>26</v>
      </c>
      <c r="D43" s="87" cm="1">
        <f t="array" ref="D43">IF($C$13="S"&amp;CHAR(130)&amp;" SS &amp; NS",IF($C$11="NEM",SUMIFS(ConsolidatedUnits2[Aggregated Upper Nameplate Capacity (MW)],ConsolidatedUnits2[Status Bucket Summary],$C43,ConsolidatedUnits2[Fuel Bucket Summary],D$39),SUMIFS(ConsolidatedUnits2[Aggregated Upper Nameplate Capacity (MW)],ConsolidatedUnits2[Status Bucket Summary],$C43,ConsolidatedUnits2[Fuel Bucket Summary],D$39,ConsolidatedUnits2[Region],$C$11)),IF($C$13="S &amp; SS",IF($C$11="NEM",SUMIFS(ConsolidatedUnits2[Aggregated Upper Nameplate Capacity (MW)],ConsolidatedUnits2[Status Bucket Summary],$C43,ConsolidatedUnits2[Fuel Bucket Summary],D$39),SUMIFS(ConsolidatedUnits2[Aggregated Upper Nameplate Capacity (MW)],ConsolidatedUnits2[Status Bucket Summary],$C43,ConsolidatedUnits2[Fuel Bucket Summary],D$39,ConsolidatedUnits2[Region],$C$11))-IF($C$11="NEM",SUMIFS(ConsolidatedUnits2[Aggregated Upper Nameplate Capacity (MW)],ConsolidatedUnits2[Status Bucket Summary],$C43,ConsolidatedUnits2[Fuel Bucket Summary],D$39,ConsolidatedUnits2[Dispatch Type],"NS"),SUMIFS(ConsolidatedUnits2[Aggregated Upper Nameplate Capacity (MW)],ConsolidatedUnits2[Status Bucket Summary],$C43,ConsolidatedUnits2[Fuel Bucket Summary],D$39,ConsolidatedUnits2[Region],$C$11,ConsolidatedUnits2[Dispatch Type],"NS")),IF($C$11="NEM",SUMIFS(ConsolidatedUnits2[Aggregated Upper Nameplate Capacity (MW)],ConsolidatedUnits2[Status Bucket Summary],$C43,ConsolidatedUnits2[Fuel Bucket Summary],D$39,ConsolidatedUnits2[Dispatch Type],_xlfn.IFS($C$13="NS","NS",$C$13="SS","SS",$C$13="S","S")),SUMIFS(ConsolidatedUnits2[Aggregated Upper Nameplate Capacity (MW)],ConsolidatedUnits2[Status Bucket Summary],$C43,ConsolidatedUnits2[Fuel Bucket Summary],D$39,ConsolidatedUnits2[Region],$C$11,ConsolidatedUnits2[Dispatch Type],_xlfn.IFS($C$13="NS","NS",$C$13="SS","SS",$C$13="S","S")))))</f>
        <v>0</v>
      </c>
      <c r="E43" s="140" cm="1">
        <f t="array" ref="E43">IF($C$13="S"&amp;CHAR(130)&amp;" SS &amp; NS",IF($C$11="NEM",SUMIFS(ConsolidatedUnits2[Aggregated Upper Nameplate Capacity (MW)],ConsolidatedUnits2[Status Bucket Summary],$C43,ConsolidatedUnits2[Fuel Bucket Summary],E$39),SUMIFS(ConsolidatedUnits2[Aggregated Upper Nameplate Capacity (MW)],ConsolidatedUnits2[Status Bucket Summary],$C43,ConsolidatedUnits2[Fuel Bucket Summary],E$39,ConsolidatedUnits2[Region],$C$11)),IF($C$13="S &amp; SS",IF($C$11="NEM",SUMIFS(ConsolidatedUnits2[Aggregated Upper Nameplate Capacity (MW)],ConsolidatedUnits2[Status Bucket Summary],$C43,ConsolidatedUnits2[Fuel Bucket Summary],E$39),SUMIFS(ConsolidatedUnits2[Aggregated Upper Nameplate Capacity (MW)],ConsolidatedUnits2[Status Bucket Summary],$C43,ConsolidatedUnits2[Fuel Bucket Summary],E$39,ConsolidatedUnits2[Region],$C$11))-IF($C$11="NEM",SUMIFS(ConsolidatedUnits2[Aggregated Upper Nameplate Capacity (MW)],ConsolidatedUnits2[Status Bucket Summary],$C43,ConsolidatedUnits2[Fuel Bucket Summary],E$39,ConsolidatedUnits2[Dispatch Type],"NS"),SUMIFS(ConsolidatedUnits2[Aggregated Upper Nameplate Capacity (MW)],ConsolidatedUnits2[Status Bucket Summary],$C43,ConsolidatedUnits2[Fuel Bucket Summary],E$39,ConsolidatedUnits2[Region],$C$11,ConsolidatedUnits2[Dispatch Type],"NS")),IF($C$11="NEM",SUMIFS(ConsolidatedUnits2[Aggregated Upper Nameplate Capacity (MW)],ConsolidatedUnits2[Status Bucket Summary],$C43,ConsolidatedUnits2[Fuel Bucket Summary],E$39,ConsolidatedUnits2[Dispatch Type],_xlfn.IFS($C$13="NS","NS",$C$13="SS","SS",$C$13="S","S")),SUMIFS(ConsolidatedUnits2[Aggregated Upper Nameplate Capacity (MW)],ConsolidatedUnits2[Status Bucket Summary],$C43,ConsolidatedUnits2[Fuel Bucket Summary],E$39,ConsolidatedUnits2[Region],$C$11,ConsolidatedUnits2[Dispatch Type],_xlfn.IFS($C$13="NS","NS",$C$13="SS","SS",$C$13="S","S")))))</f>
        <v>0</v>
      </c>
      <c r="F43" s="141" cm="1">
        <f t="array" ref="F43">IF($C$13="S"&amp;CHAR(130)&amp;" SS &amp; NS",IF($C$11="NEM",SUMIFS(ConsolidatedUnits2[Aggregated Upper Nameplate Capacity (MW)],ConsolidatedUnits2[Status Bucket Summary],$C43,ConsolidatedUnits2[Fuel Bucket Summary],F$39),SUMIFS(ConsolidatedUnits2[Aggregated Upper Nameplate Capacity (MW)],ConsolidatedUnits2[Status Bucket Summary],$C43,ConsolidatedUnits2[Fuel Bucket Summary],F$39,ConsolidatedUnits2[Region],$C$11)),IF($C$13="S &amp; SS",IF($C$11="NEM",SUMIFS(ConsolidatedUnits2[Aggregated Upper Nameplate Capacity (MW)],ConsolidatedUnits2[Status Bucket Summary],$C43,ConsolidatedUnits2[Fuel Bucket Summary],F$39),SUMIFS(ConsolidatedUnits2[Aggregated Upper Nameplate Capacity (MW)],ConsolidatedUnits2[Status Bucket Summary],$C43,ConsolidatedUnits2[Fuel Bucket Summary],F$39,ConsolidatedUnits2[Region],$C$11))-IF($C$11="NEM",SUMIFS(ConsolidatedUnits2[Aggregated Upper Nameplate Capacity (MW)],ConsolidatedUnits2[Status Bucket Summary],$C43,ConsolidatedUnits2[Fuel Bucket Summary],F$39,ConsolidatedUnits2[Dispatch Type],"NS"),SUMIFS(ConsolidatedUnits2[Aggregated Upper Nameplate Capacity (MW)],ConsolidatedUnits2[Status Bucket Summary],$C43,ConsolidatedUnits2[Fuel Bucket Summary],F$39,ConsolidatedUnits2[Region],$C$11,ConsolidatedUnits2[Dispatch Type],"NS")),IF($C$11="NEM",SUMIFS(ConsolidatedUnits2[Aggregated Upper Nameplate Capacity (MW)],ConsolidatedUnits2[Status Bucket Summary],$C43,ConsolidatedUnits2[Fuel Bucket Summary],F$39,ConsolidatedUnits2[Dispatch Type],_xlfn.IFS($C$13="NS","NS",$C$13="SS","SS",$C$13="S","S")),SUMIFS(ConsolidatedUnits2[Aggregated Upper Nameplate Capacity (MW)],ConsolidatedUnits2[Status Bucket Summary],$C43,ConsolidatedUnits2[Fuel Bucket Summary],F$39,ConsolidatedUnits2[Region],$C$11,ConsolidatedUnits2[Dispatch Type],_xlfn.IFS($C$13="NS","NS",$C$13="SS","SS",$C$13="S","S")))))</f>
        <v>0</v>
      </c>
      <c r="G43" s="140" cm="1">
        <f t="array" ref="G43">IF($C$13="S"&amp;CHAR(130)&amp;" SS &amp; NS",IF($C$11="NEM",SUMIFS(ConsolidatedUnits2[Aggregated Upper Nameplate Capacity (MW)],ConsolidatedUnits2[Status Bucket Summary],$C43,ConsolidatedUnits2[Fuel Bucket Summary],G$39),SUMIFS(ConsolidatedUnits2[Aggregated Upper Nameplate Capacity (MW)],ConsolidatedUnits2[Status Bucket Summary],$C43,ConsolidatedUnits2[Fuel Bucket Summary],G$39,ConsolidatedUnits2[Region],$C$11)),IF($C$13="S &amp; SS",IF($C$11="NEM",SUMIFS(ConsolidatedUnits2[Aggregated Upper Nameplate Capacity (MW)],ConsolidatedUnits2[Status Bucket Summary],$C43,ConsolidatedUnits2[Fuel Bucket Summary],G$39),SUMIFS(ConsolidatedUnits2[Aggregated Upper Nameplate Capacity (MW)],ConsolidatedUnits2[Status Bucket Summary],$C43,ConsolidatedUnits2[Fuel Bucket Summary],G$39,ConsolidatedUnits2[Region],$C$11))-IF($C$11="NEM",SUMIFS(ConsolidatedUnits2[Aggregated Upper Nameplate Capacity (MW)],ConsolidatedUnits2[Status Bucket Summary],$C43,ConsolidatedUnits2[Fuel Bucket Summary],G$39,ConsolidatedUnits2[Dispatch Type],"NS"),SUMIFS(ConsolidatedUnits2[Aggregated Upper Nameplate Capacity (MW)],ConsolidatedUnits2[Status Bucket Summary],$C43,ConsolidatedUnits2[Fuel Bucket Summary],G$39,ConsolidatedUnits2[Region],$C$11,ConsolidatedUnits2[Dispatch Type],"NS")),IF($C$11="NEM",SUMIFS(ConsolidatedUnits2[Aggregated Upper Nameplate Capacity (MW)],ConsolidatedUnits2[Status Bucket Summary],$C43,ConsolidatedUnits2[Fuel Bucket Summary],G$39,ConsolidatedUnits2[Dispatch Type],_xlfn.IFS($C$13="NS","NS",$C$13="SS","SS",$C$13="S","S")),SUMIFS(ConsolidatedUnits2[Aggregated Upper Nameplate Capacity (MW)],ConsolidatedUnits2[Status Bucket Summary],$C43,ConsolidatedUnits2[Fuel Bucket Summary],G$39,ConsolidatedUnits2[Region],$C$11,ConsolidatedUnits2[Dispatch Type],_xlfn.IFS($C$13="NS","NS",$C$13="SS","SS",$C$13="S","S")))))</f>
        <v>0</v>
      </c>
      <c r="H43" s="141" cm="1">
        <f t="array" ref="H43">IF($C$13="S"&amp;CHAR(130)&amp;" SS &amp; NS",IF($C$11="NEM",SUMIFS(ConsolidatedUnits2[Aggregated Upper Nameplate Capacity (MW)],ConsolidatedUnits2[Status Bucket Summary],$C43,ConsolidatedUnits2[Fuel Bucket Summary],H$39),SUMIFS(ConsolidatedUnits2[Aggregated Upper Nameplate Capacity (MW)],ConsolidatedUnits2[Status Bucket Summary],$C43,ConsolidatedUnits2[Fuel Bucket Summary],H$39,ConsolidatedUnits2[Region],$C$11)),IF($C$13="S &amp; SS",IF($C$11="NEM",SUMIFS(ConsolidatedUnits2[Aggregated Upper Nameplate Capacity (MW)],ConsolidatedUnits2[Status Bucket Summary],$C43,ConsolidatedUnits2[Fuel Bucket Summary],H$39),SUMIFS(ConsolidatedUnits2[Aggregated Upper Nameplate Capacity (MW)],ConsolidatedUnits2[Status Bucket Summary],$C43,ConsolidatedUnits2[Fuel Bucket Summary],H$39,ConsolidatedUnits2[Region],$C$11))-IF($C$11="NEM",SUMIFS(ConsolidatedUnits2[Aggregated Upper Nameplate Capacity (MW)],ConsolidatedUnits2[Status Bucket Summary],$C43,ConsolidatedUnits2[Fuel Bucket Summary],H$39,ConsolidatedUnits2[Dispatch Type],"NS"),SUMIFS(ConsolidatedUnits2[Aggregated Upper Nameplate Capacity (MW)],ConsolidatedUnits2[Status Bucket Summary],$C43,ConsolidatedUnits2[Fuel Bucket Summary],H$39,ConsolidatedUnits2[Region],$C$11,ConsolidatedUnits2[Dispatch Type],"NS")),IF($C$11="NEM",SUMIFS(ConsolidatedUnits2[Aggregated Upper Nameplate Capacity (MW)],ConsolidatedUnits2[Status Bucket Summary],$C43,ConsolidatedUnits2[Fuel Bucket Summary],H$39,ConsolidatedUnits2[Dispatch Type],_xlfn.IFS($C$13="NS","NS",$C$13="SS","SS",$C$13="S","S")),SUMIFS(ConsolidatedUnits2[Aggregated Upper Nameplate Capacity (MW)],ConsolidatedUnits2[Status Bucket Summary],$C43,ConsolidatedUnits2[Fuel Bucket Summary],H$39,ConsolidatedUnits2[Region],$C$11,ConsolidatedUnits2[Dispatch Type],_xlfn.IFS($C$13="NS","NS",$C$13="SS","SS",$C$13="S","S")))))</f>
        <v>0</v>
      </c>
      <c r="I43" s="140" cm="1">
        <f t="array" ref="I43">IF($C$13="S"&amp;CHAR(130)&amp;" SS &amp; NS",IF($C$11="NEM",SUMIFS(ConsolidatedUnits2[Aggregated Upper Nameplate Capacity (MW)],ConsolidatedUnits2[Status Bucket Summary],$C43,ConsolidatedUnits2[Fuel Bucket Summary],I$39),SUMIFS(ConsolidatedUnits2[Aggregated Upper Nameplate Capacity (MW)],ConsolidatedUnits2[Status Bucket Summary],$C43,ConsolidatedUnits2[Fuel Bucket Summary],I$39,ConsolidatedUnits2[Region],$C$11)),IF($C$13="S &amp; SS",IF($C$11="NEM",SUMIFS(ConsolidatedUnits2[Aggregated Upper Nameplate Capacity (MW)],ConsolidatedUnits2[Status Bucket Summary],$C43,ConsolidatedUnits2[Fuel Bucket Summary],I$39),SUMIFS(ConsolidatedUnits2[Aggregated Upper Nameplate Capacity (MW)],ConsolidatedUnits2[Status Bucket Summary],$C43,ConsolidatedUnits2[Fuel Bucket Summary],I$39,ConsolidatedUnits2[Region],$C$11))-IF($C$11="NEM",SUMIFS(ConsolidatedUnits2[Aggregated Upper Nameplate Capacity (MW)],ConsolidatedUnits2[Status Bucket Summary],$C43,ConsolidatedUnits2[Fuel Bucket Summary],I$39,ConsolidatedUnits2[Dispatch Type],"NS"),SUMIFS(ConsolidatedUnits2[Aggregated Upper Nameplate Capacity (MW)],ConsolidatedUnits2[Status Bucket Summary],$C43,ConsolidatedUnits2[Fuel Bucket Summary],I$39,ConsolidatedUnits2[Region],$C$11,ConsolidatedUnits2[Dispatch Type],"NS")),IF($C$11="NEM",SUMIFS(ConsolidatedUnits2[Aggregated Upper Nameplate Capacity (MW)],ConsolidatedUnits2[Status Bucket Summary],$C43,ConsolidatedUnits2[Fuel Bucket Summary],I$39,ConsolidatedUnits2[Dispatch Type],_xlfn.IFS($C$13="NS","NS",$C$13="SS","SS",$C$13="S","S")),SUMIFS(ConsolidatedUnits2[Aggregated Upper Nameplate Capacity (MW)],ConsolidatedUnits2[Status Bucket Summary],$C43,ConsolidatedUnits2[Fuel Bucket Summary],I$39,ConsolidatedUnits2[Region],$C$11,ConsolidatedUnits2[Dispatch Type],_xlfn.IFS($C$13="NS","NS",$C$13="SS","SS",$C$13="S","S")))))</f>
        <v>0</v>
      </c>
      <c r="J43" s="141" cm="1">
        <f t="array" ref="J43">IF($C$13="S"&amp;CHAR(130)&amp;" SS &amp; NS",IF($C$11="NEM",SUMIFS(ConsolidatedUnits2[Aggregated Upper Nameplate Capacity (MW)],ConsolidatedUnits2[Status Bucket Summary],$C43,ConsolidatedUnits2[Fuel Bucket Summary],J$39),SUMIFS(ConsolidatedUnits2[Aggregated Upper Nameplate Capacity (MW)],ConsolidatedUnits2[Status Bucket Summary],$C43,ConsolidatedUnits2[Fuel Bucket Summary],J$39,ConsolidatedUnits2[Region],$C$11)),IF($C$13="S &amp; SS",IF($C$11="NEM",SUMIFS(ConsolidatedUnits2[Aggregated Upper Nameplate Capacity (MW)],ConsolidatedUnits2[Status Bucket Summary],$C43,ConsolidatedUnits2[Fuel Bucket Summary],J$39),SUMIFS(ConsolidatedUnits2[Aggregated Upper Nameplate Capacity (MW)],ConsolidatedUnits2[Status Bucket Summary],$C43,ConsolidatedUnits2[Fuel Bucket Summary],J$39,ConsolidatedUnits2[Region],$C$11))-IF($C$11="NEM",SUMIFS(ConsolidatedUnits2[Aggregated Upper Nameplate Capacity (MW)],ConsolidatedUnits2[Status Bucket Summary],$C43,ConsolidatedUnits2[Fuel Bucket Summary],J$39,ConsolidatedUnits2[Dispatch Type],"NS"),SUMIFS(ConsolidatedUnits2[Aggregated Upper Nameplate Capacity (MW)],ConsolidatedUnits2[Status Bucket Summary],$C43,ConsolidatedUnits2[Fuel Bucket Summary],J$39,ConsolidatedUnits2[Region],$C$11,ConsolidatedUnits2[Dispatch Type],"NS")),IF($C$11="NEM",SUMIFS(ConsolidatedUnits2[Aggregated Upper Nameplate Capacity (MW)],ConsolidatedUnits2[Status Bucket Summary],$C43,ConsolidatedUnits2[Fuel Bucket Summary],J$39,ConsolidatedUnits2[Dispatch Type],_xlfn.IFS($C$13="NS","NS",$C$13="SS","SS",$C$13="S","S")),SUMIFS(ConsolidatedUnits2[Aggregated Upper Nameplate Capacity (MW)],ConsolidatedUnits2[Status Bucket Summary],$C43,ConsolidatedUnits2[Fuel Bucket Summary],J$39,ConsolidatedUnits2[Region],$C$11,ConsolidatedUnits2[Dispatch Type],_xlfn.IFS($C$13="NS","NS",$C$13="SS","SS",$C$13="S","S")))))</f>
        <v>0</v>
      </c>
      <c r="K43" s="140" cm="1">
        <f t="array" ref="K43">IF($C$13="S"&amp;CHAR(130)&amp;" SS &amp; NS",IF($C$11="NEM",SUMIFS(ConsolidatedUnits2[Aggregated Upper Nameplate Capacity (MW)],ConsolidatedUnits2[Status Bucket Summary],$C43,ConsolidatedUnits2[Fuel Bucket Summary],K$39),SUMIFS(ConsolidatedUnits2[Aggregated Upper Nameplate Capacity (MW)],ConsolidatedUnits2[Status Bucket Summary],$C43,ConsolidatedUnits2[Fuel Bucket Summary],K$39,ConsolidatedUnits2[Region],$C$11)),IF($C$13="S &amp; SS",IF($C$11="NEM",SUMIFS(ConsolidatedUnits2[Aggregated Upper Nameplate Capacity (MW)],ConsolidatedUnits2[Status Bucket Summary],$C43,ConsolidatedUnits2[Fuel Bucket Summary],K$39),SUMIFS(ConsolidatedUnits2[Aggregated Upper Nameplate Capacity (MW)],ConsolidatedUnits2[Status Bucket Summary],$C43,ConsolidatedUnits2[Fuel Bucket Summary],K$39,ConsolidatedUnits2[Region],$C$11))-IF($C$11="NEM",SUMIFS(ConsolidatedUnits2[Aggregated Upper Nameplate Capacity (MW)],ConsolidatedUnits2[Status Bucket Summary],$C43,ConsolidatedUnits2[Fuel Bucket Summary],K$39,ConsolidatedUnits2[Dispatch Type],"NS"),SUMIFS(ConsolidatedUnits2[Aggregated Upper Nameplate Capacity (MW)],ConsolidatedUnits2[Status Bucket Summary],$C43,ConsolidatedUnits2[Fuel Bucket Summary],K$39,ConsolidatedUnits2[Region],$C$11,ConsolidatedUnits2[Dispatch Type],"NS")),IF($C$11="NEM",SUMIFS(ConsolidatedUnits2[Aggregated Upper Nameplate Capacity (MW)],ConsolidatedUnits2[Status Bucket Summary],$C43,ConsolidatedUnits2[Fuel Bucket Summary],K$39,ConsolidatedUnits2[Dispatch Type],_xlfn.IFS($C$13="NS","NS",$C$13="SS","SS",$C$13="S","S")),SUMIFS(ConsolidatedUnits2[Aggregated Upper Nameplate Capacity (MW)],ConsolidatedUnits2[Status Bucket Summary],$C43,ConsolidatedUnits2[Fuel Bucket Summary],K$39,ConsolidatedUnits2[Region],$C$11,ConsolidatedUnits2[Dispatch Type],_xlfn.IFS($C$13="NS","NS",$C$13="SS","SS",$C$13="S","S")))))</f>
        <v>0</v>
      </c>
      <c r="L43" s="141" cm="1">
        <f t="array" ref="L43">IF($C$13="S"&amp;CHAR(130)&amp;" SS &amp; NS",IF($C$11="NEM",SUMIFS(ConsolidatedUnits2[Aggregated Upper Nameplate Capacity (MW)],ConsolidatedUnits2[Status Bucket Summary],$C43,ConsolidatedUnits2[Fuel Bucket Summary],L$39),SUMIFS(ConsolidatedUnits2[Aggregated Upper Nameplate Capacity (MW)],ConsolidatedUnits2[Status Bucket Summary],$C43,ConsolidatedUnits2[Fuel Bucket Summary],L$39,ConsolidatedUnits2[Region],$C$11)),IF($C$13="S &amp; SS",IF($C$11="NEM",SUMIFS(ConsolidatedUnits2[Aggregated Upper Nameplate Capacity (MW)],ConsolidatedUnits2[Status Bucket Summary],$C43,ConsolidatedUnits2[Fuel Bucket Summary],L$39),SUMIFS(ConsolidatedUnits2[Aggregated Upper Nameplate Capacity (MW)],ConsolidatedUnits2[Status Bucket Summary],$C43,ConsolidatedUnits2[Fuel Bucket Summary],L$39,ConsolidatedUnits2[Region],$C$11))-IF($C$11="NEM",SUMIFS(ConsolidatedUnits2[Aggregated Upper Nameplate Capacity (MW)],ConsolidatedUnits2[Status Bucket Summary],$C43,ConsolidatedUnits2[Fuel Bucket Summary],L$39,ConsolidatedUnits2[Dispatch Type],"NS"),SUMIFS(ConsolidatedUnits2[Aggregated Upper Nameplate Capacity (MW)],ConsolidatedUnits2[Status Bucket Summary],$C43,ConsolidatedUnits2[Fuel Bucket Summary],L$39,ConsolidatedUnits2[Region],$C$11,ConsolidatedUnits2[Dispatch Type],"NS")),IF($C$11="NEM",SUMIFS(ConsolidatedUnits2[Aggregated Upper Nameplate Capacity (MW)],ConsolidatedUnits2[Status Bucket Summary],$C43,ConsolidatedUnits2[Fuel Bucket Summary],L$39,ConsolidatedUnits2[Dispatch Type],_xlfn.IFS($C$13="NS","NS",$C$13="SS","SS",$C$13="S","S")),SUMIFS(ConsolidatedUnits2[Aggregated Upper Nameplate Capacity (MW)],ConsolidatedUnits2[Status Bucket Summary],$C43,ConsolidatedUnits2[Fuel Bucket Summary],L$39,ConsolidatedUnits2[Region],$C$11,ConsolidatedUnits2[Dispatch Type],_xlfn.IFS($C$13="NS","NS",$C$13="SS","SS",$C$13="S","S")))))</f>
        <v>0</v>
      </c>
      <c r="M43" s="140" cm="1">
        <f t="array" ref="M43">IF($C$13="S"&amp;CHAR(130)&amp;" SS &amp; NS",IF($C$11="NEM",SUMIFS(ConsolidatedUnits2[Aggregated Upper Nameplate Capacity (MW)],ConsolidatedUnits2[Status Bucket Summary],$C43,ConsolidatedUnits2[Fuel Bucket Summary],M$39),SUMIFS(ConsolidatedUnits2[Aggregated Upper Nameplate Capacity (MW)],ConsolidatedUnits2[Status Bucket Summary],$C43,ConsolidatedUnits2[Fuel Bucket Summary],M$39,ConsolidatedUnits2[Region],$C$11)),IF($C$13="S &amp; SS",IF($C$11="NEM",SUMIFS(ConsolidatedUnits2[Aggregated Upper Nameplate Capacity (MW)],ConsolidatedUnits2[Status Bucket Summary],$C43,ConsolidatedUnits2[Fuel Bucket Summary],M$39),SUMIFS(ConsolidatedUnits2[Aggregated Upper Nameplate Capacity (MW)],ConsolidatedUnits2[Status Bucket Summary],$C43,ConsolidatedUnits2[Fuel Bucket Summary],M$39,ConsolidatedUnits2[Region],$C$11))-IF($C$11="NEM",SUMIFS(ConsolidatedUnits2[Aggregated Upper Nameplate Capacity (MW)],ConsolidatedUnits2[Status Bucket Summary],$C43,ConsolidatedUnits2[Fuel Bucket Summary],M$39,ConsolidatedUnits2[Dispatch Type],"NS"),SUMIFS(ConsolidatedUnits2[Aggregated Upper Nameplate Capacity (MW)],ConsolidatedUnits2[Status Bucket Summary],$C43,ConsolidatedUnits2[Fuel Bucket Summary],M$39,ConsolidatedUnits2[Region],$C$11,ConsolidatedUnits2[Dispatch Type],"NS")),IF($C$11="NEM",SUMIFS(ConsolidatedUnits2[Aggregated Upper Nameplate Capacity (MW)],ConsolidatedUnits2[Status Bucket Summary],$C43,ConsolidatedUnits2[Fuel Bucket Summary],M$39,ConsolidatedUnits2[Dispatch Type],_xlfn.IFS($C$13="NS","NS",$C$13="SS","SS",$C$13="S","S")),SUMIFS(ConsolidatedUnits2[Aggregated Upper Nameplate Capacity (MW)],ConsolidatedUnits2[Status Bucket Summary],$C43,ConsolidatedUnits2[Fuel Bucket Summary],M$39,ConsolidatedUnits2[Region],$C$11,ConsolidatedUnits2[Dispatch Type],_xlfn.IFS($C$13="NS","NS",$C$13="SS","SS",$C$13="S","S")))))</f>
        <v>0</v>
      </c>
      <c r="N43" s="87">
        <f t="shared" ref="N43:N45" si="2">SUM(D43:M43)</f>
        <v>0</v>
      </c>
      <c r="O43" s="61"/>
      <c r="P43" s="135"/>
    </row>
    <row r="44" spans="1:16" ht="15" thickBot="1">
      <c r="A44" s="68"/>
      <c r="B44" s="133"/>
      <c r="C44" s="90" t="s">
        <v>27</v>
      </c>
      <c r="D44" s="87" cm="1">
        <f t="array" ref="D44">IF($C$13="S"&amp;CHAR(130)&amp;" SS &amp; NS",IF($C$11="NEM",SUMIFS(ConsolidatedUnits2[Aggregated Upper Nameplate Capacity (MW)],ConsolidatedUnits2[Status Bucket Summary],$C44,ConsolidatedUnits2[Fuel Bucket Summary],D$39),SUMIFS(ConsolidatedUnits2[Aggregated Upper Nameplate Capacity (MW)],ConsolidatedUnits2[Status Bucket Summary],$C44,ConsolidatedUnits2[Fuel Bucket Summary],D$39,ConsolidatedUnits2[Region],$C$11)),IF($C$13="S &amp; SS",IF($C$11="NEM",SUMIFS(ConsolidatedUnits2[Aggregated Upper Nameplate Capacity (MW)],ConsolidatedUnits2[Status Bucket Summary],$C44,ConsolidatedUnits2[Fuel Bucket Summary],D$39),SUMIFS(ConsolidatedUnits2[Aggregated Upper Nameplate Capacity (MW)],ConsolidatedUnits2[Status Bucket Summary],$C44,ConsolidatedUnits2[Fuel Bucket Summary],D$39,ConsolidatedUnits2[Region],$C$11))-IF($C$11="NEM",SUMIFS(ConsolidatedUnits2[Aggregated Upper Nameplate Capacity (MW)],ConsolidatedUnits2[Status Bucket Summary],$C44,ConsolidatedUnits2[Fuel Bucket Summary],D$39,ConsolidatedUnits2[Dispatch Type],"NS"),SUMIFS(ConsolidatedUnits2[Aggregated Upper Nameplate Capacity (MW)],ConsolidatedUnits2[Status Bucket Summary],$C44,ConsolidatedUnits2[Fuel Bucket Summary],D$39,ConsolidatedUnits2[Region],$C$11,ConsolidatedUnits2[Dispatch Type],"NS")),IF($C$11="NEM",SUMIFS(ConsolidatedUnits2[Aggregated Upper Nameplate Capacity (MW)],ConsolidatedUnits2[Status Bucket Summary],$C44,ConsolidatedUnits2[Fuel Bucket Summary],D$39,ConsolidatedUnits2[Dispatch Type],_xlfn.IFS($C$13="NS","NS",$C$13="SS","SS",$C$13="S","S")),SUMIFS(ConsolidatedUnits2[Aggregated Upper Nameplate Capacity (MW)],ConsolidatedUnits2[Status Bucket Summary],$C44,ConsolidatedUnits2[Fuel Bucket Summary],D$39,ConsolidatedUnits2[Region],$C$11,ConsolidatedUnits2[Dispatch Type],_xlfn.IFS($C$13="NS","NS",$C$13="SS","SS",$C$13="S","S")))))</f>
        <v>0</v>
      </c>
      <c r="E44" s="140" cm="1">
        <f t="array" ref="E44">IF($C$13="S"&amp;CHAR(130)&amp;" SS &amp; NS",IF($C$11="NEM",SUMIFS(ConsolidatedUnits2[Aggregated Upper Nameplate Capacity (MW)],ConsolidatedUnits2[Status Bucket Summary],$C44,ConsolidatedUnits2[Fuel Bucket Summary],E$39),SUMIFS(ConsolidatedUnits2[Aggregated Upper Nameplate Capacity (MW)],ConsolidatedUnits2[Status Bucket Summary],$C44,ConsolidatedUnits2[Fuel Bucket Summary],E$39,ConsolidatedUnits2[Region],$C$11)),IF($C$13="S &amp; SS",IF($C$11="NEM",SUMIFS(ConsolidatedUnits2[Aggregated Upper Nameplate Capacity (MW)],ConsolidatedUnits2[Status Bucket Summary],$C44,ConsolidatedUnits2[Fuel Bucket Summary],E$39),SUMIFS(ConsolidatedUnits2[Aggregated Upper Nameplate Capacity (MW)],ConsolidatedUnits2[Status Bucket Summary],$C44,ConsolidatedUnits2[Fuel Bucket Summary],E$39,ConsolidatedUnits2[Region],$C$11))-IF($C$11="NEM",SUMIFS(ConsolidatedUnits2[Aggregated Upper Nameplate Capacity (MW)],ConsolidatedUnits2[Status Bucket Summary],$C44,ConsolidatedUnits2[Fuel Bucket Summary],E$39,ConsolidatedUnits2[Dispatch Type],"NS"),SUMIFS(ConsolidatedUnits2[Aggregated Upper Nameplate Capacity (MW)],ConsolidatedUnits2[Status Bucket Summary],$C44,ConsolidatedUnits2[Fuel Bucket Summary],E$39,ConsolidatedUnits2[Region],$C$11,ConsolidatedUnits2[Dispatch Type],"NS")),IF($C$11="NEM",SUMIFS(ConsolidatedUnits2[Aggregated Upper Nameplate Capacity (MW)],ConsolidatedUnits2[Status Bucket Summary],$C44,ConsolidatedUnits2[Fuel Bucket Summary],E$39,ConsolidatedUnits2[Dispatch Type],_xlfn.IFS($C$13="NS","NS",$C$13="SS","SS",$C$13="S","S")),SUMIFS(ConsolidatedUnits2[Aggregated Upper Nameplate Capacity (MW)],ConsolidatedUnits2[Status Bucket Summary],$C44,ConsolidatedUnits2[Fuel Bucket Summary],E$39,ConsolidatedUnits2[Region],$C$11,ConsolidatedUnits2[Dispatch Type],_xlfn.IFS($C$13="NS","NS",$C$13="SS","SS",$C$13="S","S")))))</f>
        <v>0</v>
      </c>
      <c r="F44" s="141" cm="1">
        <f t="array" ref="F44">IF($C$13="S"&amp;CHAR(130)&amp;" SS &amp; NS",IF($C$11="NEM",SUMIFS(ConsolidatedUnits2[Aggregated Upper Nameplate Capacity (MW)],ConsolidatedUnits2[Status Bucket Summary],$C44,ConsolidatedUnits2[Fuel Bucket Summary],F$39),SUMIFS(ConsolidatedUnits2[Aggregated Upper Nameplate Capacity (MW)],ConsolidatedUnits2[Status Bucket Summary],$C44,ConsolidatedUnits2[Fuel Bucket Summary],F$39,ConsolidatedUnits2[Region],$C$11)),IF($C$13="S &amp; SS",IF($C$11="NEM",SUMIFS(ConsolidatedUnits2[Aggregated Upper Nameplate Capacity (MW)],ConsolidatedUnits2[Status Bucket Summary],$C44,ConsolidatedUnits2[Fuel Bucket Summary],F$39),SUMIFS(ConsolidatedUnits2[Aggregated Upper Nameplate Capacity (MW)],ConsolidatedUnits2[Status Bucket Summary],$C44,ConsolidatedUnits2[Fuel Bucket Summary],F$39,ConsolidatedUnits2[Region],$C$11))-IF($C$11="NEM",SUMIFS(ConsolidatedUnits2[Aggregated Upper Nameplate Capacity (MW)],ConsolidatedUnits2[Status Bucket Summary],$C44,ConsolidatedUnits2[Fuel Bucket Summary],F$39,ConsolidatedUnits2[Dispatch Type],"NS"),SUMIFS(ConsolidatedUnits2[Aggregated Upper Nameplate Capacity (MW)],ConsolidatedUnits2[Status Bucket Summary],$C44,ConsolidatedUnits2[Fuel Bucket Summary],F$39,ConsolidatedUnits2[Region],$C$11,ConsolidatedUnits2[Dispatch Type],"NS")),IF($C$11="NEM",SUMIFS(ConsolidatedUnits2[Aggregated Upper Nameplate Capacity (MW)],ConsolidatedUnits2[Status Bucket Summary],$C44,ConsolidatedUnits2[Fuel Bucket Summary],F$39,ConsolidatedUnits2[Dispatch Type],_xlfn.IFS($C$13="NS","NS",$C$13="SS","SS",$C$13="S","S")),SUMIFS(ConsolidatedUnits2[Aggregated Upper Nameplate Capacity (MW)],ConsolidatedUnits2[Status Bucket Summary],$C44,ConsolidatedUnits2[Fuel Bucket Summary],F$39,ConsolidatedUnits2[Region],$C$11,ConsolidatedUnits2[Dispatch Type],_xlfn.IFS($C$13="NS","NS",$C$13="SS","SS",$C$13="S","S")))))</f>
        <v>0</v>
      </c>
      <c r="G44" s="140" cm="1">
        <f t="array" ref="G44">IF($C$13="S"&amp;CHAR(130)&amp;" SS &amp; NS",IF($C$11="NEM",SUMIFS(ConsolidatedUnits2[Aggregated Upper Nameplate Capacity (MW)],ConsolidatedUnits2[Status Bucket Summary],$C44,ConsolidatedUnits2[Fuel Bucket Summary],G$39),SUMIFS(ConsolidatedUnits2[Aggregated Upper Nameplate Capacity (MW)],ConsolidatedUnits2[Status Bucket Summary],$C44,ConsolidatedUnits2[Fuel Bucket Summary],G$39,ConsolidatedUnits2[Region],$C$11)),IF($C$13="S &amp; SS",IF($C$11="NEM",SUMIFS(ConsolidatedUnits2[Aggregated Upper Nameplate Capacity (MW)],ConsolidatedUnits2[Status Bucket Summary],$C44,ConsolidatedUnits2[Fuel Bucket Summary],G$39),SUMIFS(ConsolidatedUnits2[Aggregated Upper Nameplate Capacity (MW)],ConsolidatedUnits2[Status Bucket Summary],$C44,ConsolidatedUnits2[Fuel Bucket Summary],G$39,ConsolidatedUnits2[Region],$C$11))-IF($C$11="NEM",SUMIFS(ConsolidatedUnits2[Aggregated Upper Nameplate Capacity (MW)],ConsolidatedUnits2[Status Bucket Summary],$C44,ConsolidatedUnits2[Fuel Bucket Summary],G$39,ConsolidatedUnits2[Dispatch Type],"NS"),SUMIFS(ConsolidatedUnits2[Aggregated Upper Nameplate Capacity (MW)],ConsolidatedUnits2[Status Bucket Summary],$C44,ConsolidatedUnits2[Fuel Bucket Summary],G$39,ConsolidatedUnits2[Region],$C$11,ConsolidatedUnits2[Dispatch Type],"NS")),IF($C$11="NEM",SUMIFS(ConsolidatedUnits2[Aggregated Upper Nameplate Capacity (MW)],ConsolidatedUnits2[Status Bucket Summary],$C44,ConsolidatedUnits2[Fuel Bucket Summary],G$39,ConsolidatedUnits2[Dispatch Type],_xlfn.IFS($C$13="NS","NS",$C$13="SS","SS",$C$13="S","S")),SUMIFS(ConsolidatedUnits2[Aggregated Upper Nameplate Capacity (MW)],ConsolidatedUnits2[Status Bucket Summary],$C44,ConsolidatedUnits2[Fuel Bucket Summary],G$39,ConsolidatedUnits2[Region],$C$11,ConsolidatedUnits2[Dispatch Type],_xlfn.IFS($C$13="NS","NS",$C$13="SS","SS",$C$13="S","S")))))</f>
        <v>0</v>
      </c>
      <c r="H44" s="141" cm="1">
        <f t="array" ref="H44">IF($C$13="S"&amp;CHAR(130)&amp;" SS &amp; NS",IF($C$11="NEM",SUMIFS(ConsolidatedUnits2[Aggregated Upper Nameplate Capacity (MW)],ConsolidatedUnits2[Status Bucket Summary],$C44,ConsolidatedUnits2[Fuel Bucket Summary],H$39),SUMIFS(ConsolidatedUnits2[Aggregated Upper Nameplate Capacity (MW)],ConsolidatedUnits2[Status Bucket Summary],$C44,ConsolidatedUnits2[Fuel Bucket Summary],H$39,ConsolidatedUnits2[Region],$C$11)),IF($C$13="S &amp; SS",IF($C$11="NEM",SUMIFS(ConsolidatedUnits2[Aggregated Upper Nameplate Capacity (MW)],ConsolidatedUnits2[Status Bucket Summary],$C44,ConsolidatedUnits2[Fuel Bucket Summary],H$39),SUMIFS(ConsolidatedUnits2[Aggregated Upper Nameplate Capacity (MW)],ConsolidatedUnits2[Status Bucket Summary],$C44,ConsolidatedUnits2[Fuel Bucket Summary],H$39,ConsolidatedUnits2[Region],$C$11))-IF($C$11="NEM",SUMIFS(ConsolidatedUnits2[Aggregated Upper Nameplate Capacity (MW)],ConsolidatedUnits2[Status Bucket Summary],$C44,ConsolidatedUnits2[Fuel Bucket Summary],H$39,ConsolidatedUnits2[Dispatch Type],"NS"),SUMIFS(ConsolidatedUnits2[Aggregated Upper Nameplate Capacity (MW)],ConsolidatedUnits2[Status Bucket Summary],$C44,ConsolidatedUnits2[Fuel Bucket Summary],H$39,ConsolidatedUnits2[Region],$C$11,ConsolidatedUnits2[Dispatch Type],"NS")),IF($C$11="NEM",SUMIFS(ConsolidatedUnits2[Aggregated Upper Nameplate Capacity (MW)],ConsolidatedUnits2[Status Bucket Summary],$C44,ConsolidatedUnits2[Fuel Bucket Summary],H$39,ConsolidatedUnits2[Dispatch Type],_xlfn.IFS($C$13="NS","NS",$C$13="SS","SS",$C$13="S","S")),SUMIFS(ConsolidatedUnits2[Aggregated Upper Nameplate Capacity (MW)],ConsolidatedUnits2[Status Bucket Summary],$C44,ConsolidatedUnits2[Fuel Bucket Summary],H$39,ConsolidatedUnits2[Region],$C$11,ConsolidatedUnits2[Dispatch Type],_xlfn.IFS($C$13="NS","NS",$C$13="SS","SS",$C$13="S","S")))))</f>
        <v>1963.4399999999998</v>
      </c>
      <c r="I44" s="140" cm="1">
        <f t="array" ref="I44">IF($C$13="S"&amp;CHAR(130)&amp;" SS &amp; NS",IF($C$11="NEM",SUMIFS(ConsolidatedUnits2[Aggregated Upper Nameplate Capacity (MW)],ConsolidatedUnits2[Status Bucket Summary],$C44,ConsolidatedUnits2[Fuel Bucket Summary],I$39),SUMIFS(ConsolidatedUnits2[Aggregated Upper Nameplate Capacity (MW)],ConsolidatedUnits2[Status Bucket Summary],$C44,ConsolidatedUnits2[Fuel Bucket Summary],I$39,ConsolidatedUnits2[Region],$C$11)),IF($C$13="S &amp; SS",IF($C$11="NEM",SUMIFS(ConsolidatedUnits2[Aggregated Upper Nameplate Capacity (MW)],ConsolidatedUnits2[Status Bucket Summary],$C44,ConsolidatedUnits2[Fuel Bucket Summary],I$39),SUMIFS(ConsolidatedUnits2[Aggregated Upper Nameplate Capacity (MW)],ConsolidatedUnits2[Status Bucket Summary],$C44,ConsolidatedUnits2[Fuel Bucket Summary],I$39,ConsolidatedUnits2[Region],$C$11))-IF($C$11="NEM",SUMIFS(ConsolidatedUnits2[Aggregated Upper Nameplate Capacity (MW)],ConsolidatedUnits2[Status Bucket Summary],$C44,ConsolidatedUnits2[Fuel Bucket Summary],I$39,ConsolidatedUnits2[Dispatch Type],"NS"),SUMIFS(ConsolidatedUnits2[Aggregated Upper Nameplate Capacity (MW)],ConsolidatedUnits2[Status Bucket Summary],$C44,ConsolidatedUnits2[Fuel Bucket Summary],I$39,ConsolidatedUnits2[Region],$C$11,ConsolidatedUnits2[Dispatch Type],"NS")),IF($C$11="NEM",SUMIFS(ConsolidatedUnits2[Aggregated Upper Nameplate Capacity (MW)],ConsolidatedUnits2[Status Bucket Summary],$C44,ConsolidatedUnits2[Fuel Bucket Summary],I$39,ConsolidatedUnits2[Dispatch Type],_xlfn.IFS($C$13="NS","NS",$C$13="SS","SS",$C$13="S","S")),SUMIFS(ConsolidatedUnits2[Aggregated Upper Nameplate Capacity (MW)],ConsolidatedUnits2[Status Bucket Summary],$C44,ConsolidatedUnits2[Fuel Bucket Summary],I$39,ConsolidatedUnits2[Region],$C$11,ConsolidatedUnits2[Dispatch Type],_xlfn.IFS($C$13="NS","NS",$C$13="SS","SS",$C$13="S","S")))))</f>
        <v>1508.27</v>
      </c>
      <c r="J44" s="141" cm="1">
        <f t="array" ref="J44">IF($C$13="S"&amp;CHAR(130)&amp;" SS &amp; NS",IF($C$11="NEM",SUMIFS(ConsolidatedUnits2[Aggregated Upper Nameplate Capacity (MW)],ConsolidatedUnits2[Status Bucket Summary],$C44,ConsolidatedUnits2[Fuel Bucket Summary],J$39),SUMIFS(ConsolidatedUnits2[Aggregated Upper Nameplate Capacity (MW)],ConsolidatedUnits2[Status Bucket Summary],$C44,ConsolidatedUnits2[Fuel Bucket Summary],J$39,ConsolidatedUnits2[Region],$C$11)),IF($C$13="S &amp; SS",IF($C$11="NEM",SUMIFS(ConsolidatedUnits2[Aggregated Upper Nameplate Capacity (MW)],ConsolidatedUnits2[Status Bucket Summary],$C44,ConsolidatedUnits2[Fuel Bucket Summary],J$39),SUMIFS(ConsolidatedUnits2[Aggregated Upper Nameplate Capacity (MW)],ConsolidatedUnits2[Status Bucket Summary],$C44,ConsolidatedUnits2[Fuel Bucket Summary],J$39,ConsolidatedUnits2[Region],$C$11))-IF($C$11="NEM",SUMIFS(ConsolidatedUnits2[Aggregated Upper Nameplate Capacity (MW)],ConsolidatedUnits2[Status Bucket Summary],$C44,ConsolidatedUnits2[Fuel Bucket Summary],J$39,ConsolidatedUnits2[Dispatch Type],"NS"),SUMIFS(ConsolidatedUnits2[Aggregated Upper Nameplate Capacity (MW)],ConsolidatedUnits2[Status Bucket Summary],$C44,ConsolidatedUnits2[Fuel Bucket Summary],J$39,ConsolidatedUnits2[Region],$C$11,ConsolidatedUnits2[Dispatch Type],"NS")),IF($C$11="NEM",SUMIFS(ConsolidatedUnits2[Aggregated Upper Nameplate Capacity (MW)],ConsolidatedUnits2[Status Bucket Summary],$C44,ConsolidatedUnits2[Fuel Bucket Summary],J$39,ConsolidatedUnits2[Dispatch Type],_xlfn.IFS($C$13="NS","NS",$C$13="SS","SS",$C$13="S","S")),SUMIFS(ConsolidatedUnits2[Aggregated Upper Nameplate Capacity (MW)],ConsolidatedUnits2[Status Bucket Summary],$C44,ConsolidatedUnits2[Fuel Bucket Summary],J$39,ConsolidatedUnits2[Region],$C$11,ConsolidatedUnits2[Dispatch Type],_xlfn.IFS($C$13="NS","NS",$C$13="SS","SS",$C$13="S","S")))))</f>
        <v>2450</v>
      </c>
      <c r="K44" s="140" cm="1">
        <f t="array" ref="K44">IF($C$13="S"&amp;CHAR(130)&amp;" SS &amp; NS",IF($C$11="NEM",SUMIFS(ConsolidatedUnits2[Aggregated Upper Nameplate Capacity (MW)],ConsolidatedUnits2[Status Bucket Summary],$C44,ConsolidatedUnits2[Fuel Bucket Summary],K$39),SUMIFS(ConsolidatedUnits2[Aggregated Upper Nameplate Capacity (MW)],ConsolidatedUnits2[Status Bucket Summary],$C44,ConsolidatedUnits2[Fuel Bucket Summary],K$39,ConsolidatedUnits2[Region],$C$11)),IF($C$13="S &amp; SS",IF($C$11="NEM",SUMIFS(ConsolidatedUnits2[Aggregated Upper Nameplate Capacity (MW)],ConsolidatedUnits2[Status Bucket Summary],$C44,ConsolidatedUnits2[Fuel Bucket Summary],K$39),SUMIFS(ConsolidatedUnits2[Aggregated Upper Nameplate Capacity (MW)],ConsolidatedUnits2[Status Bucket Summary],$C44,ConsolidatedUnits2[Fuel Bucket Summary],K$39,ConsolidatedUnits2[Region],$C$11))-IF($C$11="NEM",SUMIFS(ConsolidatedUnits2[Aggregated Upper Nameplate Capacity (MW)],ConsolidatedUnits2[Status Bucket Summary],$C44,ConsolidatedUnits2[Fuel Bucket Summary],K$39,ConsolidatedUnits2[Dispatch Type],"NS"),SUMIFS(ConsolidatedUnits2[Aggregated Upper Nameplate Capacity (MW)],ConsolidatedUnits2[Status Bucket Summary],$C44,ConsolidatedUnits2[Fuel Bucket Summary],K$39,ConsolidatedUnits2[Region],$C$11,ConsolidatedUnits2[Dispatch Type],"NS")),IF($C$11="NEM",SUMIFS(ConsolidatedUnits2[Aggregated Upper Nameplate Capacity (MW)],ConsolidatedUnits2[Status Bucket Summary],$C44,ConsolidatedUnits2[Fuel Bucket Summary],K$39,ConsolidatedUnits2[Dispatch Type],_xlfn.IFS($C$13="NS","NS",$C$13="SS","SS",$C$13="S","S")),SUMIFS(ConsolidatedUnits2[Aggregated Upper Nameplate Capacity (MW)],ConsolidatedUnits2[Status Bucket Summary],$C44,ConsolidatedUnits2[Fuel Bucket Summary],K$39,ConsolidatedUnits2[Region],$C$11,ConsolidatedUnits2[Dispatch Type],_xlfn.IFS($C$13="NS","NS",$C$13="SS","SS",$C$13="S","S")))))</f>
        <v>0</v>
      </c>
      <c r="L44" s="141" cm="1">
        <f t="array" ref="L44">IF($C$13="S"&amp;CHAR(130)&amp;" SS &amp; NS",IF($C$11="NEM",SUMIFS(ConsolidatedUnits2[Aggregated Upper Nameplate Capacity (MW)],ConsolidatedUnits2[Status Bucket Summary],$C44,ConsolidatedUnits2[Fuel Bucket Summary],L$39),SUMIFS(ConsolidatedUnits2[Aggregated Upper Nameplate Capacity (MW)],ConsolidatedUnits2[Status Bucket Summary],$C44,ConsolidatedUnits2[Fuel Bucket Summary],L$39,ConsolidatedUnits2[Region],$C$11)),IF($C$13="S &amp; SS",IF($C$11="NEM",SUMIFS(ConsolidatedUnits2[Aggregated Upper Nameplate Capacity (MW)],ConsolidatedUnits2[Status Bucket Summary],$C44,ConsolidatedUnits2[Fuel Bucket Summary],L$39),SUMIFS(ConsolidatedUnits2[Aggregated Upper Nameplate Capacity (MW)],ConsolidatedUnits2[Status Bucket Summary],$C44,ConsolidatedUnits2[Fuel Bucket Summary],L$39,ConsolidatedUnits2[Region],$C$11))-IF($C$11="NEM",SUMIFS(ConsolidatedUnits2[Aggregated Upper Nameplate Capacity (MW)],ConsolidatedUnits2[Status Bucket Summary],$C44,ConsolidatedUnits2[Fuel Bucket Summary],L$39,ConsolidatedUnits2[Dispatch Type],"NS"),SUMIFS(ConsolidatedUnits2[Aggregated Upper Nameplate Capacity (MW)],ConsolidatedUnits2[Status Bucket Summary],$C44,ConsolidatedUnits2[Fuel Bucket Summary],L$39,ConsolidatedUnits2[Region],$C$11,ConsolidatedUnits2[Dispatch Type],"NS")),IF($C$11="NEM",SUMIFS(ConsolidatedUnits2[Aggregated Upper Nameplate Capacity (MW)],ConsolidatedUnits2[Status Bucket Summary],$C44,ConsolidatedUnits2[Fuel Bucket Summary],L$39,ConsolidatedUnits2[Dispatch Type],_xlfn.IFS($C$13="NS","NS",$C$13="SS","SS",$C$13="S","S")),SUMIFS(ConsolidatedUnits2[Aggregated Upper Nameplate Capacity (MW)],ConsolidatedUnits2[Status Bucket Summary],$C44,ConsolidatedUnits2[Fuel Bucket Summary],L$39,ConsolidatedUnits2[Region],$C$11,ConsolidatedUnits2[Dispatch Type],_xlfn.IFS($C$13="NS","NS",$C$13="SS","SS",$C$13="S","S")))))</f>
        <v>6435.2100000000009</v>
      </c>
      <c r="M44" s="140" cm="1">
        <f t="array" ref="M44">IF($C$13="S"&amp;CHAR(130)&amp;" SS &amp; NS",IF($C$11="NEM",SUMIFS(ConsolidatedUnits2[Aggregated Upper Nameplate Capacity (MW)],ConsolidatedUnits2[Status Bucket Summary],$C44,ConsolidatedUnits2[Fuel Bucket Summary],M$39),SUMIFS(ConsolidatedUnits2[Aggregated Upper Nameplate Capacity (MW)],ConsolidatedUnits2[Status Bucket Summary],$C44,ConsolidatedUnits2[Fuel Bucket Summary],M$39,ConsolidatedUnits2[Region],$C$11)),IF($C$13="S &amp; SS",IF($C$11="NEM",SUMIFS(ConsolidatedUnits2[Aggregated Upper Nameplate Capacity (MW)],ConsolidatedUnits2[Status Bucket Summary],$C44,ConsolidatedUnits2[Fuel Bucket Summary],M$39),SUMIFS(ConsolidatedUnits2[Aggregated Upper Nameplate Capacity (MW)],ConsolidatedUnits2[Status Bucket Summary],$C44,ConsolidatedUnits2[Fuel Bucket Summary],M$39,ConsolidatedUnits2[Region],$C$11))-IF($C$11="NEM",SUMIFS(ConsolidatedUnits2[Aggregated Upper Nameplate Capacity (MW)],ConsolidatedUnits2[Status Bucket Summary],$C44,ConsolidatedUnits2[Fuel Bucket Summary],M$39,ConsolidatedUnits2[Dispatch Type],"NS"),SUMIFS(ConsolidatedUnits2[Aggregated Upper Nameplate Capacity (MW)],ConsolidatedUnits2[Status Bucket Summary],$C44,ConsolidatedUnits2[Fuel Bucket Summary],M$39,ConsolidatedUnits2[Region],$C$11,ConsolidatedUnits2[Dispatch Type],"NS")),IF($C$11="NEM",SUMIFS(ConsolidatedUnits2[Aggregated Upper Nameplate Capacity (MW)],ConsolidatedUnits2[Status Bucket Summary],$C44,ConsolidatedUnits2[Fuel Bucket Summary],M$39,ConsolidatedUnits2[Dispatch Type],_xlfn.IFS($C$13="NS","NS",$C$13="SS","SS",$C$13="S","S")),SUMIFS(ConsolidatedUnits2[Aggregated Upper Nameplate Capacity (MW)],ConsolidatedUnits2[Status Bucket Summary],$C44,ConsolidatedUnits2[Fuel Bucket Summary],M$39,ConsolidatedUnits2[Region],$C$11,ConsolidatedUnits2[Dispatch Type],_xlfn.IFS($C$13="NS","NS",$C$13="SS","SS",$C$13="S","S")))))</f>
        <v>0</v>
      </c>
      <c r="N44" s="87">
        <f t="shared" si="2"/>
        <v>12356.920000000002</v>
      </c>
      <c r="O44" s="61"/>
      <c r="P44" s="135"/>
    </row>
    <row r="45" spans="1:16" ht="15" thickBot="1">
      <c r="A45" s="68"/>
      <c r="B45" s="132"/>
      <c r="C45" s="90" t="s">
        <v>28</v>
      </c>
      <c r="D45" s="87" cm="1">
        <f t="array" ref="D45">IF($C$13="S"&amp;CHAR(130)&amp;" SS &amp; NS",IF($C$11="NEM",SUMIFS(ConsolidatedUnits2[Aggregated Upper Nameplate Capacity (MW)],ConsolidatedUnits2[Status Bucket Summary],$C45,ConsolidatedUnits2[Fuel Bucket Summary],D$39),SUMIFS(ConsolidatedUnits2[Aggregated Upper Nameplate Capacity (MW)],ConsolidatedUnits2[Status Bucket Summary],$C45,ConsolidatedUnits2[Fuel Bucket Summary],D$39,ConsolidatedUnits2[Region],$C$11)),IF($C$13="S &amp; SS",IF($C$11="NEM",SUMIFS(ConsolidatedUnits2[Aggregated Upper Nameplate Capacity (MW)],ConsolidatedUnits2[Status Bucket Summary],$C45,ConsolidatedUnits2[Fuel Bucket Summary],D$39),SUMIFS(ConsolidatedUnits2[Aggregated Upper Nameplate Capacity (MW)],ConsolidatedUnits2[Status Bucket Summary],$C45,ConsolidatedUnits2[Fuel Bucket Summary],D$39,ConsolidatedUnits2[Region],$C$11))-IF($C$11="NEM",SUMIFS(ConsolidatedUnits2[Aggregated Upper Nameplate Capacity (MW)],ConsolidatedUnits2[Status Bucket Summary],$C45,ConsolidatedUnits2[Fuel Bucket Summary],D$39,ConsolidatedUnits2[Dispatch Type],"NS"),SUMIFS(ConsolidatedUnits2[Aggregated Upper Nameplate Capacity (MW)],ConsolidatedUnits2[Status Bucket Summary],$C45,ConsolidatedUnits2[Fuel Bucket Summary],D$39,ConsolidatedUnits2[Region],$C$11,ConsolidatedUnits2[Dispatch Type],"NS")),IF($C$11="NEM",SUMIFS(ConsolidatedUnits2[Aggregated Upper Nameplate Capacity (MW)],ConsolidatedUnits2[Status Bucket Summary],$C45,ConsolidatedUnits2[Fuel Bucket Summary],D$39,ConsolidatedUnits2[Dispatch Type],_xlfn.IFS($C$13="NS","NS",$C$13="SS","SS",$C$13="S","S")),SUMIFS(ConsolidatedUnits2[Aggregated Upper Nameplate Capacity (MW)],ConsolidatedUnits2[Status Bucket Summary],$C45,ConsolidatedUnits2[Fuel Bucket Summary],D$39,ConsolidatedUnits2[Region],$C$11,ConsolidatedUnits2[Dispatch Type],_xlfn.IFS($C$13="NS","NS",$C$13="SS","SS",$C$13="S","S")))))</f>
        <v>0</v>
      </c>
      <c r="E45" s="140" cm="1">
        <f t="array" ref="E45">IF($C$13="S"&amp;CHAR(130)&amp;" SS &amp; NS",IF($C$11="NEM",SUMIFS(ConsolidatedUnits2[Aggregated Upper Nameplate Capacity (MW)],ConsolidatedUnits2[Status Bucket Summary],$C45,ConsolidatedUnits2[Fuel Bucket Summary],E$39),SUMIFS(ConsolidatedUnits2[Aggregated Upper Nameplate Capacity (MW)],ConsolidatedUnits2[Status Bucket Summary],$C45,ConsolidatedUnits2[Fuel Bucket Summary],E$39,ConsolidatedUnits2[Region],$C$11)),IF($C$13="S &amp; SS",IF($C$11="NEM",SUMIFS(ConsolidatedUnits2[Aggregated Upper Nameplate Capacity (MW)],ConsolidatedUnits2[Status Bucket Summary],$C45,ConsolidatedUnits2[Fuel Bucket Summary],E$39),SUMIFS(ConsolidatedUnits2[Aggregated Upper Nameplate Capacity (MW)],ConsolidatedUnits2[Status Bucket Summary],$C45,ConsolidatedUnits2[Fuel Bucket Summary],E$39,ConsolidatedUnits2[Region],$C$11))-IF($C$11="NEM",SUMIFS(ConsolidatedUnits2[Aggregated Upper Nameplate Capacity (MW)],ConsolidatedUnits2[Status Bucket Summary],$C45,ConsolidatedUnits2[Fuel Bucket Summary],E$39,ConsolidatedUnits2[Dispatch Type],"NS"),SUMIFS(ConsolidatedUnits2[Aggregated Upper Nameplate Capacity (MW)],ConsolidatedUnits2[Status Bucket Summary],$C45,ConsolidatedUnits2[Fuel Bucket Summary],E$39,ConsolidatedUnits2[Region],$C$11,ConsolidatedUnits2[Dispatch Type],"NS")),IF($C$11="NEM",SUMIFS(ConsolidatedUnits2[Aggregated Upper Nameplate Capacity (MW)],ConsolidatedUnits2[Status Bucket Summary],$C45,ConsolidatedUnits2[Fuel Bucket Summary],E$39,ConsolidatedUnits2[Dispatch Type],_xlfn.IFS($C$13="NS","NS",$C$13="SS","SS",$C$13="S","S")),SUMIFS(ConsolidatedUnits2[Aggregated Upper Nameplate Capacity (MW)],ConsolidatedUnits2[Status Bucket Summary],$C45,ConsolidatedUnits2[Fuel Bucket Summary],E$39,ConsolidatedUnits2[Region],$C$11,ConsolidatedUnits2[Dispatch Type],_xlfn.IFS($C$13="NS","NS",$C$13="SS","SS",$C$13="S","S")))))</f>
        <v>0</v>
      </c>
      <c r="F45" s="141" cm="1">
        <f t="array" ref="F45">IF($C$13="S"&amp;CHAR(130)&amp;" SS &amp; NS",IF($C$11="NEM",SUMIFS(ConsolidatedUnits2[Aggregated Upper Nameplate Capacity (MW)],ConsolidatedUnits2[Status Bucket Summary],$C45,ConsolidatedUnits2[Fuel Bucket Summary],F$39),SUMIFS(ConsolidatedUnits2[Aggregated Upper Nameplate Capacity (MW)],ConsolidatedUnits2[Status Bucket Summary],$C45,ConsolidatedUnits2[Fuel Bucket Summary],F$39,ConsolidatedUnits2[Region],$C$11)),IF($C$13="S &amp; SS",IF($C$11="NEM",SUMIFS(ConsolidatedUnits2[Aggregated Upper Nameplate Capacity (MW)],ConsolidatedUnits2[Status Bucket Summary],$C45,ConsolidatedUnits2[Fuel Bucket Summary],F$39),SUMIFS(ConsolidatedUnits2[Aggregated Upper Nameplate Capacity (MW)],ConsolidatedUnits2[Status Bucket Summary],$C45,ConsolidatedUnits2[Fuel Bucket Summary],F$39,ConsolidatedUnits2[Region],$C$11))-IF($C$11="NEM",SUMIFS(ConsolidatedUnits2[Aggregated Upper Nameplate Capacity (MW)],ConsolidatedUnits2[Status Bucket Summary],$C45,ConsolidatedUnits2[Fuel Bucket Summary],F$39,ConsolidatedUnits2[Dispatch Type],"NS"),SUMIFS(ConsolidatedUnits2[Aggregated Upper Nameplate Capacity (MW)],ConsolidatedUnits2[Status Bucket Summary],$C45,ConsolidatedUnits2[Fuel Bucket Summary],F$39,ConsolidatedUnits2[Region],$C$11,ConsolidatedUnits2[Dispatch Type],"NS")),IF($C$11="NEM",SUMIFS(ConsolidatedUnits2[Aggregated Upper Nameplate Capacity (MW)],ConsolidatedUnits2[Status Bucket Summary],$C45,ConsolidatedUnits2[Fuel Bucket Summary],F$39,ConsolidatedUnits2[Dispatch Type],_xlfn.IFS($C$13="NS","NS",$C$13="SS","SS",$C$13="S","S")),SUMIFS(ConsolidatedUnits2[Aggregated Upper Nameplate Capacity (MW)],ConsolidatedUnits2[Status Bucket Summary],$C45,ConsolidatedUnits2[Fuel Bucket Summary],F$39,ConsolidatedUnits2[Region],$C$11,ConsolidatedUnits2[Dispatch Type],_xlfn.IFS($C$13="NS","NS",$C$13="SS","SS",$C$13="S","S")))))</f>
        <v>117</v>
      </c>
      <c r="G45" s="140" cm="1">
        <f t="array" ref="G45">IF($C$13="S"&amp;CHAR(130)&amp;" SS &amp; NS",IF($C$11="NEM",SUMIFS(ConsolidatedUnits2[Aggregated Upper Nameplate Capacity (MW)],ConsolidatedUnits2[Status Bucket Summary],$C45,ConsolidatedUnits2[Fuel Bucket Summary],G$39),SUMIFS(ConsolidatedUnits2[Aggregated Upper Nameplate Capacity (MW)],ConsolidatedUnits2[Status Bucket Summary],$C45,ConsolidatedUnits2[Fuel Bucket Summary],G$39,ConsolidatedUnits2[Region],$C$11)),IF($C$13="S &amp; SS",IF($C$11="NEM",SUMIFS(ConsolidatedUnits2[Aggregated Upper Nameplate Capacity (MW)],ConsolidatedUnits2[Status Bucket Summary],$C45,ConsolidatedUnits2[Fuel Bucket Summary],G$39),SUMIFS(ConsolidatedUnits2[Aggregated Upper Nameplate Capacity (MW)],ConsolidatedUnits2[Status Bucket Summary],$C45,ConsolidatedUnits2[Fuel Bucket Summary],G$39,ConsolidatedUnits2[Region],$C$11))-IF($C$11="NEM",SUMIFS(ConsolidatedUnits2[Aggregated Upper Nameplate Capacity (MW)],ConsolidatedUnits2[Status Bucket Summary],$C45,ConsolidatedUnits2[Fuel Bucket Summary],G$39,ConsolidatedUnits2[Dispatch Type],"NS"),SUMIFS(ConsolidatedUnits2[Aggregated Upper Nameplate Capacity (MW)],ConsolidatedUnits2[Status Bucket Summary],$C45,ConsolidatedUnits2[Fuel Bucket Summary],G$39,ConsolidatedUnits2[Region],$C$11,ConsolidatedUnits2[Dispatch Type],"NS")),IF($C$11="NEM",SUMIFS(ConsolidatedUnits2[Aggregated Upper Nameplate Capacity (MW)],ConsolidatedUnits2[Status Bucket Summary],$C45,ConsolidatedUnits2[Fuel Bucket Summary],G$39,ConsolidatedUnits2[Dispatch Type],_xlfn.IFS($C$13="NS","NS",$C$13="SS","SS",$C$13="S","S")),SUMIFS(ConsolidatedUnits2[Aggregated Upper Nameplate Capacity (MW)],ConsolidatedUnits2[Status Bucket Summary],$C45,ConsolidatedUnits2[Fuel Bucket Summary],G$39,ConsolidatedUnits2[Region],$C$11,ConsolidatedUnits2[Dispatch Type],_xlfn.IFS($C$13="NS","NS",$C$13="SS","SS",$C$13="S","S")))))</f>
        <v>0</v>
      </c>
      <c r="H45" s="141" cm="1">
        <f t="array" ref="H45">IF($C$13="S"&amp;CHAR(130)&amp;" SS &amp; NS",IF($C$11="NEM",SUMIFS(ConsolidatedUnits2[Aggregated Upper Nameplate Capacity (MW)],ConsolidatedUnits2[Status Bucket Summary],$C45,ConsolidatedUnits2[Fuel Bucket Summary],H$39),SUMIFS(ConsolidatedUnits2[Aggregated Upper Nameplate Capacity (MW)],ConsolidatedUnits2[Status Bucket Summary],$C45,ConsolidatedUnits2[Fuel Bucket Summary],H$39,ConsolidatedUnits2[Region],$C$11)),IF($C$13="S &amp; SS",IF($C$11="NEM",SUMIFS(ConsolidatedUnits2[Aggregated Upper Nameplate Capacity (MW)],ConsolidatedUnits2[Status Bucket Summary],$C45,ConsolidatedUnits2[Fuel Bucket Summary],H$39),SUMIFS(ConsolidatedUnits2[Aggregated Upper Nameplate Capacity (MW)],ConsolidatedUnits2[Status Bucket Summary],$C45,ConsolidatedUnits2[Fuel Bucket Summary],H$39,ConsolidatedUnits2[Region],$C$11))-IF($C$11="NEM",SUMIFS(ConsolidatedUnits2[Aggregated Upper Nameplate Capacity (MW)],ConsolidatedUnits2[Status Bucket Summary],$C45,ConsolidatedUnits2[Fuel Bucket Summary],H$39,ConsolidatedUnits2[Dispatch Type],"NS"),SUMIFS(ConsolidatedUnits2[Aggregated Upper Nameplate Capacity (MW)],ConsolidatedUnits2[Status Bucket Summary],$C45,ConsolidatedUnits2[Fuel Bucket Summary],H$39,ConsolidatedUnits2[Region],$C$11,ConsolidatedUnits2[Dispatch Type],"NS")),IF($C$11="NEM",SUMIFS(ConsolidatedUnits2[Aggregated Upper Nameplate Capacity (MW)],ConsolidatedUnits2[Status Bucket Summary],$C45,ConsolidatedUnits2[Fuel Bucket Summary],H$39,ConsolidatedUnits2[Dispatch Type],_xlfn.IFS($C$13="NS","NS",$C$13="SS","SS",$C$13="S","S")),SUMIFS(ConsolidatedUnits2[Aggregated Upper Nameplate Capacity (MW)],ConsolidatedUnits2[Status Bucket Summary],$C45,ConsolidatedUnits2[Fuel Bucket Summary],H$39,ConsolidatedUnits2[Region],$C$11,ConsolidatedUnits2[Dispatch Type],_xlfn.IFS($C$13="NS","NS",$C$13="SS","SS",$C$13="S","S")))))</f>
        <v>4049.2600000000007</v>
      </c>
      <c r="I45" s="140" cm="1">
        <f t="array" ref="I45">IF($C$13="S"&amp;CHAR(130)&amp;" SS &amp; NS",IF($C$11="NEM",SUMIFS(ConsolidatedUnits2[Aggregated Upper Nameplate Capacity (MW)],ConsolidatedUnits2[Status Bucket Summary],$C45,ConsolidatedUnits2[Fuel Bucket Summary],I$39),SUMIFS(ConsolidatedUnits2[Aggregated Upper Nameplate Capacity (MW)],ConsolidatedUnits2[Status Bucket Summary],$C45,ConsolidatedUnits2[Fuel Bucket Summary],I$39,ConsolidatedUnits2[Region],$C$11)),IF($C$13="S &amp; SS",IF($C$11="NEM",SUMIFS(ConsolidatedUnits2[Aggregated Upper Nameplate Capacity (MW)],ConsolidatedUnits2[Status Bucket Summary],$C45,ConsolidatedUnits2[Fuel Bucket Summary],I$39),SUMIFS(ConsolidatedUnits2[Aggregated Upper Nameplate Capacity (MW)],ConsolidatedUnits2[Status Bucket Summary],$C45,ConsolidatedUnits2[Fuel Bucket Summary],I$39,ConsolidatedUnits2[Region],$C$11))-IF($C$11="NEM",SUMIFS(ConsolidatedUnits2[Aggregated Upper Nameplate Capacity (MW)],ConsolidatedUnits2[Status Bucket Summary],$C45,ConsolidatedUnits2[Fuel Bucket Summary],I$39,ConsolidatedUnits2[Dispatch Type],"NS"),SUMIFS(ConsolidatedUnits2[Aggregated Upper Nameplate Capacity (MW)],ConsolidatedUnits2[Status Bucket Summary],$C45,ConsolidatedUnits2[Fuel Bucket Summary],I$39,ConsolidatedUnits2[Region],$C$11,ConsolidatedUnits2[Dispatch Type],"NS")),IF($C$11="NEM",SUMIFS(ConsolidatedUnits2[Aggregated Upper Nameplate Capacity (MW)],ConsolidatedUnits2[Status Bucket Summary],$C45,ConsolidatedUnits2[Fuel Bucket Summary],I$39,ConsolidatedUnits2[Dispatch Type],_xlfn.IFS($C$13="NS","NS",$C$13="SS","SS",$C$13="S","S")),SUMIFS(ConsolidatedUnits2[Aggregated Upper Nameplate Capacity (MW)],ConsolidatedUnits2[Status Bucket Summary],$C45,ConsolidatedUnits2[Fuel Bucket Summary],I$39,ConsolidatedUnits2[Region],$C$11,ConsolidatedUnits2[Dispatch Type],_xlfn.IFS($C$13="NS","NS",$C$13="SS","SS",$C$13="S","S")))))</f>
        <v>2550.31</v>
      </c>
      <c r="J45" s="141" cm="1">
        <f t="array" ref="J45">IF($C$13="S"&amp;CHAR(130)&amp;" SS &amp; NS",IF($C$11="NEM",SUMIFS(ConsolidatedUnits2[Aggregated Upper Nameplate Capacity (MW)],ConsolidatedUnits2[Status Bucket Summary],$C45,ConsolidatedUnits2[Fuel Bucket Summary],J$39),SUMIFS(ConsolidatedUnits2[Aggregated Upper Nameplate Capacity (MW)],ConsolidatedUnits2[Status Bucket Summary],$C45,ConsolidatedUnits2[Fuel Bucket Summary],J$39,ConsolidatedUnits2[Region],$C$11)),IF($C$13="S &amp; SS",IF($C$11="NEM",SUMIFS(ConsolidatedUnits2[Aggregated Upper Nameplate Capacity (MW)],ConsolidatedUnits2[Status Bucket Summary],$C45,ConsolidatedUnits2[Fuel Bucket Summary],J$39),SUMIFS(ConsolidatedUnits2[Aggregated Upper Nameplate Capacity (MW)],ConsolidatedUnits2[Status Bucket Summary],$C45,ConsolidatedUnits2[Fuel Bucket Summary],J$39,ConsolidatedUnits2[Region],$C$11))-IF($C$11="NEM",SUMIFS(ConsolidatedUnits2[Aggregated Upper Nameplate Capacity (MW)],ConsolidatedUnits2[Status Bucket Summary],$C45,ConsolidatedUnits2[Fuel Bucket Summary],J$39,ConsolidatedUnits2[Dispatch Type],"NS"),SUMIFS(ConsolidatedUnits2[Aggregated Upper Nameplate Capacity (MW)],ConsolidatedUnits2[Status Bucket Summary],$C45,ConsolidatedUnits2[Fuel Bucket Summary],J$39,ConsolidatedUnits2[Region],$C$11,ConsolidatedUnits2[Dispatch Type],"NS")),IF($C$11="NEM",SUMIFS(ConsolidatedUnits2[Aggregated Upper Nameplate Capacity (MW)],ConsolidatedUnits2[Status Bucket Summary],$C45,ConsolidatedUnits2[Fuel Bucket Summary],J$39,ConsolidatedUnits2[Dispatch Type],_xlfn.IFS($C$13="NS","NS",$C$13="SS","SS",$C$13="S","S")),SUMIFS(ConsolidatedUnits2[Aggregated Upper Nameplate Capacity (MW)],ConsolidatedUnits2[Status Bucket Summary],$C45,ConsolidatedUnits2[Fuel Bucket Summary],J$39,ConsolidatedUnits2[Region],$C$11,ConsolidatedUnits2[Dispatch Type],_xlfn.IFS($C$13="NS","NS",$C$13="SS","SS",$C$13="S","S")))))</f>
        <v>1998</v>
      </c>
      <c r="K45" s="140" cm="1">
        <f t="array" ref="K45">IF($C$13="S"&amp;CHAR(130)&amp;" SS &amp; NS",IF($C$11="NEM",SUMIFS(ConsolidatedUnits2[Aggregated Upper Nameplate Capacity (MW)],ConsolidatedUnits2[Status Bucket Summary],$C45,ConsolidatedUnits2[Fuel Bucket Summary],K$39),SUMIFS(ConsolidatedUnits2[Aggregated Upper Nameplate Capacity (MW)],ConsolidatedUnits2[Status Bucket Summary],$C45,ConsolidatedUnits2[Fuel Bucket Summary],K$39,ConsolidatedUnits2[Region],$C$11)),IF($C$13="S &amp; SS",IF($C$11="NEM",SUMIFS(ConsolidatedUnits2[Aggregated Upper Nameplate Capacity (MW)],ConsolidatedUnits2[Status Bucket Summary],$C45,ConsolidatedUnits2[Fuel Bucket Summary],K$39),SUMIFS(ConsolidatedUnits2[Aggregated Upper Nameplate Capacity (MW)],ConsolidatedUnits2[Status Bucket Summary],$C45,ConsolidatedUnits2[Fuel Bucket Summary],K$39,ConsolidatedUnits2[Region],$C$11))-IF($C$11="NEM",SUMIFS(ConsolidatedUnits2[Aggregated Upper Nameplate Capacity (MW)],ConsolidatedUnits2[Status Bucket Summary],$C45,ConsolidatedUnits2[Fuel Bucket Summary],K$39,ConsolidatedUnits2[Dispatch Type],"NS"),SUMIFS(ConsolidatedUnits2[Aggregated Upper Nameplate Capacity (MW)],ConsolidatedUnits2[Status Bucket Summary],$C45,ConsolidatedUnits2[Fuel Bucket Summary],K$39,ConsolidatedUnits2[Region],$C$11,ConsolidatedUnits2[Dispatch Type],"NS")),IF($C$11="NEM",SUMIFS(ConsolidatedUnits2[Aggregated Upper Nameplate Capacity (MW)],ConsolidatedUnits2[Status Bucket Summary],$C45,ConsolidatedUnits2[Fuel Bucket Summary],K$39,ConsolidatedUnits2[Dispatch Type],_xlfn.IFS($C$13="NS","NS",$C$13="SS","SS",$C$13="S","S")),SUMIFS(ConsolidatedUnits2[Aggregated Upper Nameplate Capacity (MW)],ConsolidatedUnits2[Status Bucket Summary],$C45,ConsolidatedUnits2[Fuel Bucket Summary],K$39,ConsolidatedUnits2[Region],$C$11,ConsolidatedUnits2[Dispatch Type],_xlfn.IFS($C$13="NS","NS",$C$13="SS","SS",$C$13="S","S")))))</f>
        <v>0</v>
      </c>
      <c r="L45" s="141" cm="1">
        <f t="array" ref="L45">IF($C$13="S"&amp;CHAR(130)&amp;" SS &amp; NS",IF($C$11="NEM",SUMIFS(ConsolidatedUnits2[Aggregated Upper Nameplate Capacity (MW)],ConsolidatedUnits2[Status Bucket Summary],$C45,ConsolidatedUnits2[Fuel Bucket Summary],L$39),SUMIFS(ConsolidatedUnits2[Aggregated Upper Nameplate Capacity (MW)],ConsolidatedUnits2[Status Bucket Summary],$C45,ConsolidatedUnits2[Fuel Bucket Summary],L$39,ConsolidatedUnits2[Region],$C$11)),IF($C$13="S &amp; SS",IF($C$11="NEM",SUMIFS(ConsolidatedUnits2[Aggregated Upper Nameplate Capacity (MW)],ConsolidatedUnits2[Status Bucket Summary],$C45,ConsolidatedUnits2[Fuel Bucket Summary],L$39),SUMIFS(ConsolidatedUnits2[Aggregated Upper Nameplate Capacity (MW)],ConsolidatedUnits2[Status Bucket Summary],$C45,ConsolidatedUnits2[Fuel Bucket Summary],L$39,ConsolidatedUnits2[Region],$C$11))-IF($C$11="NEM",SUMIFS(ConsolidatedUnits2[Aggregated Upper Nameplate Capacity (MW)],ConsolidatedUnits2[Status Bucket Summary],$C45,ConsolidatedUnits2[Fuel Bucket Summary],L$39,ConsolidatedUnits2[Dispatch Type],"NS"),SUMIFS(ConsolidatedUnits2[Aggregated Upper Nameplate Capacity (MW)],ConsolidatedUnits2[Status Bucket Summary],$C45,ConsolidatedUnits2[Fuel Bucket Summary],L$39,ConsolidatedUnits2[Region],$C$11,ConsolidatedUnits2[Dispatch Type],"NS")),IF($C$11="NEM",SUMIFS(ConsolidatedUnits2[Aggregated Upper Nameplate Capacity (MW)],ConsolidatedUnits2[Status Bucket Summary],$C45,ConsolidatedUnits2[Fuel Bucket Summary],L$39,ConsolidatedUnits2[Dispatch Type],_xlfn.IFS($C$13="NS","NS",$C$13="SS","SS",$C$13="S","S")),SUMIFS(ConsolidatedUnits2[Aggregated Upper Nameplate Capacity (MW)],ConsolidatedUnits2[Status Bucket Summary],$C45,ConsolidatedUnits2[Fuel Bucket Summary],L$39,ConsolidatedUnits2[Region],$C$11,ConsolidatedUnits2[Dispatch Type],_xlfn.IFS($C$13="NS","NS",$C$13="SS","SS",$C$13="S","S")))))</f>
        <v>6128.9</v>
      </c>
      <c r="M45" s="140" cm="1">
        <f t="array" ref="M45">IF($C$13="S"&amp;CHAR(130)&amp;" SS &amp; NS",IF($C$11="NEM",SUMIFS(ConsolidatedUnits2[Aggregated Upper Nameplate Capacity (MW)],ConsolidatedUnits2[Status Bucket Summary],$C45,ConsolidatedUnits2[Fuel Bucket Summary],M$39),SUMIFS(ConsolidatedUnits2[Aggregated Upper Nameplate Capacity (MW)],ConsolidatedUnits2[Status Bucket Summary],$C45,ConsolidatedUnits2[Fuel Bucket Summary],M$39,ConsolidatedUnits2[Region],$C$11)),IF($C$13="S &amp; SS",IF($C$11="NEM",SUMIFS(ConsolidatedUnits2[Aggregated Upper Nameplate Capacity (MW)],ConsolidatedUnits2[Status Bucket Summary],$C45,ConsolidatedUnits2[Fuel Bucket Summary],M$39),SUMIFS(ConsolidatedUnits2[Aggregated Upper Nameplate Capacity (MW)],ConsolidatedUnits2[Status Bucket Summary],$C45,ConsolidatedUnits2[Fuel Bucket Summary],M$39,ConsolidatedUnits2[Region],$C$11))-IF($C$11="NEM",SUMIFS(ConsolidatedUnits2[Aggregated Upper Nameplate Capacity (MW)],ConsolidatedUnits2[Status Bucket Summary],$C45,ConsolidatedUnits2[Fuel Bucket Summary],M$39,ConsolidatedUnits2[Dispatch Type],"NS"),SUMIFS(ConsolidatedUnits2[Aggregated Upper Nameplate Capacity (MW)],ConsolidatedUnits2[Status Bucket Summary],$C45,ConsolidatedUnits2[Fuel Bucket Summary],M$39,ConsolidatedUnits2[Region],$C$11,ConsolidatedUnits2[Dispatch Type],"NS")),IF($C$11="NEM",SUMIFS(ConsolidatedUnits2[Aggregated Upper Nameplate Capacity (MW)],ConsolidatedUnits2[Status Bucket Summary],$C45,ConsolidatedUnits2[Fuel Bucket Summary],M$39,ConsolidatedUnits2[Dispatch Type],_xlfn.IFS($C$13="NS","NS",$C$13="SS","SS",$C$13="S","S")),SUMIFS(ConsolidatedUnits2[Aggregated Upper Nameplate Capacity (MW)],ConsolidatedUnits2[Status Bucket Summary],$C45,ConsolidatedUnits2[Fuel Bucket Summary],M$39,ConsolidatedUnits2[Region],$C$11,ConsolidatedUnits2[Dispatch Type],_xlfn.IFS($C$13="NS","NS",$C$13="SS","SS",$C$13="S","S")))))</f>
        <v>0</v>
      </c>
      <c r="N45" s="87">
        <f t="shared" si="2"/>
        <v>14843.47</v>
      </c>
      <c r="O45" s="61"/>
      <c r="P45" s="135"/>
    </row>
    <row r="46" spans="1:16" ht="15" thickBot="1">
      <c r="A46" s="68"/>
      <c r="B46" s="93"/>
      <c r="C46" s="90" t="s">
        <v>29</v>
      </c>
      <c r="D46" s="87" cm="1">
        <f t="array" ref="D46">IF($C$13="S"&amp;CHAR(130)&amp;" SS &amp; NS",IF($C$11="NEM",SUMIFS(ConsolidatedUnits2[Aggregated Upper Nameplate Capacity (MW)],ConsolidatedUnits2[Status Bucket Summary],$C46,ConsolidatedUnits2[Fuel Bucket Summary],D$39),SUMIFS(ConsolidatedUnits2[Aggregated Upper Nameplate Capacity (MW)],ConsolidatedUnits2[Status Bucket Summary],$C46,ConsolidatedUnits2[Fuel Bucket Summary],D$39,ConsolidatedUnits2[Region],$C$11)),IF($C$13="S &amp; SS",IF($C$11="NEM",SUMIFS(ConsolidatedUnits2[Aggregated Upper Nameplate Capacity (MW)],ConsolidatedUnits2[Status Bucket Summary],$C46,ConsolidatedUnits2[Fuel Bucket Summary],D$39),SUMIFS(ConsolidatedUnits2[Aggregated Upper Nameplate Capacity (MW)],ConsolidatedUnits2[Status Bucket Summary],$C46,ConsolidatedUnits2[Fuel Bucket Summary],D$39,ConsolidatedUnits2[Region],$C$11))-IF($C$11="NEM",SUMIFS(ConsolidatedUnits2[Aggregated Upper Nameplate Capacity (MW)],ConsolidatedUnits2[Status Bucket Summary],$C46,ConsolidatedUnits2[Fuel Bucket Summary],D$39,ConsolidatedUnits2[Dispatch Type],"NS"),SUMIFS(ConsolidatedUnits2[Aggregated Upper Nameplate Capacity (MW)],ConsolidatedUnits2[Status Bucket Summary],$C46,ConsolidatedUnits2[Fuel Bucket Summary],D$39,ConsolidatedUnits2[Region],$C$11,ConsolidatedUnits2[Dispatch Type],"NS")),IF($C$11="NEM",SUMIFS(ConsolidatedUnits2[Aggregated Upper Nameplate Capacity (MW)],ConsolidatedUnits2[Status Bucket Summary],$C46,ConsolidatedUnits2[Fuel Bucket Summary],D$39,ConsolidatedUnits2[Dispatch Type],_xlfn.IFS($C$13="NS","NS",$C$13="SS","SS",$C$13="S","S")),SUMIFS(ConsolidatedUnits2[Aggregated Upper Nameplate Capacity (MW)],ConsolidatedUnits2[Status Bucket Summary],$C46,ConsolidatedUnits2[Fuel Bucket Summary],D$39,ConsolidatedUnits2[Region],$C$11,ConsolidatedUnits2[Dispatch Type],_xlfn.IFS($C$13="NS","NS",$C$13="SS","SS",$C$13="S","S")))))</f>
        <v>0</v>
      </c>
      <c r="E46" s="140" cm="1">
        <f t="array" ref="E46">IF($C$13="S"&amp;CHAR(130)&amp;" SS &amp; NS",IF($C$11="NEM",SUMIFS(ConsolidatedUnits2[Aggregated Upper Nameplate Capacity (MW)],ConsolidatedUnits2[Status Bucket Summary],$C46,ConsolidatedUnits2[Fuel Bucket Summary],E$39),SUMIFS(ConsolidatedUnits2[Aggregated Upper Nameplate Capacity (MW)],ConsolidatedUnits2[Status Bucket Summary],$C46,ConsolidatedUnits2[Fuel Bucket Summary],E$39,ConsolidatedUnits2[Region],$C$11)),IF($C$13="S &amp; SS",IF($C$11="NEM",SUMIFS(ConsolidatedUnits2[Aggregated Upper Nameplate Capacity (MW)],ConsolidatedUnits2[Status Bucket Summary],$C46,ConsolidatedUnits2[Fuel Bucket Summary],E$39),SUMIFS(ConsolidatedUnits2[Aggregated Upper Nameplate Capacity (MW)],ConsolidatedUnits2[Status Bucket Summary],$C46,ConsolidatedUnits2[Fuel Bucket Summary],E$39,ConsolidatedUnits2[Region],$C$11))-IF($C$11="NEM",SUMIFS(ConsolidatedUnits2[Aggregated Upper Nameplate Capacity (MW)],ConsolidatedUnits2[Status Bucket Summary],$C46,ConsolidatedUnits2[Fuel Bucket Summary],E$39,ConsolidatedUnits2[Dispatch Type],"NS"),SUMIFS(ConsolidatedUnits2[Aggregated Upper Nameplate Capacity (MW)],ConsolidatedUnits2[Status Bucket Summary],$C46,ConsolidatedUnits2[Fuel Bucket Summary],E$39,ConsolidatedUnits2[Region],$C$11,ConsolidatedUnits2[Dispatch Type],"NS")),IF($C$11="NEM",SUMIFS(ConsolidatedUnits2[Aggregated Upper Nameplate Capacity (MW)],ConsolidatedUnits2[Status Bucket Summary],$C46,ConsolidatedUnits2[Fuel Bucket Summary],E$39,ConsolidatedUnits2[Dispatch Type],_xlfn.IFS($C$13="NS","NS",$C$13="SS","SS",$C$13="S","S")),SUMIFS(ConsolidatedUnits2[Aggregated Upper Nameplate Capacity (MW)],ConsolidatedUnits2[Status Bucket Summary],$C46,ConsolidatedUnits2[Fuel Bucket Summary],E$39,ConsolidatedUnits2[Region],$C$11,ConsolidatedUnits2[Dispatch Type],_xlfn.IFS($C$13="NS","NS",$C$13="SS","SS",$C$13="S","S")))))</f>
        <v>207</v>
      </c>
      <c r="F46" s="141" cm="1">
        <f t="array" ref="F46">IF($C$13="S"&amp;CHAR(130)&amp;" SS &amp; NS",IF($C$11="NEM",SUMIFS(ConsolidatedUnits2[Aggregated Upper Nameplate Capacity (MW)],ConsolidatedUnits2[Status Bucket Summary],$C46,ConsolidatedUnits2[Fuel Bucket Summary],F$39),SUMIFS(ConsolidatedUnits2[Aggregated Upper Nameplate Capacity (MW)],ConsolidatedUnits2[Status Bucket Summary],$C46,ConsolidatedUnits2[Fuel Bucket Summary],F$39,ConsolidatedUnits2[Region],$C$11)),IF($C$13="S &amp; SS",IF($C$11="NEM",SUMIFS(ConsolidatedUnits2[Aggregated Upper Nameplate Capacity (MW)],ConsolidatedUnits2[Status Bucket Summary],$C46,ConsolidatedUnits2[Fuel Bucket Summary],F$39),SUMIFS(ConsolidatedUnits2[Aggregated Upper Nameplate Capacity (MW)],ConsolidatedUnits2[Status Bucket Summary],$C46,ConsolidatedUnits2[Fuel Bucket Summary],F$39,ConsolidatedUnits2[Region],$C$11))-IF($C$11="NEM",SUMIFS(ConsolidatedUnits2[Aggregated Upper Nameplate Capacity (MW)],ConsolidatedUnits2[Status Bucket Summary],$C46,ConsolidatedUnits2[Fuel Bucket Summary],F$39,ConsolidatedUnits2[Dispatch Type],"NS"),SUMIFS(ConsolidatedUnits2[Aggregated Upper Nameplate Capacity (MW)],ConsolidatedUnits2[Status Bucket Summary],$C46,ConsolidatedUnits2[Fuel Bucket Summary],F$39,ConsolidatedUnits2[Region],$C$11,ConsolidatedUnits2[Dispatch Type],"NS")),IF($C$11="NEM",SUMIFS(ConsolidatedUnits2[Aggregated Upper Nameplate Capacity (MW)],ConsolidatedUnits2[Status Bucket Summary],$C46,ConsolidatedUnits2[Fuel Bucket Summary],F$39,ConsolidatedUnits2[Dispatch Type],_xlfn.IFS($C$13="NS","NS",$C$13="SS","SS",$C$13="S","S")),SUMIFS(ConsolidatedUnits2[Aggregated Upper Nameplate Capacity (MW)],ConsolidatedUnits2[Status Bucket Summary],$C46,ConsolidatedUnits2[Fuel Bucket Summary],F$39,ConsolidatedUnits2[Region],$C$11,ConsolidatedUnits2[Dispatch Type],_xlfn.IFS($C$13="NS","NS",$C$13="SS","SS",$C$13="S","S")))))</f>
        <v>4387.99</v>
      </c>
      <c r="G46" s="140" cm="1">
        <f t="array" ref="G46">IF($C$13="S"&amp;CHAR(130)&amp;" SS &amp; NS",IF($C$11="NEM",SUMIFS(ConsolidatedUnits2[Aggregated Upper Nameplate Capacity (MW)],ConsolidatedUnits2[Status Bucket Summary],$C46,ConsolidatedUnits2[Fuel Bucket Summary],G$39),SUMIFS(ConsolidatedUnits2[Aggregated Upper Nameplate Capacity (MW)],ConsolidatedUnits2[Status Bucket Summary],$C46,ConsolidatedUnits2[Fuel Bucket Summary],G$39,ConsolidatedUnits2[Region],$C$11)),IF($C$13="S &amp; SS",IF($C$11="NEM",SUMIFS(ConsolidatedUnits2[Aggregated Upper Nameplate Capacity (MW)],ConsolidatedUnits2[Status Bucket Summary],$C46,ConsolidatedUnits2[Fuel Bucket Summary],G$39),SUMIFS(ConsolidatedUnits2[Aggregated Upper Nameplate Capacity (MW)],ConsolidatedUnits2[Status Bucket Summary],$C46,ConsolidatedUnits2[Fuel Bucket Summary],G$39,ConsolidatedUnits2[Region],$C$11))-IF($C$11="NEM",SUMIFS(ConsolidatedUnits2[Aggregated Upper Nameplate Capacity (MW)],ConsolidatedUnits2[Status Bucket Summary],$C46,ConsolidatedUnits2[Fuel Bucket Summary],G$39,ConsolidatedUnits2[Dispatch Type],"NS"),SUMIFS(ConsolidatedUnits2[Aggregated Upper Nameplate Capacity (MW)],ConsolidatedUnits2[Status Bucket Summary],$C46,ConsolidatedUnits2[Fuel Bucket Summary],G$39,ConsolidatedUnits2[Region],$C$11,ConsolidatedUnits2[Dispatch Type],"NS")),IF($C$11="NEM",SUMIFS(ConsolidatedUnits2[Aggregated Upper Nameplate Capacity (MW)],ConsolidatedUnits2[Status Bucket Summary],$C46,ConsolidatedUnits2[Fuel Bucket Summary],G$39,ConsolidatedUnits2[Dispatch Type],_xlfn.IFS($C$13="NS","NS",$C$13="SS","SS",$C$13="S","S")),SUMIFS(ConsolidatedUnits2[Aggregated Upper Nameplate Capacity (MW)],ConsolidatedUnits2[Status Bucket Summary],$C46,ConsolidatedUnits2[Fuel Bucket Summary],G$39,ConsolidatedUnits2[Region],$C$11,ConsolidatedUnits2[Dispatch Type],_xlfn.IFS($C$13="NS","NS",$C$13="SS","SS",$C$13="S","S")))))</f>
        <v>1652.97</v>
      </c>
      <c r="H46" s="141" cm="1">
        <f t="array" ref="H46">IF($C$13="S"&amp;CHAR(130)&amp;" SS &amp; NS",IF($C$11="NEM",SUMIFS(ConsolidatedUnits2[Aggregated Upper Nameplate Capacity (MW)],ConsolidatedUnits2[Status Bucket Summary],$C46,ConsolidatedUnits2[Fuel Bucket Summary],H$39),SUMIFS(ConsolidatedUnits2[Aggregated Upper Nameplate Capacity (MW)],ConsolidatedUnits2[Status Bucket Summary],$C46,ConsolidatedUnits2[Fuel Bucket Summary],H$39,ConsolidatedUnits2[Region],$C$11)),IF($C$13="S &amp; SS",IF($C$11="NEM",SUMIFS(ConsolidatedUnits2[Aggregated Upper Nameplate Capacity (MW)],ConsolidatedUnits2[Status Bucket Summary],$C46,ConsolidatedUnits2[Fuel Bucket Summary],H$39),SUMIFS(ConsolidatedUnits2[Aggregated Upper Nameplate Capacity (MW)],ConsolidatedUnits2[Status Bucket Summary],$C46,ConsolidatedUnits2[Fuel Bucket Summary],H$39,ConsolidatedUnits2[Region],$C$11))-IF($C$11="NEM",SUMIFS(ConsolidatedUnits2[Aggregated Upper Nameplate Capacity (MW)],ConsolidatedUnits2[Status Bucket Summary],$C46,ConsolidatedUnits2[Fuel Bucket Summary],H$39,ConsolidatedUnits2[Dispatch Type],"NS"),SUMIFS(ConsolidatedUnits2[Aggregated Upper Nameplate Capacity (MW)],ConsolidatedUnits2[Status Bucket Summary],$C46,ConsolidatedUnits2[Fuel Bucket Summary],H$39,ConsolidatedUnits2[Region],$C$11,ConsolidatedUnits2[Dispatch Type],"NS")),IF($C$11="NEM",SUMIFS(ConsolidatedUnits2[Aggregated Upper Nameplate Capacity (MW)],ConsolidatedUnits2[Status Bucket Summary],$C46,ConsolidatedUnits2[Fuel Bucket Summary],H$39,ConsolidatedUnits2[Dispatch Type],_xlfn.IFS($C$13="NS","NS",$C$13="SS","SS",$C$13="S","S")),SUMIFS(ConsolidatedUnits2[Aggregated Upper Nameplate Capacity (MW)],ConsolidatedUnits2[Status Bucket Summary],$C46,ConsolidatedUnits2[Fuel Bucket Summary],H$39,ConsolidatedUnits2[Region],$C$11,ConsolidatedUnits2[Dispatch Type],_xlfn.IFS($C$13="NS","NS",$C$13="SS","SS",$C$13="S","S")))))</f>
        <v>55018.26</v>
      </c>
      <c r="I46" s="140" cm="1">
        <f t="array" ref="I46">IF($C$13="S"&amp;CHAR(130)&amp;" SS &amp; NS",IF($C$11="NEM",SUMIFS(ConsolidatedUnits2[Aggregated Upper Nameplate Capacity (MW)],ConsolidatedUnits2[Status Bucket Summary],$C46,ConsolidatedUnits2[Fuel Bucket Summary],I$39),SUMIFS(ConsolidatedUnits2[Aggregated Upper Nameplate Capacity (MW)],ConsolidatedUnits2[Status Bucket Summary],$C46,ConsolidatedUnits2[Fuel Bucket Summary],I$39,ConsolidatedUnits2[Region],$C$11)),IF($C$13="S &amp; SS",IF($C$11="NEM",SUMIFS(ConsolidatedUnits2[Aggregated Upper Nameplate Capacity (MW)],ConsolidatedUnits2[Status Bucket Summary],$C46,ConsolidatedUnits2[Fuel Bucket Summary],I$39),SUMIFS(ConsolidatedUnits2[Aggregated Upper Nameplate Capacity (MW)],ConsolidatedUnits2[Status Bucket Summary],$C46,ConsolidatedUnits2[Fuel Bucket Summary],I$39,ConsolidatedUnits2[Region],$C$11))-IF($C$11="NEM",SUMIFS(ConsolidatedUnits2[Aggregated Upper Nameplate Capacity (MW)],ConsolidatedUnits2[Status Bucket Summary],$C46,ConsolidatedUnits2[Fuel Bucket Summary],I$39,ConsolidatedUnits2[Dispatch Type],"NS"),SUMIFS(ConsolidatedUnits2[Aggregated Upper Nameplate Capacity (MW)],ConsolidatedUnits2[Status Bucket Summary],$C46,ConsolidatedUnits2[Fuel Bucket Summary],I$39,ConsolidatedUnits2[Region],$C$11,ConsolidatedUnits2[Dispatch Type],"NS")),IF($C$11="NEM",SUMIFS(ConsolidatedUnits2[Aggregated Upper Nameplate Capacity (MW)],ConsolidatedUnits2[Status Bucket Summary],$C46,ConsolidatedUnits2[Fuel Bucket Summary],I$39,ConsolidatedUnits2[Dispatch Type],_xlfn.IFS($C$13="NS","NS",$C$13="SS","SS",$C$13="S","S")),SUMIFS(ConsolidatedUnits2[Aggregated Upper Nameplate Capacity (MW)],ConsolidatedUnits2[Status Bucket Summary],$C46,ConsolidatedUnits2[Fuel Bucket Summary],I$39,ConsolidatedUnits2[Region],$C$11,ConsolidatedUnits2[Dispatch Type],_xlfn.IFS($C$13="NS","NS",$C$13="SS","SS",$C$13="S","S")))))</f>
        <v>120534.74999999999</v>
      </c>
      <c r="J46" s="141" cm="1">
        <f t="array" ref="J46">IF($C$13="S"&amp;CHAR(130)&amp;" SS &amp; NS",IF($C$11="NEM",SUMIFS(ConsolidatedUnits2[Aggregated Upper Nameplate Capacity (MW)],ConsolidatedUnits2[Status Bucket Summary],$C46,ConsolidatedUnits2[Fuel Bucket Summary],J$39),SUMIFS(ConsolidatedUnits2[Aggregated Upper Nameplate Capacity (MW)],ConsolidatedUnits2[Status Bucket Summary],$C46,ConsolidatedUnits2[Fuel Bucket Summary],J$39,ConsolidatedUnits2[Region],$C$11)),IF($C$13="S &amp; SS",IF($C$11="NEM",SUMIFS(ConsolidatedUnits2[Aggregated Upper Nameplate Capacity (MW)],ConsolidatedUnits2[Status Bucket Summary],$C46,ConsolidatedUnits2[Fuel Bucket Summary],J$39),SUMIFS(ConsolidatedUnits2[Aggregated Upper Nameplate Capacity (MW)],ConsolidatedUnits2[Status Bucket Summary],$C46,ConsolidatedUnits2[Fuel Bucket Summary],J$39,ConsolidatedUnits2[Region],$C$11))-IF($C$11="NEM",SUMIFS(ConsolidatedUnits2[Aggregated Upper Nameplate Capacity (MW)],ConsolidatedUnits2[Status Bucket Summary],$C46,ConsolidatedUnits2[Fuel Bucket Summary],J$39,ConsolidatedUnits2[Dispatch Type],"NS"),SUMIFS(ConsolidatedUnits2[Aggregated Upper Nameplate Capacity (MW)],ConsolidatedUnits2[Status Bucket Summary],$C46,ConsolidatedUnits2[Fuel Bucket Summary],J$39,ConsolidatedUnits2[Region],$C$11,ConsolidatedUnits2[Dispatch Type],"NS")),IF($C$11="NEM",SUMIFS(ConsolidatedUnits2[Aggregated Upper Nameplate Capacity (MW)],ConsolidatedUnits2[Status Bucket Summary],$C46,ConsolidatedUnits2[Fuel Bucket Summary],J$39,ConsolidatedUnits2[Dispatch Type],_xlfn.IFS($C$13="NS","NS",$C$13="SS","SS",$C$13="S","S")),SUMIFS(ConsolidatedUnits2[Aggregated Upper Nameplate Capacity (MW)],ConsolidatedUnits2[Status Bucket Summary],$C46,ConsolidatedUnits2[Fuel Bucket Summary],J$39,ConsolidatedUnits2[Region],$C$11,ConsolidatedUnits2[Dispatch Type],_xlfn.IFS($C$13="NS","NS",$C$13="SS","SS",$C$13="S","S")))))</f>
        <v>14078</v>
      </c>
      <c r="K46" s="140" cm="1">
        <f t="array" ref="K46">IF($C$13="S"&amp;CHAR(130)&amp;" SS &amp; NS",IF($C$11="NEM",SUMIFS(ConsolidatedUnits2[Aggregated Upper Nameplate Capacity (MW)],ConsolidatedUnits2[Status Bucket Summary],$C46,ConsolidatedUnits2[Fuel Bucket Summary],K$39),SUMIFS(ConsolidatedUnits2[Aggregated Upper Nameplate Capacity (MW)],ConsolidatedUnits2[Status Bucket Summary],$C46,ConsolidatedUnits2[Fuel Bucket Summary],K$39,ConsolidatedUnits2[Region],$C$11)),IF($C$13="S &amp; SS",IF($C$11="NEM",SUMIFS(ConsolidatedUnits2[Aggregated Upper Nameplate Capacity (MW)],ConsolidatedUnits2[Status Bucket Summary],$C46,ConsolidatedUnits2[Fuel Bucket Summary],K$39),SUMIFS(ConsolidatedUnits2[Aggregated Upper Nameplate Capacity (MW)],ConsolidatedUnits2[Status Bucket Summary],$C46,ConsolidatedUnits2[Fuel Bucket Summary],K$39,ConsolidatedUnits2[Region],$C$11))-IF($C$11="NEM",SUMIFS(ConsolidatedUnits2[Aggregated Upper Nameplate Capacity (MW)],ConsolidatedUnits2[Status Bucket Summary],$C46,ConsolidatedUnits2[Fuel Bucket Summary],K$39,ConsolidatedUnits2[Dispatch Type],"NS"),SUMIFS(ConsolidatedUnits2[Aggregated Upper Nameplate Capacity (MW)],ConsolidatedUnits2[Status Bucket Summary],$C46,ConsolidatedUnits2[Fuel Bucket Summary],K$39,ConsolidatedUnits2[Region],$C$11,ConsolidatedUnits2[Dispatch Type],"NS")),IF($C$11="NEM",SUMIFS(ConsolidatedUnits2[Aggregated Upper Nameplate Capacity (MW)],ConsolidatedUnits2[Status Bucket Summary],$C46,ConsolidatedUnits2[Fuel Bucket Summary],K$39,ConsolidatedUnits2[Dispatch Type],_xlfn.IFS($C$13="NS","NS",$C$13="SS","SS",$C$13="S","S")),SUMIFS(ConsolidatedUnits2[Aggregated Upper Nameplate Capacity (MW)],ConsolidatedUnits2[Status Bucket Summary],$C46,ConsolidatedUnits2[Fuel Bucket Summary],K$39,ConsolidatedUnits2[Region],$C$11,ConsolidatedUnits2[Dispatch Type],_xlfn.IFS($C$13="NS","NS",$C$13="SS","SS",$C$13="S","S")))))</f>
        <v>183</v>
      </c>
      <c r="L46" s="141" cm="1">
        <f t="array" ref="L46">IF($C$13="S"&amp;CHAR(130)&amp;" SS &amp; NS",IF($C$11="NEM",SUMIFS(ConsolidatedUnits2[Aggregated Upper Nameplate Capacity (MW)],ConsolidatedUnits2[Status Bucket Summary],$C46,ConsolidatedUnits2[Fuel Bucket Summary],L$39),SUMIFS(ConsolidatedUnits2[Aggregated Upper Nameplate Capacity (MW)],ConsolidatedUnits2[Status Bucket Summary],$C46,ConsolidatedUnits2[Fuel Bucket Summary],L$39,ConsolidatedUnits2[Region],$C$11)),IF($C$13="S &amp; SS",IF($C$11="NEM",SUMIFS(ConsolidatedUnits2[Aggregated Upper Nameplate Capacity (MW)],ConsolidatedUnits2[Status Bucket Summary],$C46,ConsolidatedUnits2[Fuel Bucket Summary],L$39),SUMIFS(ConsolidatedUnits2[Aggregated Upper Nameplate Capacity (MW)],ConsolidatedUnits2[Status Bucket Summary],$C46,ConsolidatedUnits2[Fuel Bucket Summary],L$39,ConsolidatedUnits2[Region],$C$11))-IF($C$11="NEM",SUMIFS(ConsolidatedUnits2[Aggregated Upper Nameplate Capacity (MW)],ConsolidatedUnits2[Status Bucket Summary],$C46,ConsolidatedUnits2[Fuel Bucket Summary],L$39,ConsolidatedUnits2[Dispatch Type],"NS"),SUMIFS(ConsolidatedUnits2[Aggregated Upper Nameplate Capacity (MW)],ConsolidatedUnits2[Status Bucket Summary],$C46,ConsolidatedUnits2[Fuel Bucket Summary],L$39,ConsolidatedUnits2[Region],$C$11,ConsolidatedUnits2[Dispatch Type],"NS")),IF($C$11="NEM",SUMIFS(ConsolidatedUnits2[Aggregated Upper Nameplate Capacity (MW)],ConsolidatedUnits2[Status Bucket Summary],$C46,ConsolidatedUnits2[Fuel Bucket Summary],L$39,ConsolidatedUnits2[Dispatch Type],_xlfn.IFS($C$13="NS","NS",$C$13="SS","SS",$C$13="S","S")),SUMIFS(ConsolidatedUnits2[Aggregated Upper Nameplate Capacity (MW)],ConsolidatedUnits2[Status Bucket Summary],$C46,ConsolidatedUnits2[Fuel Bucket Summary],L$39,ConsolidatedUnits2[Region],$C$11,ConsolidatedUnits2[Dispatch Type],_xlfn.IFS($C$13="NS","NS",$C$13="SS","SS",$C$13="S","S")))))</f>
        <v>119856.89999999998</v>
      </c>
      <c r="M46" s="140" cm="1">
        <f t="array" ref="M46">IF($C$13="S"&amp;CHAR(130)&amp;" SS &amp; NS",IF($C$11="NEM",SUMIFS(ConsolidatedUnits2[Aggregated Upper Nameplate Capacity (MW)],ConsolidatedUnits2[Status Bucket Summary],$C46,ConsolidatedUnits2[Fuel Bucket Summary],M$39),SUMIFS(ConsolidatedUnits2[Aggregated Upper Nameplate Capacity (MW)],ConsolidatedUnits2[Status Bucket Summary],$C46,ConsolidatedUnits2[Fuel Bucket Summary],M$39,ConsolidatedUnits2[Region],$C$11)),IF($C$13="S &amp; SS",IF($C$11="NEM",SUMIFS(ConsolidatedUnits2[Aggregated Upper Nameplate Capacity (MW)],ConsolidatedUnits2[Status Bucket Summary],$C46,ConsolidatedUnits2[Fuel Bucket Summary],M$39),SUMIFS(ConsolidatedUnits2[Aggregated Upper Nameplate Capacity (MW)],ConsolidatedUnits2[Status Bucket Summary],$C46,ConsolidatedUnits2[Fuel Bucket Summary],M$39,ConsolidatedUnits2[Region],$C$11))-IF($C$11="NEM",SUMIFS(ConsolidatedUnits2[Aggregated Upper Nameplate Capacity (MW)],ConsolidatedUnits2[Status Bucket Summary],$C46,ConsolidatedUnits2[Fuel Bucket Summary],M$39,ConsolidatedUnits2[Dispatch Type],"NS"),SUMIFS(ConsolidatedUnits2[Aggregated Upper Nameplate Capacity (MW)],ConsolidatedUnits2[Status Bucket Summary],$C46,ConsolidatedUnits2[Fuel Bucket Summary],M$39,ConsolidatedUnits2[Region],$C$11,ConsolidatedUnits2[Dispatch Type],"NS")),IF($C$11="NEM",SUMIFS(ConsolidatedUnits2[Aggregated Upper Nameplate Capacity (MW)],ConsolidatedUnits2[Status Bucket Summary],$C46,ConsolidatedUnits2[Fuel Bucket Summary],M$39,ConsolidatedUnits2[Dispatch Type],_xlfn.IFS($C$13="NS","NS",$C$13="SS","SS",$C$13="S","S")),SUMIFS(ConsolidatedUnits2[Aggregated Upper Nameplate Capacity (MW)],ConsolidatedUnits2[Status Bucket Summary],$C46,ConsolidatedUnits2[Fuel Bucket Summary],M$39,ConsolidatedUnits2[Region],$C$11,ConsolidatedUnits2[Dispatch Type],_xlfn.IFS($C$13="NS","NS",$C$13="SS","SS",$C$13="S","S")))))</f>
        <v>5679</v>
      </c>
      <c r="N46" s="87">
        <f>SUM(D46:M46)</f>
        <v>321597.86999999994</v>
      </c>
      <c r="O46" s="61"/>
      <c r="P46" s="135"/>
    </row>
    <row r="47" spans="1:16" ht="15" thickBot="1">
      <c r="A47" s="68"/>
      <c r="B47" s="94"/>
      <c r="C47" s="90" t="s">
        <v>30</v>
      </c>
      <c r="D47" s="87" cm="1">
        <f t="array" ref="D47">IF($C$13="S"&amp;CHAR(130)&amp;" SS &amp; NS",IF($C$11="NEM",SUMIFS(ConsolidatedUnits2[Aggregated Upper Nameplate Capacity (MW)],ConsolidatedUnits2[Status Bucket Summary],$C47,ConsolidatedUnits2[Fuel Bucket Summary],D$39),SUMIFS(ConsolidatedUnits2[Aggregated Upper Nameplate Capacity (MW)],ConsolidatedUnits2[Status Bucket Summary],$C47,ConsolidatedUnits2[Fuel Bucket Summary],D$39,ConsolidatedUnits2[Region],$C$11)),IF($C$13="S &amp; SS",IF($C$11="NEM",SUMIFS(ConsolidatedUnits2[Aggregated Upper Nameplate Capacity (MW)],ConsolidatedUnits2[Status Bucket Summary],$C47,ConsolidatedUnits2[Fuel Bucket Summary],D$39),SUMIFS(ConsolidatedUnits2[Aggregated Upper Nameplate Capacity (MW)],ConsolidatedUnits2[Status Bucket Summary],$C47,ConsolidatedUnits2[Fuel Bucket Summary],D$39,ConsolidatedUnits2[Region],$C$11))-IF($C$11="NEM",SUMIFS(ConsolidatedUnits2[Aggregated Upper Nameplate Capacity (MW)],ConsolidatedUnits2[Status Bucket Summary],$C47,ConsolidatedUnits2[Fuel Bucket Summary],D$39,ConsolidatedUnits2[Dispatch Type],"NS"),SUMIFS(ConsolidatedUnits2[Aggregated Upper Nameplate Capacity (MW)],ConsolidatedUnits2[Status Bucket Summary],$C47,ConsolidatedUnits2[Fuel Bucket Summary],D$39,ConsolidatedUnits2[Region],$C$11,ConsolidatedUnits2[Dispatch Type],"NS")),IF($C$11="NEM",SUMIFS(ConsolidatedUnits2[Aggregated Upper Nameplate Capacity (MW)],ConsolidatedUnits2[Status Bucket Summary],$C47,ConsolidatedUnits2[Fuel Bucket Summary],D$39,ConsolidatedUnits2[Dispatch Type],_xlfn.IFS($C$13="NS","NS",$C$13="SS","SS",$C$13="S","S")),SUMIFS(ConsolidatedUnits2[Aggregated Upper Nameplate Capacity (MW)],ConsolidatedUnits2[Status Bucket Summary],$C47,ConsolidatedUnits2[Fuel Bucket Summary],D$39,ConsolidatedUnits2[Region],$C$11,ConsolidatedUnits2[Dispatch Type],_xlfn.IFS($C$13="NS","NS",$C$13="SS","SS",$C$13="S","S")))))</f>
        <v>0</v>
      </c>
      <c r="E47" s="140" cm="1">
        <f t="array" ref="E47">IF($C$13="S"&amp;CHAR(130)&amp;" SS &amp; NS",IF($C$11="NEM",SUMIFS(ConsolidatedUnits2[Aggregated Upper Nameplate Capacity (MW)],ConsolidatedUnits2[Status Bucket Summary],$C47,ConsolidatedUnits2[Fuel Bucket Summary],E$39),SUMIFS(ConsolidatedUnits2[Aggregated Upper Nameplate Capacity (MW)],ConsolidatedUnits2[Status Bucket Summary],$C47,ConsolidatedUnits2[Fuel Bucket Summary],E$39,ConsolidatedUnits2[Region],$C$11)),IF($C$13="S &amp; SS",IF($C$11="NEM",SUMIFS(ConsolidatedUnits2[Aggregated Upper Nameplate Capacity (MW)],ConsolidatedUnits2[Status Bucket Summary],$C47,ConsolidatedUnits2[Fuel Bucket Summary],E$39),SUMIFS(ConsolidatedUnits2[Aggregated Upper Nameplate Capacity (MW)],ConsolidatedUnits2[Status Bucket Summary],$C47,ConsolidatedUnits2[Fuel Bucket Summary],E$39,ConsolidatedUnits2[Region],$C$11))-IF($C$11="NEM",SUMIFS(ConsolidatedUnits2[Aggregated Upper Nameplate Capacity (MW)],ConsolidatedUnits2[Status Bucket Summary],$C47,ConsolidatedUnits2[Fuel Bucket Summary],E$39,ConsolidatedUnits2[Dispatch Type],"NS"),SUMIFS(ConsolidatedUnits2[Aggregated Upper Nameplate Capacity (MW)],ConsolidatedUnits2[Status Bucket Summary],$C47,ConsolidatedUnits2[Fuel Bucket Summary],E$39,ConsolidatedUnits2[Region],$C$11,ConsolidatedUnits2[Dispatch Type],"NS")),IF($C$11="NEM",SUMIFS(ConsolidatedUnits2[Aggregated Upper Nameplate Capacity (MW)],ConsolidatedUnits2[Status Bucket Summary],$C47,ConsolidatedUnits2[Fuel Bucket Summary],E$39,ConsolidatedUnits2[Dispatch Type],_xlfn.IFS($C$13="NS","NS",$C$13="SS","SS",$C$13="S","S")),SUMIFS(ConsolidatedUnits2[Aggregated Upper Nameplate Capacity (MW)],ConsolidatedUnits2[Status Bucket Summary],$C47,ConsolidatedUnits2[Fuel Bucket Summary],E$39,ConsolidatedUnits2[Region],$C$11,ConsolidatedUnits2[Dispatch Type],_xlfn.IFS($C$13="NS","NS",$C$13="SS","SS",$C$13="S","S")))))</f>
        <v>0</v>
      </c>
      <c r="F47" s="141" cm="1">
        <f t="array" ref="F47">IF($C$13="S"&amp;CHAR(130)&amp;" SS &amp; NS",IF($C$11="NEM",SUMIFS(ConsolidatedUnits2[Aggregated Upper Nameplate Capacity (MW)],ConsolidatedUnits2[Status Bucket Summary],$C47,ConsolidatedUnits2[Fuel Bucket Summary],F$39),SUMIFS(ConsolidatedUnits2[Aggregated Upper Nameplate Capacity (MW)],ConsolidatedUnits2[Status Bucket Summary],$C47,ConsolidatedUnits2[Fuel Bucket Summary],F$39,ConsolidatedUnits2[Region],$C$11)),IF($C$13="S &amp; SS",IF($C$11="NEM",SUMIFS(ConsolidatedUnits2[Aggregated Upper Nameplate Capacity (MW)],ConsolidatedUnits2[Status Bucket Summary],$C47,ConsolidatedUnits2[Fuel Bucket Summary],F$39),SUMIFS(ConsolidatedUnits2[Aggregated Upper Nameplate Capacity (MW)],ConsolidatedUnits2[Status Bucket Summary],$C47,ConsolidatedUnits2[Fuel Bucket Summary],F$39,ConsolidatedUnits2[Region],$C$11))-IF($C$11="NEM",SUMIFS(ConsolidatedUnits2[Aggregated Upper Nameplate Capacity (MW)],ConsolidatedUnits2[Status Bucket Summary],$C47,ConsolidatedUnits2[Fuel Bucket Summary],F$39,ConsolidatedUnits2[Dispatch Type],"NS"),SUMIFS(ConsolidatedUnits2[Aggregated Upper Nameplate Capacity (MW)],ConsolidatedUnits2[Status Bucket Summary],$C47,ConsolidatedUnits2[Fuel Bucket Summary],F$39,ConsolidatedUnits2[Region],$C$11,ConsolidatedUnits2[Dispatch Type],"NS")),IF($C$11="NEM",SUMIFS(ConsolidatedUnits2[Aggregated Upper Nameplate Capacity (MW)],ConsolidatedUnits2[Status Bucket Summary],$C47,ConsolidatedUnits2[Fuel Bucket Summary],F$39,ConsolidatedUnits2[Dispatch Type],_xlfn.IFS($C$13="NS","NS",$C$13="SS","SS",$C$13="S","S")),SUMIFS(ConsolidatedUnits2[Aggregated Upper Nameplate Capacity (MW)],ConsolidatedUnits2[Status Bucket Summary],$C47,ConsolidatedUnits2[Fuel Bucket Summary],F$39,ConsolidatedUnits2[Region],$C$11,ConsolidatedUnits2[Dispatch Type],_xlfn.IFS($C$13="NS","NS",$C$13="SS","SS",$C$13="S","S")))))</f>
        <v>0</v>
      </c>
      <c r="G47" s="140" cm="1">
        <f t="array" ref="G47">IF($C$13="S"&amp;CHAR(130)&amp;" SS &amp; NS",IF($C$11="NEM",SUMIFS(ConsolidatedUnits2[Aggregated Upper Nameplate Capacity (MW)],ConsolidatedUnits2[Status Bucket Summary],$C47,ConsolidatedUnits2[Fuel Bucket Summary],G$39),SUMIFS(ConsolidatedUnits2[Aggregated Upper Nameplate Capacity (MW)],ConsolidatedUnits2[Status Bucket Summary],$C47,ConsolidatedUnits2[Fuel Bucket Summary],G$39,ConsolidatedUnits2[Region],$C$11)),IF($C$13="S &amp; SS",IF($C$11="NEM",SUMIFS(ConsolidatedUnits2[Aggregated Upper Nameplate Capacity (MW)],ConsolidatedUnits2[Status Bucket Summary],$C47,ConsolidatedUnits2[Fuel Bucket Summary],G$39),SUMIFS(ConsolidatedUnits2[Aggregated Upper Nameplate Capacity (MW)],ConsolidatedUnits2[Status Bucket Summary],$C47,ConsolidatedUnits2[Fuel Bucket Summary],G$39,ConsolidatedUnits2[Region],$C$11))-IF($C$11="NEM",SUMIFS(ConsolidatedUnits2[Aggregated Upper Nameplate Capacity (MW)],ConsolidatedUnits2[Status Bucket Summary],$C47,ConsolidatedUnits2[Fuel Bucket Summary],G$39,ConsolidatedUnits2[Dispatch Type],"NS"),SUMIFS(ConsolidatedUnits2[Aggregated Upper Nameplate Capacity (MW)],ConsolidatedUnits2[Status Bucket Summary],$C47,ConsolidatedUnits2[Fuel Bucket Summary],G$39,ConsolidatedUnits2[Region],$C$11,ConsolidatedUnits2[Dispatch Type],"NS")),IF($C$11="NEM",SUMIFS(ConsolidatedUnits2[Aggregated Upper Nameplate Capacity (MW)],ConsolidatedUnits2[Status Bucket Summary],$C47,ConsolidatedUnits2[Fuel Bucket Summary],G$39,ConsolidatedUnits2[Dispatch Type],_xlfn.IFS($C$13="NS","NS",$C$13="SS","SS",$C$13="S","S")),SUMIFS(ConsolidatedUnits2[Aggregated Upper Nameplate Capacity (MW)],ConsolidatedUnits2[Status Bucket Summary],$C47,ConsolidatedUnits2[Fuel Bucket Summary],G$39,ConsolidatedUnits2[Region],$C$11,ConsolidatedUnits2[Dispatch Type],_xlfn.IFS($C$13="NS","NS",$C$13="SS","SS",$C$13="S","S")))))</f>
        <v>36</v>
      </c>
      <c r="H47" s="141" cm="1">
        <f t="array" ref="H47">IF($C$13="S"&amp;CHAR(130)&amp;" SS &amp; NS",IF($C$11="NEM",SUMIFS(ConsolidatedUnits2[Aggregated Upper Nameplate Capacity (MW)],ConsolidatedUnits2[Status Bucket Summary],$C47,ConsolidatedUnits2[Fuel Bucket Summary],H$39),SUMIFS(ConsolidatedUnits2[Aggregated Upper Nameplate Capacity (MW)],ConsolidatedUnits2[Status Bucket Summary],$C47,ConsolidatedUnits2[Fuel Bucket Summary],H$39,ConsolidatedUnits2[Region],$C$11)),IF($C$13="S &amp; SS",IF($C$11="NEM",SUMIFS(ConsolidatedUnits2[Aggregated Upper Nameplate Capacity (MW)],ConsolidatedUnits2[Status Bucket Summary],$C47,ConsolidatedUnits2[Fuel Bucket Summary],H$39),SUMIFS(ConsolidatedUnits2[Aggregated Upper Nameplate Capacity (MW)],ConsolidatedUnits2[Status Bucket Summary],$C47,ConsolidatedUnits2[Fuel Bucket Summary],H$39,ConsolidatedUnits2[Region],$C$11))-IF($C$11="NEM",SUMIFS(ConsolidatedUnits2[Aggregated Upper Nameplate Capacity (MW)],ConsolidatedUnits2[Status Bucket Summary],$C47,ConsolidatedUnits2[Fuel Bucket Summary],H$39,ConsolidatedUnits2[Dispatch Type],"NS"),SUMIFS(ConsolidatedUnits2[Aggregated Upper Nameplate Capacity (MW)],ConsolidatedUnits2[Status Bucket Summary],$C47,ConsolidatedUnits2[Fuel Bucket Summary],H$39,ConsolidatedUnits2[Region],$C$11,ConsolidatedUnits2[Dispatch Type],"NS")),IF($C$11="NEM",SUMIFS(ConsolidatedUnits2[Aggregated Upper Nameplate Capacity (MW)],ConsolidatedUnits2[Status Bucket Summary],$C47,ConsolidatedUnits2[Fuel Bucket Summary],H$39,ConsolidatedUnits2[Dispatch Type],_xlfn.IFS($C$13="NS","NS",$C$13="SS","SS",$C$13="S","S")),SUMIFS(ConsolidatedUnits2[Aggregated Upper Nameplate Capacity (MW)],ConsolidatedUnits2[Status Bucket Summary],$C47,ConsolidatedUnits2[Fuel Bucket Summary],H$39,ConsolidatedUnits2[Region],$C$11,ConsolidatedUnits2[Dispatch Type],_xlfn.IFS($C$13="NS","NS",$C$13="SS","SS",$C$13="S","S")))))</f>
        <v>0</v>
      </c>
      <c r="I47" s="140" cm="1">
        <f t="array" ref="I47">IF($C$13="S"&amp;CHAR(130)&amp;" SS &amp; NS",IF($C$11="NEM",SUMIFS(ConsolidatedUnits2[Aggregated Upper Nameplate Capacity (MW)],ConsolidatedUnits2[Status Bucket Summary],$C47,ConsolidatedUnits2[Fuel Bucket Summary],I$39),SUMIFS(ConsolidatedUnits2[Aggregated Upper Nameplate Capacity (MW)],ConsolidatedUnits2[Status Bucket Summary],$C47,ConsolidatedUnits2[Fuel Bucket Summary],I$39,ConsolidatedUnits2[Region],$C$11)),IF($C$13="S &amp; SS",IF($C$11="NEM",SUMIFS(ConsolidatedUnits2[Aggregated Upper Nameplate Capacity (MW)],ConsolidatedUnits2[Status Bucket Summary],$C47,ConsolidatedUnits2[Fuel Bucket Summary],I$39),SUMIFS(ConsolidatedUnits2[Aggregated Upper Nameplate Capacity (MW)],ConsolidatedUnits2[Status Bucket Summary],$C47,ConsolidatedUnits2[Fuel Bucket Summary],I$39,ConsolidatedUnits2[Region],$C$11))-IF($C$11="NEM",SUMIFS(ConsolidatedUnits2[Aggregated Upper Nameplate Capacity (MW)],ConsolidatedUnits2[Status Bucket Summary],$C47,ConsolidatedUnits2[Fuel Bucket Summary],I$39,ConsolidatedUnits2[Dispatch Type],"NS"),SUMIFS(ConsolidatedUnits2[Aggregated Upper Nameplate Capacity (MW)],ConsolidatedUnits2[Status Bucket Summary],$C47,ConsolidatedUnits2[Fuel Bucket Summary],I$39,ConsolidatedUnits2[Region],$C$11,ConsolidatedUnits2[Dispatch Type],"NS")),IF($C$11="NEM",SUMIFS(ConsolidatedUnits2[Aggregated Upper Nameplate Capacity (MW)],ConsolidatedUnits2[Status Bucket Summary],$C47,ConsolidatedUnits2[Fuel Bucket Summary],I$39,ConsolidatedUnits2[Dispatch Type],_xlfn.IFS($C$13="NS","NS",$C$13="SS","SS",$C$13="S","S")),SUMIFS(ConsolidatedUnits2[Aggregated Upper Nameplate Capacity (MW)],ConsolidatedUnits2[Status Bucket Summary],$C47,ConsolidatedUnits2[Fuel Bucket Summary],I$39,ConsolidatedUnits2[Region],$C$11,ConsolidatedUnits2[Dispatch Type],_xlfn.IFS($C$13="NS","NS",$C$13="SS","SS",$C$13="S","S")))))</f>
        <v>0</v>
      </c>
      <c r="J47" s="141" cm="1">
        <f t="array" ref="J47">IF($C$13="S"&amp;CHAR(130)&amp;" SS &amp; NS",IF($C$11="NEM",SUMIFS(ConsolidatedUnits2[Aggregated Upper Nameplate Capacity (MW)],ConsolidatedUnits2[Status Bucket Summary],$C47,ConsolidatedUnits2[Fuel Bucket Summary],J$39),SUMIFS(ConsolidatedUnits2[Aggregated Upper Nameplate Capacity (MW)],ConsolidatedUnits2[Status Bucket Summary],$C47,ConsolidatedUnits2[Fuel Bucket Summary],J$39,ConsolidatedUnits2[Region],$C$11)),IF($C$13="S &amp; SS",IF($C$11="NEM",SUMIFS(ConsolidatedUnits2[Aggregated Upper Nameplate Capacity (MW)],ConsolidatedUnits2[Status Bucket Summary],$C47,ConsolidatedUnits2[Fuel Bucket Summary],J$39),SUMIFS(ConsolidatedUnits2[Aggregated Upper Nameplate Capacity (MW)],ConsolidatedUnits2[Status Bucket Summary],$C47,ConsolidatedUnits2[Fuel Bucket Summary],J$39,ConsolidatedUnits2[Region],$C$11))-IF($C$11="NEM",SUMIFS(ConsolidatedUnits2[Aggregated Upper Nameplate Capacity (MW)],ConsolidatedUnits2[Status Bucket Summary],$C47,ConsolidatedUnits2[Fuel Bucket Summary],J$39,ConsolidatedUnits2[Dispatch Type],"NS"),SUMIFS(ConsolidatedUnits2[Aggregated Upper Nameplate Capacity (MW)],ConsolidatedUnits2[Status Bucket Summary],$C47,ConsolidatedUnits2[Fuel Bucket Summary],J$39,ConsolidatedUnits2[Region],$C$11,ConsolidatedUnits2[Dispatch Type],"NS")),IF($C$11="NEM",SUMIFS(ConsolidatedUnits2[Aggregated Upper Nameplate Capacity (MW)],ConsolidatedUnits2[Status Bucket Summary],$C47,ConsolidatedUnits2[Fuel Bucket Summary],J$39,ConsolidatedUnits2[Dispatch Type],_xlfn.IFS($C$13="NS","NS",$C$13="SS","SS",$C$13="S","S")),SUMIFS(ConsolidatedUnits2[Aggregated Upper Nameplate Capacity (MW)],ConsolidatedUnits2[Status Bucket Summary],$C47,ConsolidatedUnits2[Fuel Bucket Summary],J$39,ConsolidatedUnits2[Region],$C$11,ConsolidatedUnits2[Dispatch Type],_xlfn.IFS($C$13="NS","NS",$C$13="SS","SS",$C$13="S","S")))))</f>
        <v>0</v>
      </c>
      <c r="K47" s="140" cm="1">
        <f t="array" ref="K47">IF($C$13="S"&amp;CHAR(130)&amp;" SS &amp; NS",IF($C$11="NEM",SUMIFS(ConsolidatedUnits2[Aggregated Upper Nameplate Capacity (MW)],ConsolidatedUnits2[Status Bucket Summary],$C47,ConsolidatedUnits2[Fuel Bucket Summary],K$39),SUMIFS(ConsolidatedUnits2[Aggregated Upper Nameplate Capacity (MW)],ConsolidatedUnits2[Status Bucket Summary],$C47,ConsolidatedUnits2[Fuel Bucket Summary],K$39,ConsolidatedUnits2[Region],$C$11)),IF($C$13="S &amp; SS",IF($C$11="NEM",SUMIFS(ConsolidatedUnits2[Aggregated Upper Nameplate Capacity (MW)],ConsolidatedUnits2[Status Bucket Summary],$C47,ConsolidatedUnits2[Fuel Bucket Summary],K$39),SUMIFS(ConsolidatedUnits2[Aggregated Upper Nameplate Capacity (MW)],ConsolidatedUnits2[Status Bucket Summary],$C47,ConsolidatedUnits2[Fuel Bucket Summary],K$39,ConsolidatedUnits2[Region],$C$11))-IF($C$11="NEM",SUMIFS(ConsolidatedUnits2[Aggregated Upper Nameplate Capacity (MW)],ConsolidatedUnits2[Status Bucket Summary],$C47,ConsolidatedUnits2[Fuel Bucket Summary],K$39,ConsolidatedUnits2[Dispatch Type],"NS"),SUMIFS(ConsolidatedUnits2[Aggregated Upper Nameplate Capacity (MW)],ConsolidatedUnits2[Status Bucket Summary],$C47,ConsolidatedUnits2[Fuel Bucket Summary],K$39,ConsolidatedUnits2[Region],$C$11,ConsolidatedUnits2[Dispatch Type],"NS")),IF($C$11="NEM",SUMIFS(ConsolidatedUnits2[Aggregated Upper Nameplate Capacity (MW)],ConsolidatedUnits2[Status Bucket Summary],$C47,ConsolidatedUnits2[Fuel Bucket Summary],K$39,ConsolidatedUnits2[Dispatch Type],_xlfn.IFS($C$13="NS","NS",$C$13="SS","SS",$C$13="S","S")),SUMIFS(ConsolidatedUnits2[Aggregated Upper Nameplate Capacity (MW)],ConsolidatedUnits2[Status Bucket Summary],$C47,ConsolidatedUnits2[Fuel Bucket Summary],K$39,ConsolidatedUnits2[Region],$C$11,ConsolidatedUnits2[Dispatch Type],_xlfn.IFS($C$13="NS","NS",$C$13="SS","SS",$C$13="S","S")))))</f>
        <v>12</v>
      </c>
      <c r="L47" s="141" cm="1">
        <f t="array" ref="L47">IF($C$13="S"&amp;CHAR(130)&amp;" SS &amp; NS",IF($C$11="NEM",SUMIFS(ConsolidatedUnits2[Aggregated Upper Nameplate Capacity (MW)],ConsolidatedUnits2[Status Bucket Summary],$C47,ConsolidatedUnits2[Fuel Bucket Summary],L$39),SUMIFS(ConsolidatedUnits2[Aggregated Upper Nameplate Capacity (MW)],ConsolidatedUnits2[Status Bucket Summary],$C47,ConsolidatedUnits2[Fuel Bucket Summary],L$39,ConsolidatedUnits2[Region],$C$11)),IF($C$13="S &amp; SS",IF($C$11="NEM",SUMIFS(ConsolidatedUnits2[Aggregated Upper Nameplate Capacity (MW)],ConsolidatedUnits2[Status Bucket Summary],$C47,ConsolidatedUnits2[Fuel Bucket Summary],L$39),SUMIFS(ConsolidatedUnits2[Aggregated Upper Nameplate Capacity (MW)],ConsolidatedUnits2[Status Bucket Summary],$C47,ConsolidatedUnits2[Fuel Bucket Summary],L$39,ConsolidatedUnits2[Region],$C$11))-IF($C$11="NEM",SUMIFS(ConsolidatedUnits2[Aggregated Upper Nameplate Capacity (MW)],ConsolidatedUnits2[Status Bucket Summary],$C47,ConsolidatedUnits2[Fuel Bucket Summary],L$39,ConsolidatedUnits2[Dispatch Type],"NS"),SUMIFS(ConsolidatedUnits2[Aggregated Upper Nameplate Capacity (MW)],ConsolidatedUnits2[Status Bucket Summary],$C47,ConsolidatedUnits2[Fuel Bucket Summary],L$39,ConsolidatedUnits2[Region],$C$11,ConsolidatedUnits2[Dispatch Type],"NS")),IF($C$11="NEM",SUMIFS(ConsolidatedUnits2[Aggregated Upper Nameplate Capacity (MW)],ConsolidatedUnits2[Status Bucket Summary],$C47,ConsolidatedUnits2[Fuel Bucket Summary],L$39,ConsolidatedUnits2[Dispatch Type],_xlfn.IFS($C$13="NS","NS",$C$13="SS","SS",$C$13="S","S")),SUMIFS(ConsolidatedUnits2[Aggregated Upper Nameplate Capacity (MW)],ConsolidatedUnits2[Status Bucket Summary],$C47,ConsolidatedUnits2[Fuel Bucket Summary],L$39,ConsolidatedUnits2[Region],$C$11,ConsolidatedUnits2[Dispatch Type],_xlfn.IFS($C$13="NS","NS",$C$13="SS","SS",$C$13="S","S")))))</f>
        <v>0</v>
      </c>
      <c r="M47" s="140" cm="1">
        <f t="array" ref="M47">IF($C$13="S"&amp;CHAR(130)&amp;" SS &amp; NS",IF($C$11="NEM",SUMIFS(ConsolidatedUnits2[Aggregated Upper Nameplate Capacity (MW)],ConsolidatedUnits2[Status Bucket Summary],$C47,ConsolidatedUnits2[Fuel Bucket Summary],M$39),SUMIFS(ConsolidatedUnits2[Aggregated Upper Nameplate Capacity (MW)],ConsolidatedUnits2[Status Bucket Summary],$C47,ConsolidatedUnits2[Fuel Bucket Summary],M$39,ConsolidatedUnits2[Region],$C$11)),IF($C$13="S &amp; SS",IF($C$11="NEM",SUMIFS(ConsolidatedUnits2[Aggregated Upper Nameplate Capacity (MW)],ConsolidatedUnits2[Status Bucket Summary],$C47,ConsolidatedUnits2[Fuel Bucket Summary],M$39),SUMIFS(ConsolidatedUnits2[Aggregated Upper Nameplate Capacity (MW)],ConsolidatedUnits2[Status Bucket Summary],$C47,ConsolidatedUnits2[Fuel Bucket Summary],M$39,ConsolidatedUnits2[Region],$C$11))-IF($C$11="NEM",SUMIFS(ConsolidatedUnits2[Aggregated Upper Nameplate Capacity (MW)],ConsolidatedUnits2[Status Bucket Summary],$C47,ConsolidatedUnits2[Fuel Bucket Summary],M$39,ConsolidatedUnits2[Dispatch Type],"NS"),SUMIFS(ConsolidatedUnits2[Aggregated Upper Nameplate Capacity (MW)],ConsolidatedUnits2[Status Bucket Summary],$C47,ConsolidatedUnits2[Fuel Bucket Summary],M$39,ConsolidatedUnits2[Region],$C$11,ConsolidatedUnits2[Dispatch Type],"NS")),IF($C$11="NEM",SUMIFS(ConsolidatedUnits2[Aggregated Upper Nameplate Capacity (MW)],ConsolidatedUnits2[Status Bucket Summary],$C47,ConsolidatedUnits2[Fuel Bucket Summary],M$39,ConsolidatedUnits2[Dispatch Type],_xlfn.IFS($C$13="NS","NS",$C$13="SS","SS",$C$13="S","S")),SUMIFS(ConsolidatedUnits2[Aggregated Upper Nameplate Capacity (MW)],ConsolidatedUnits2[Status Bucket Summary],$C47,ConsolidatedUnits2[Fuel Bucket Summary],M$39,ConsolidatedUnits2[Region],$C$11,ConsolidatedUnits2[Dispatch Type],_xlfn.IFS($C$13="NS","NS",$C$13="SS","SS",$C$13="S","S")))))</f>
        <v>0</v>
      </c>
      <c r="N47" s="87">
        <f t="shared" ref="N47" si="3">SUM(D47:M47)</f>
        <v>48</v>
      </c>
      <c r="O47" s="61"/>
      <c r="P47" s="135"/>
    </row>
    <row r="48" spans="1:16" ht="18.75" customHeight="1">
      <c r="A48" s="68"/>
      <c r="B48" s="68"/>
      <c r="C48" s="95" t="s">
        <v>31</v>
      </c>
      <c r="D48" s="96"/>
      <c r="E48" s="96"/>
      <c r="F48" s="96"/>
      <c r="G48" s="96"/>
      <c r="H48" s="96"/>
      <c r="I48" s="96"/>
      <c r="J48" s="96"/>
      <c r="K48" s="96"/>
      <c r="L48" s="96"/>
      <c r="M48" s="96"/>
      <c r="N48" s="68"/>
      <c r="O48" s="61"/>
    </row>
    <row r="49" spans="1:15" ht="13.4" customHeight="1">
      <c r="A49" s="68"/>
      <c r="B49" s="68"/>
      <c r="C49" s="97" t="s">
        <v>32</v>
      </c>
      <c r="D49" s="98"/>
      <c r="E49" s="98"/>
      <c r="F49" s="98"/>
      <c r="G49" s="98"/>
      <c r="H49" s="98"/>
      <c r="I49" s="98"/>
      <c r="J49" s="98"/>
      <c r="K49" s="98"/>
      <c r="L49" s="98"/>
      <c r="M49" s="68"/>
      <c r="N49" s="68"/>
      <c r="O49" s="61"/>
    </row>
    <row r="50" spans="1:15" ht="13.4" customHeight="1">
      <c r="A50" s="68"/>
      <c r="B50" s="68"/>
      <c r="C50" s="97" t="s">
        <v>33</v>
      </c>
      <c r="D50" s="68"/>
      <c r="E50" s="68"/>
      <c r="F50" s="68"/>
      <c r="G50" s="68"/>
      <c r="H50" s="68"/>
      <c r="I50" s="68"/>
      <c r="J50" s="68"/>
      <c r="K50" s="68"/>
      <c r="L50" s="68"/>
      <c r="M50" s="68"/>
      <c r="N50" s="68"/>
      <c r="O50" s="61"/>
    </row>
    <row r="51" spans="1:15" ht="13.4" customHeight="1">
      <c r="A51" s="68"/>
      <c r="B51" s="68"/>
      <c r="C51" s="97" t="s">
        <v>34</v>
      </c>
      <c r="D51" s="68"/>
      <c r="E51" s="68"/>
      <c r="F51" s="68"/>
      <c r="G51" s="68"/>
      <c r="H51" s="68"/>
      <c r="I51" s="68"/>
      <c r="J51" s="68"/>
      <c r="K51" s="68"/>
      <c r="L51" s="68"/>
      <c r="M51" s="68"/>
      <c r="N51" s="68"/>
      <c r="O51" s="61"/>
    </row>
    <row r="52" spans="1:15">
      <c r="A52" s="68"/>
      <c r="B52" s="68"/>
      <c r="C52" s="97" t="s">
        <v>35</v>
      </c>
      <c r="D52" s="68"/>
      <c r="E52" s="68"/>
      <c r="F52" s="68"/>
      <c r="G52" s="68"/>
      <c r="H52" s="68"/>
      <c r="I52" s="68"/>
      <c r="J52" s="68"/>
      <c r="K52" s="68"/>
      <c r="L52" s="68"/>
      <c r="M52" s="68"/>
      <c r="N52" s="68"/>
      <c r="O52" s="61"/>
    </row>
    <row r="53" spans="1:15">
      <c r="A53" s="68"/>
      <c r="B53" s="68"/>
      <c r="C53" s="97" t="s">
        <v>36</v>
      </c>
      <c r="D53" s="68"/>
      <c r="E53" s="68"/>
      <c r="F53" s="68"/>
      <c r="G53" s="68"/>
      <c r="H53" s="68"/>
      <c r="I53" s="68"/>
      <c r="J53" s="68"/>
      <c r="K53" s="68"/>
      <c r="L53" s="68"/>
      <c r="M53" s="68"/>
      <c r="N53" s="68"/>
      <c r="O53" s="61"/>
    </row>
    <row r="54" spans="1:15">
      <c r="A54" s="68"/>
      <c r="B54" s="68"/>
      <c r="C54" s="68"/>
      <c r="D54" s="68"/>
      <c r="E54" s="68"/>
      <c r="F54" s="68"/>
      <c r="G54" s="68"/>
      <c r="H54" s="68"/>
      <c r="I54" s="68"/>
      <c r="J54" s="68"/>
      <c r="K54" s="68"/>
      <c r="L54" s="68"/>
      <c r="M54" s="68"/>
      <c r="N54" s="68"/>
      <c r="O54" s="61"/>
    </row>
    <row r="55" spans="1:15">
      <c r="D55" s="158"/>
    </row>
  </sheetData>
  <sheetProtection algorithmName="SHA-512" hashValue="mnIxyAJOLE+Z5g7WCvpxFJE5jTCu2L34TrsVYoT8o6OlRIuT3Tj7tiBkj3o5xbzDjajUVd/XHyz2A9yIhu4ptA==" saltValue="wJHAlxqOkunC+2762Rzf1A==" spinCount="100000" sheet="1" sort="0" autoFilter="0" pivotTables="0"/>
  <mergeCells count="1">
    <mergeCell ref="D38:N38"/>
  </mergeCells>
  <dataValidations count="2">
    <dataValidation type="list" allowBlank="1" showInputMessage="1" showErrorMessage="1" errorTitle="Invalid entry" error="Please select a value from the drop-down list." promptTitle="Dispatch Schedule Classification" prompt="Select from the drop-down list to display the associated Dispatch Schedule classification(s) in the Chart and Table below._x000a_S = Scheduled_x000a_SS = Semi-scheduled_x000a_NS = Non-scheduled" sqref="C13" xr:uid="{FF9B6838-8D4B-4271-A518-98BCE37EDCD5}">
      <formula1>"S,SS,NS,S &amp; SS,S‚ SS &amp; NS"</formula1>
    </dataValidation>
    <dataValidation type="list" allowBlank="1" showInputMessage="1" showErrorMessage="1" errorTitle="Invalid entry" error="Please select a value from the drop-down list." promptTitle="NEM Demand Region" prompt="Select from the drop-down list to display the associated NEM Demand Region(s) in the Chart and Table below._x000a_NEM = all Regions." sqref="C11" xr:uid="{A0F0F4BE-098A-487E-931A-6C5EB3F95380}">
      <formula1>"NEM,NSW1,QLD1,SA1,TAS1,VIC1"</formula1>
    </dataValidation>
  </dataValidations>
  <hyperlinks>
    <hyperlink ref="B7" r:id="rId1" xr:uid="{06F16B43-F910-4F2E-9548-CA49D3E2AE01}"/>
  </hyperlinks>
  <pageMargins left="0.7" right="0.7" top="0.75" bottom="0.75" header="0.3" footer="0.3"/>
  <pageSetup paperSize="9" orientation="portrait" verticalDpi="9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66A71-87D9-4619-8542-E5EB385A8EC3}">
  <sheetPr codeName="Sheet11"/>
  <dimension ref="A1:Q125"/>
  <sheetViews>
    <sheetView zoomScaleNormal="100" workbookViewId="0">
      <selection activeCell="B9" sqref="B9:Q9"/>
    </sheetView>
  </sheetViews>
  <sheetFormatPr defaultColWidth="9.3828125" defaultRowHeight="14.15"/>
  <cols>
    <col min="1" max="1" width="2.3828125" style="19" customWidth="1"/>
    <col min="2" max="2" width="12" style="19" customWidth="1"/>
    <col min="3" max="3" width="9.3828125" style="19" bestFit="1" customWidth="1"/>
    <col min="4" max="13" width="9.53515625" style="19" customWidth="1"/>
    <col min="14" max="14" width="8.3828125" style="19" bestFit="1" customWidth="1"/>
    <col min="15" max="15" width="6.3828125" style="19" customWidth="1"/>
    <col min="16" max="17" width="9.3828125" style="19" customWidth="1"/>
    <col min="18" max="16384" width="9.3828125" style="19"/>
  </cols>
  <sheetData>
    <row r="1" spans="1:17" ht="19.3">
      <c r="A1" s="22"/>
      <c r="B1" s="23" t="s">
        <v>37</v>
      </c>
      <c r="C1" s="22"/>
      <c r="D1" s="22"/>
      <c r="E1" s="22"/>
      <c r="F1" s="22"/>
      <c r="G1" s="22"/>
      <c r="H1" s="22"/>
      <c r="I1" s="22"/>
      <c r="J1" s="22"/>
      <c r="K1" s="22"/>
      <c r="L1" s="22"/>
      <c r="M1" s="22"/>
      <c r="N1" s="22"/>
      <c r="O1" s="22"/>
      <c r="P1" s="22"/>
      <c r="Q1" s="22"/>
    </row>
    <row r="2" spans="1:17">
      <c r="A2" s="22"/>
      <c r="B2" s="24" t="s">
        <v>38</v>
      </c>
      <c r="C2" s="22"/>
      <c r="D2" s="22"/>
      <c r="E2" s="22"/>
      <c r="F2" s="22"/>
      <c r="G2" s="22"/>
      <c r="H2" s="22"/>
      <c r="I2" s="22"/>
      <c r="J2" s="22"/>
      <c r="K2" s="22"/>
      <c r="L2" s="22"/>
      <c r="M2" s="22"/>
      <c r="N2" s="22"/>
      <c r="O2" s="22"/>
      <c r="P2" s="22"/>
      <c r="Q2" s="22"/>
    </row>
    <row r="3" spans="1:17">
      <c r="A3" s="22"/>
      <c r="B3" s="24"/>
      <c r="C3" s="22"/>
      <c r="D3" s="22"/>
      <c r="E3" s="22"/>
      <c r="F3" s="22"/>
      <c r="G3" s="22"/>
      <c r="H3" s="22"/>
      <c r="I3" s="22"/>
      <c r="J3" s="22"/>
      <c r="K3" s="22"/>
      <c r="L3" s="22"/>
      <c r="M3" s="22"/>
      <c r="N3" s="22"/>
      <c r="O3" s="22"/>
      <c r="P3" s="22"/>
      <c r="Q3" s="22"/>
    </row>
    <row r="4" spans="1:17">
      <c r="A4" s="22"/>
      <c r="B4" s="25" t="s">
        <v>39</v>
      </c>
      <c r="C4" s="26"/>
      <c r="D4" s="26"/>
      <c r="E4" s="26"/>
      <c r="F4" s="26"/>
      <c r="G4" s="26"/>
      <c r="H4" s="26"/>
      <c r="I4" s="26"/>
      <c r="J4" s="26"/>
      <c r="K4" s="26"/>
      <c r="L4" s="26"/>
      <c r="M4" s="26"/>
      <c r="N4" s="26"/>
      <c r="O4" s="26"/>
      <c r="P4" s="26"/>
      <c r="Q4" s="26"/>
    </row>
    <row r="5" spans="1:17">
      <c r="A5" s="22"/>
      <c r="B5" s="27" t="s">
        <v>40</v>
      </c>
      <c r="C5" s="22"/>
      <c r="D5" s="22"/>
      <c r="E5" s="22"/>
      <c r="F5" s="22"/>
      <c r="G5" s="22"/>
      <c r="H5" s="22"/>
      <c r="I5" s="22"/>
      <c r="J5" s="22"/>
      <c r="K5" s="22"/>
      <c r="L5" s="22"/>
      <c r="M5" s="22"/>
      <c r="N5" s="22"/>
      <c r="O5" s="22"/>
      <c r="P5" s="22"/>
      <c r="Q5" s="22"/>
    </row>
    <row r="6" spans="1:17">
      <c r="A6" s="22"/>
      <c r="B6" s="27" t="s">
        <v>41</v>
      </c>
      <c r="C6" s="22"/>
      <c r="D6" s="22"/>
      <c r="E6" s="22"/>
      <c r="F6" s="22"/>
      <c r="G6" s="22"/>
      <c r="H6" s="22"/>
      <c r="I6" s="22"/>
      <c r="J6" s="22"/>
      <c r="K6" s="22"/>
      <c r="L6" s="22"/>
      <c r="M6" s="22"/>
      <c r="N6" s="22"/>
      <c r="O6" s="22"/>
      <c r="P6" s="22"/>
      <c r="Q6" s="22"/>
    </row>
    <row r="7" spans="1:17">
      <c r="A7" s="22"/>
      <c r="B7" s="272" t="s">
        <v>42</v>
      </c>
      <c r="C7" s="272"/>
      <c r="D7" s="272"/>
      <c r="E7" s="272"/>
      <c r="F7" s="272"/>
      <c r="G7" s="272"/>
      <c r="H7" s="272"/>
      <c r="I7" s="272"/>
      <c r="J7" s="272"/>
      <c r="K7" s="272"/>
      <c r="L7" s="272"/>
      <c r="M7" s="272"/>
      <c r="N7" s="272"/>
      <c r="O7" s="272"/>
      <c r="P7" s="272"/>
      <c r="Q7" s="272"/>
    </row>
    <row r="8" spans="1:17" ht="13.5" customHeight="1">
      <c r="A8" s="22"/>
      <c r="B8" s="272" t="s">
        <v>43</v>
      </c>
      <c r="C8" s="272"/>
      <c r="D8" s="272"/>
      <c r="E8" s="272"/>
      <c r="F8" s="272"/>
      <c r="G8" s="272"/>
      <c r="H8" s="272"/>
      <c r="I8" s="272"/>
      <c r="J8" s="272"/>
      <c r="K8" s="272"/>
      <c r="L8" s="272"/>
      <c r="M8" s="272"/>
      <c r="N8" s="272"/>
      <c r="O8" s="272"/>
      <c r="P8" s="272"/>
      <c r="Q8" s="272"/>
    </row>
    <row r="9" spans="1:17">
      <c r="A9" s="22"/>
      <c r="B9" s="272"/>
      <c r="C9" s="272"/>
      <c r="D9" s="272"/>
      <c r="E9" s="272"/>
      <c r="F9" s="272"/>
      <c r="G9" s="272"/>
      <c r="H9" s="272"/>
      <c r="I9" s="272"/>
      <c r="J9" s="272"/>
      <c r="K9" s="272"/>
      <c r="L9" s="272"/>
      <c r="M9" s="272"/>
      <c r="N9" s="272"/>
      <c r="O9" s="272"/>
      <c r="P9" s="272"/>
      <c r="Q9" s="272"/>
    </row>
    <row r="10" spans="1:17" ht="28.5" customHeight="1">
      <c r="A10" s="22"/>
      <c r="B10" s="272"/>
      <c r="C10" s="272"/>
      <c r="D10" s="272"/>
      <c r="E10" s="272"/>
      <c r="F10" s="272"/>
      <c r="G10" s="272"/>
      <c r="H10" s="272"/>
      <c r="I10" s="272"/>
      <c r="J10" s="272"/>
      <c r="K10" s="272"/>
      <c r="L10" s="272"/>
      <c r="M10" s="272"/>
      <c r="N10" s="272"/>
      <c r="O10" s="272"/>
      <c r="P10" s="272"/>
      <c r="Q10" s="272"/>
    </row>
    <row r="11" spans="1:17" ht="28.5" customHeight="1">
      <c r="A11" s="22"/>
      <c r="B11" s="110"/>
      <c r="C11" s="110"/>
      <c r="D11" s="110"/>
      <c r="E11" s="110"/>
      <c r="F11" s="110"/>
      <c r="G11" s="110"/>
      <c r="H11" s="110"/>
      <c r="I11" s="110"/>
      <c r="J11" s="110"/>
      <c r="K11" s="110"/>
      <c r="L11" s="110"/>
      <c r="M11" s="110"/>
      <c r="N11" s="110"/>
      <c r="O11" s="110"/>
      <c r="P11" s="110"/>
      <c r="Q11" s="110"/>
    </row>
    <row r="12" spans="1:17">
      <c r="A12" s="22"/>
      <c r="B12" s="27"/>
      <c r="C12" s="22"/>
      <c r="D12" s="22"/>
      <c r="E12" s="22"/>
      <c r="F12" s="22"/>
      <c r="G12" s="22"/>
      <c r="H12" s="22"/>
      <c r="I12" s="22"/>
      <c r="J12" s="22"/>
      <c r="K12" s="22"/>
      <c r="L12" s="22"/>
      <c r="M12" s="22"/>
      <c r="N12" s="22"/>
      <c r="O12" s="22"/>
      <c r="P12" s="22"/>
      <c r="Q12" s="22"/>
    </row>
    <row r="13" spans="1:17" ht="17.600000000000001">
      <c r="A13" s="22"/>
      <c r="B13" s="28" t="s">
        <v>44</v>
      </c>
      <c r="C13" s="22"/>
      <c r="D13" s="22"/>
      <c r="E13" s="22"/>
      <c r="F13" s="22"/>
      <c r="G13" s="22"/>
      <c r="H13" s="22"/>
      <c r="I13" s="22"/>
      <c r="J13" s="22"/>
      <c r="K13" s="22"/>
      <c r="L13" s="22"/>
      <c r="M13" s="22"/>
      <c r="N13" s="22"/>
      <c r="O13" s="22"/>
      <c r="P13" s="22"/>
      <c r="Q13" s="22"/>
    </row>
    <row r="14" spans="1:17">
      <c r="A14" s="22"/>
      <c r="B14" s="24" t="s">
        <v>45</v>
      </c>
      <c r="C14" s="22"/>
      <c r="D14" s="22"/>
      <c r="E14" s="22"/>
      <c r="F14" s="22"/>
      <c r="G14" s="22"/>
      <c r="H14" s="22"/>
      <c r="I14" s="22"/>
      <c r="J14" s="22"/>
      <c r="K14" s="22"/>
      <c r="L14" s="22"/>
      <c r="M14" s="22"/>
      <c r="N14" s="22"/>
      <c r="O14" s="22"/>
      <c r="P14" s="22"/>
      <c r="Q14" s="22"/>
    </row>
    <row r="15" spans="1:17" ht="28.5" customHeight="1">
      <c r="A15" s="22"/>
      <c r="B15" s="273" t="s">
        <v>46</v>
      </c>
      <c r="C15" s="273"/>
      <c r="D15" s="273"/>
      <c r="E15" s="273"/>
      <c r="F15" s="273"/>
      <c r="G15" s="273"/>
      <c r="H15" s="273"/>
      <c r="I15" s="273"/>
      <c r="J15" s="273"/>
      <c r="K15" s="273"/>
      <c r="L15" s="273"/>
      <c r="M15" s="273"/>
      <c r="N15" s="273"/>
      <c r="O15" s="273"/>
      <c r="P15" s="273"/>
      <c r="Q15" s="273"/>
    </row>
    <row r="16" spans="1:17" ht="17.149999999999999" customHeight="1">
      <c r="A16" s="22"/>
      <c r="B16" s="22"/>
      <c r="C16" s="22"/>
      <c r="D16" s="22"/>
      <c r="E16" s="22"/>
      <c r="F16" s="22"/>
      <c r="G16" s="22"/>
      <c r="H16" s="22"/>
      <c r="I16" s="22"/>
      <c r="J16" s="22"/>
      <c r="K16" s="22"/>
      <c r="L16" s="22"/>
      <c r="M16" s="22"/>
      <c r="N16" s="276" t="s">
        <v>47</v>
      </c>
      <c r="O16" s="277"/>
      <c r="P16" s="277"/>
      <c r="Q16" s="277"/>
    </row>
    <row r="17" spans="1:17" s="20" customFormat="1" ht="30.9">
      <c r="A17" s="29"/>
      <c r="B17" s="274" t="s">
        <v>48</v>
      </c>
      <c r="C17" s="274"/>
      <c r="D17" s="275"/>
      <c r="E17" s="30" t="s">
        <v>49</v>
      </c>
      <c r="F17" s="31"/>
      <c r="G17" s="31"/>
      <c r="H17" s="31"/>
      <c r="I17" s="31"/>
      <c r="J17" s="31"/>
      <c r="K17" s="31"/>
      <c r="L17" s="31"/>
      <c r="M17" s="31"/>
      <c r="N17" s="32" t="s">
        <v>0</v>
      </c>
      <c r="O17" s="32" t="s">
        <v>50</v>
      </c>
      <c r="P17" s="32" t="s">
        <v>51</v>
      </c>
      <c r="Q17" s="32" t="s">
        <v>52</v>
      </c>
    </row>
    <row r="18" spans="1:17" s="20" customFormat="1" ht="39" customHeight="1">
      <c r="A18" s="29"/>
      <c r="B18" s="250" t="s">
        <v>53</v>
      </c>
      <c r="C18" s="250"/>
      <c r="D18" s="251"/>
      <c r="E18" s="247" t="s">
        <v>54</v>
      </c>
      <c r="F18" s="248"/>
      <c r="G18" s="248"/>
      <c r="H18" s="248"/>
      <c r="I18" s="248"/>
      <c r="J18" s="248"/>
      <c r="K18" s="248"/>
      <c r="L18" s="248"/>
      <c r="M18" s="248"/>
      <c r="N18" s="33"/>
      <c r="O18" s="33"/>
      <c r="P18" s="33" t="s">
        <v>55</v>
      </c>
      <c r="Q18" s="33"/>
    </row>
    <row r="19" spans="1:17" s="20" customFormat="1" ht="38.25" customHeight="1">
      <c r="A19" s="29"/>
      <c r="B19" s="250" t="s">
        <v>56</v>
      </c>
      <c r="C19" s="250"/>
      <c r="D19" s="251"/>
      <c r="E19" s="247" t="s">
        <v>57</v>
      </c>
      <c r="F19" s="248"/>
      <c r="G19" s="248"/>
      <c r="H19" s="248"/>
      <c r="I19" s="248"/>
      <c r="J19" s="248"/>
      <c r="K19" s="248"/>
      <c r="L19" s="248"/>
      <c r="M19" s="248"/>
      <c r="N19" s="33"/>
      <c r="O19" s="33" t="s">
        <v>55</v>
      </c>
      <c r="P19" s="33" t="s">
        <v>55</v>
      </c>
      <c r="Q19" s="33"/>
    </row>
    <row r="20" spans="1:17" s="20" customFormat="1" ht="38.25" customHeight="1">
      <c r="A20" s="29"/>
      <c r="B20" s="250" t="s">
        <v>58</v>
      </c>
      <c r="C20" s="250"/>
      <c r="D20" s="251"/>
      <c r="E20" s="247" t="s">
        <v>59</v>
      </c>
      <c r="F20" s="248"/>
      <c r="G20" s="248"/>
      <c r="H20" s="248"/>
      <c r="I20" s="248"/>
      <c r="J20" s="248"/>
      <c r="K20" s="248"/>
      <c r="L20" s="248"/>
      <c r="M20" s="248"/>
      <c r="N20" s="33"/>
      <c r="O20" s="33"/>
      <c r="P20" s="33" t="s">
        <v>55</v>
      </c>
      <c r="Q20" s="33" t="s">
        <v>55</v>
      </c>
    </row>
    <row r="21" spans="1:17" s="20" customFormat="1" ht="49.4" customHeight="1">
      <c r="A21" s="29"/>
      <c r="B21" s="250" t="s">
        <v>60</v>
      </c>
      <c r="C21" s="250"/>
      <c r="D21" s="251"/>
      <c r="E21" s="247" t="s">
        <v>61</v>
      </c>
      <c r="F21" s="248"/>
      <c r="G21" s="248"/>
      <c r="H21" s="248"/>
      <c r="I21" s="248"/>
      <c r="J21" s="248"/>
      <c r="K21" s="248"/>
      <c r="L21" s="248"/>
      <c r="M21" s="248"/>
      <c r="N21" s="33"/>
      <c r="O21" s="33"/>
      <c r="P21" s="33" t="s">
        <v>55</v>
      </c>
      <c r="Q21" s="33" t="s">
        <v>55</v>
      </c>
    </row>
    <row r="22" spans="1:17" s="20" customFormat="1" ht="39" customHeight="1">
      <c r="A22" s="29"/>
      <c r="B22" s="250" t="s">
        <v>62</v>
      </c>
      <c r="C22" s="250"/>
      <c r="D22" s="251"/>
      <c r="E22" s="247" t="s">
        <v>63</v>
      </c>
      <c r="F22" s="248"/>
      <c r="G22" s="248"/>
      <c r="H22" s="248"/>
      <c r="I22" s="248"/>
      <c r="J22" s="248"/>
      <c r="K22" s="248"/>
      <c r="L22" s="248"/>
      <c r="M22" s="248"/>
      <c r="N22" s="33"/>
      <c r="O22" s="33"/>
      <c r="P22" s="33" t="s">
        <v>55</v>
      </c>
      <c r="Q22" s="33"/>
    </row>
    <row r="23" spans="1:17" s="20" customFormat="1" ht="48" customHeight="1">
      <c r="A23" s="29"/>
      <c r="B23" s="250" t="s">
        <v>64</v>
      </c>
      <c r="C23" s="250"/>
      <c r="D23" s="251"/>
      <c r="E23" s="247" t="s">
        <v>65</v>
      </c>
      <c r="F23" s="248"/>
      <c r="G23" s="248"/>
      <c r="H23" s="248"/>
      <c r="I23" s="248"/>
      <c r="J23" s="248"/>
      <c r="K23" s="248"/>
      <c r="L23" s="248"/>
      <c r="M23" s="248"/>
      <c r="N23" s="33"/>
      <c r="O23" s="33" t="s">
        <v>55</v>
      </c>
      <c r="P23" s="33" t="s">
        <v>55</v>
      </c>
      <c r="Q23" s="33" t="s">
        <v>55</v>
      </c>
    </row>
    <row r="24" spans="1:17" s="20" customFormat="1" ht="27.65" customHeight="1">
      <c r="A24" s="29"/>
      <c r="B24" s="250" t="s">
        <v>66</v>
      </c>
      <c r="C24" s="250"/>
      <c r="D24" s="251"/>
      <c r="E24" s="247" t="s">
        <v>67</v>
      </c>
      <c r="F24" s="248"/>
      <c r="G24" s="248"/>
      <c r="H24" s="248"/>
      <c r="I24" s="248"/>
      <c r="J24" s="248"/>
      <c r="K24" s="248"/>
      <c r="L24" s="248"/>
      <c r="M24" s="248"/>
      <c r="N24" s="33"/>
      <c r="O24" s="33"/>
      <c r="P24" s="33" t="s">
        <v>55</v>
      </c>
      <c r="Q24" s="33"/>
    </row>
    <row r="25" spans="1:17" s="20" customFormat="1" ht="27.65" customHeight="1">
      <c r="A25" s="29"/>
      <c r="B25" s="250" t="s">
        <v>68</v>
      </c>
      <c r="C25" s="250"/>
      <c r="D25" s="251"/>
      <c r="E25" s="247" t="s">
        <v>69</v>
      </c>
      <c r="F25" s="248"/>
      <c r="G25" s="248"/>
      <c r="H25" s="248"/>
      <c r="I25" s="248"/>
      <c r="J25" s="248"/>
      <c r="K25" s="248"/>
      <c r="L25" s="248"/>
      <c r="M25" s="248"/>
      <c r="N25" s="33"/>
      <c r="O25" s="33"/>
      <c r="P25" s="33" t="s">
        <v>55</v>
      </c>
      <c r="Q25" s="33"/>
    </row>
    <row r="26" spans="1:17" s="20" customFormat="1" ht="27.65" customHeight="1">
      <c r="A26" s="29"/>
      <c r="B26" s="250" t="s">
        <v>70</v>
      </c>
      <c r="C26" s="250"/>
      <c r="D26" s="251"/>
      <c r="E26" s="247" t="s">
        <v>71</v>
      </c>
      <c r="F26" s="248"/>
      <c r="G26" s="248"/>
      <c r="H26" s="248"/>
      <c r="I26" s="248"/>
      <c r="J26" s="248"/>
      <c r="K26" s="248"/>
      <c r="L26" s="248"/>
      <c r="M26" s="248"/>
      <c r="N26" s="33"/>
      <c r="O26" s="33"/>
      <c r="P26" s="33" t="s">
        <v>55</v>
      </c>
      <c r="Q26" s="33" t="s">
        <v>55</v>
      </c>
    </row>
    <row r="27" spans="1:17" s="20" customFormat="1" ht="27.65" customHeight="1">
      <c r="A27" s="29"/>
      <c r="B27" s="107" t="s">
        <v>72</v>
      </c>
      <c r="C27" s="107"/>
      <c r="D27" s="108"/>
      <c r="E27" s="247" t="s">
        <v>73</v>
      </c>
      <c r="F27" s="248"/>
      <c r="G27" s="248"/>
      <c r="H27" s="248"/>
      <c r="I27" s="248"/>
      <c r="J27" s="248"/>
      <c r="K27" s="248"/>
      <c r="L27" s="248"/>
      <c r="M27" s="248"/>
      <c r="N27" s="33"/>
      <c r="O27" s="33"/>
      <c r="P27" s="33" t="s">
        <v>55</v>
      </c>
      <c r="Q27" s="33"/>
    </row>
    <row r="28" spans="1:17" s="20" customFormat="1" ht="27.65" customHeight="1">
      <c r="A28" s="29"/>
      <c r="B28" s="250" t="s">
        <v>74</v>
      </c>
      <c r="C28" s="250"/>
      <c r="D28" s="251"/>
      <c r="E28" s="247" t="s">
        <v>75</v>
      </c>
      <c r="F28" s="248"/>
      <c r="G28" s="248"/>
      <c r="H28" s="248"/>
      <c r="I28" s="248"/>
      <c r="J28" s="248"/>
      <c r="K28" s="248"/>
      <c r="L28" s="248"/>
      <c r="M28" s="248"/>
      <c r="N28" s="33"/>
      <c r="O28" s="33"/>
      <c r="P28" s="33" t="s">
        <v>55</v>
      </c>
      <c r="Q28" s="33" t="s">
        <v>55</v>
      </c>
    </row>
    <row r="29" spans="1:17" s="20" customFormat="1" ht="13.4" customHeight="1">
      <c r="A29" s="29"/>
      <c r="B29" s="250" t="s">
        <v>76</v>
      </c>
      <c r="C29" s="250"/>
      <c r="D29" s="251"/>
      <c r="E29" s="247" t="s">
        <v>77</v>
      </c>
      <c r="F29" s="248"/>
      <c r="G29" s="248"/>
      <c r="H29" s="248"/>
      <c r="I29" s="248"/>
      <c r="J29" s="248"/>
      <c r="K29" s="248"/>
      <c r="L29" s="248"/>
      <c r="M29" s="248"/>
      <c r="N29" s="33"/>
      <c r="O29" s="33"/>
      <c r="P29" s="33" t="s">
        <v>55</v>
      </c>
      <c r="Q29" s="33" t="s">
        <v>55</v>
      </c>
    </row>
    <row r="30" spans="1:17" s="20" customFormat="1" ht="11.6">
      <c r="A30" s="29"/>
      <c r="B30" s="250" t="s">
        <v>6</v>
      </c>
      <c r="C30" s="250"/>
      <c r="D30" s="251"/>
      <c r="E30" s="247" t="s">
        <v>78</v>
      </c>
      <c r="F30" s="248"/>
      <c r="G30" s="248"/>
      <c r="H30" s="248"/>
      <c r="I30" s="248"/>
      <c r="J30" s="248"/>
      <c r="K30" s="248"/>
      <c r="L30" s="248"/>
      <c r="M30" s="248"/>
      <c r="N30" s="33" t="s">
        <v>55</v>
      </c>
      <c r="O30" s="33" t="s">
        <v>55</v>
      </c>
      <c r="P30" s="33" t="s">
        <v>55</v>
      </c>
      <c r="Q30" s="33" t="s">
        <v>55</v>
      </c>
    </row>
    <row r="31" spans="1:17" s="20" customFormat="1" ht="26.25" customHeight="1">
      <c r="A31" s="29"/>
      <c r="B31" s="250" t="s">
        <v>79</v>
      </c>
      <c r="C31" s="250"/>
      <c r="D31" s="251"/>
      <c r="E31" s="247" t="s">
        <v>80</v>
      </c>
      <c r="F31" s="248"/>
      <c r="G31" s="248"/>
      <c r="H31" s="248"/>
      <c r="I31" s="248"/>
      <c r="J31" s="248"/>
      <c r="K31" s="248"/>
      <c r="L31" s="248"/>
      <c r="M31" s="248"/>
      <c r="N31" s="33"/>
      <c r="O31" s="33"/>
      <c r="P31" s="33" t="s">
        <v>55</v>
      </c>
      <c r="Q31" s="33" t="s">
        <v>55</v>
      </c>
    </row>
    <row r="32" spans="1:17" s="20" customFormat="1" ht="27.65" customHeight="1">
      <c r="A32" s="29"/>
      <c r="B32" s="250" t="s">
        <v>81</v>
      </c>
      <c r="C32" s="250"/>
      <c r="D32" s="251"/>
      <c r="E32" s="247" t="s">
        <v>82</v>
      </c>
      <c r="F32" s="248"/>
      <c r="G32" s="248"/>
      <c r="H32" s="248"/>
      <c r="I32" s="248"/>
      <c r="J32" s="248"/>
      <c r="K32" s="248"/>
      <c r="L32" s="248"/>
      <c r="M32" s="248"/>
      <c r="N32" s="33"/>
      <c r="O32" s="33" t="s">
        <v>55</v>
      </c>
      <c r="P32" s="33" t="s">
        <v>55</v>
      </c>
      <c r="Q32" s="33" t="s">
        <v>55</v>
      </c>
    </row>
    <row r="33" spans="1:17" s="20" customFormat="1" ht="39" customHeight="1">
      <c r="A33" s="29"/>
      <c r="B33" s="250" t="s">
        <v>83</v>
      </c>
      <c r="C33" s="250"/>
      <c r="D33" s="251"/>
      <c r="E33" s="247" t="s">
        <v>84</v>
      </c>
      <c r="F33" s="248"/>
      <c r="G33" s="248"/>
      <c r="H33" s="248"/>
      <c r="I33" s="248"/>
      <c r="J33" s="248"/>
      <c r="K33" s="248"/>
      <c r="L33" s="248"/>
      <c r="M33" s="248"/>
      <c r="N33" s="33"/>
      <c r="O33" s="33"/>
      <c r="P33" s="33"/>
      <c r="Q33" s="33"/>
    </row>
    <row r="34" spans="1:17" s="20" customFormat="1" ht="119.25" customHeight="1">
      <c r="A34" s="29"/>
      <c r="B34" s="250" t="s">
        <v>85</v>
      </c>
      <c r="C34" s="250"/>
      <c r="D34" s="251"/>
      <c r="E34" s="247" t="s">
        <v>86</v>
      </c>
      <c r="F34" s="248"/>
      <c r="G34" s="248"/>
      <c r="H34" s="248"/>
      <c r="I34" s="248"/>
      <c r="J34" s="248"/>
      <c r="K34" s="248"/>
      <c r="L34" s="248"/>
      <c r="M34" s="248"/>
      <c r="N34" s="33" t="s">
        <v>55</v>
      </c>
      <c r="O34" s="33"/>
      <c r="P34" s="33" t="s">
        <v>55</v>
      </c>
      <c r="Q34" s="33"/>
    </row>
    <row r="35" spans="1:17" s="20" customFormat="1" ht="62.25" customHeight="1">
      <c r="A35" s="29"/>
      <c r="B35" s="250" t="s">
        <v>87</v>
      </c>
      <c r="C35" s="250"/>
      <c r="D35" s="251"/>
      <c r="E35" s="247" t="s">
        <v>88</v>
      </c>
      <c r="F35" s="248"/>
      <c r="G35" s="248"/>
      <c r="H35" s="248"/>
      <c r="I35" s="248"/>
      <c r="J35" s="248"/>
      <c r="K35" s="248"/>
      <c r="L35" s="248"/>
      <c r="M35" s="248"/>
      <c r="N35" s="33"/>
      <c r="O35" s="33"/>
      <c r="P35" s="33"/>
      <c r="Q35" s="33" t="s">
        <v>55</v>
      </c>
    </row>
    <row r="36" spans="1:17" s="20" customFormat="1" ht="61.5" customHeight="1">
      <c r="A36" s="29"/>
      <c r="B36" s="250" t="s">
        <v>8</v>
      </c>
      <c r="C36" s="250"/>
      <c r="D36" s="251"/>
      <c r="E36" s="247" t="s">
        <v>89</v>
      </c>
      <c r="F36" s="248"/>
      <c r="G36" s="248"/>
      <c r="H36" s="248"/>
      <c r="I36" s="248"/>
      <c r="J36" s="248"/>
      <c r="K36" s="248"/>
      <c r="L36" s="248"/>
      <c r="M36" s="248"/>
      <c r="N36" s="33" t="s">
        <v>55</v>
      </c>
      <c r="O36" s="33"/>
      <c r="P36" s="33" t="s">
        <v>55</v>
      </c>
      <c r="Q36" s="33" t="s">
        <v>55</v>
      </c>
    </row>
    <row r="37" spans="1:17" s="20" customFormat="1" ht="50.25" customHeight="1">
      <c r="A37" s="29"/>
      <c r="B37" s="250" t="s">
        <v>90</v>
      </c>
      <c r="C37" s="250"/>
      <c r="D37" s="251"/>
      <c r="E37" s="247" t="s">
        <v>91</v>
      </c>
      <c r="F37" s="248"/>
      <c r="G37" s="248"/>
      <c r="H37" s="248"/>
      <c r="I37" s="248"/>
      <c r="J37" s="248"/>
      <c r="K37" s="248"/>
      <c r="L37" s="248"/>
      <c r="M37" s="248"/>
      <c r="N37" s="33"/>
      <c r="O37" s="33"/>
      <c r="P37" s="33"/>
      <c r="Q37" s="33"/>
    </row>
    <row r="38" spans="1:17" s="20" customFormat="1" ht="40.5" customHeight="1">
      <c r="A38" s="29"/>
      <c r="B38" s="250" t="s">
        <v>92</v>
      </c>
      <c r="C38" s="250"/>
      <c r="D38" s="251"/>
      <c r="E38" s="247" t="s">
        <v>93</v>
      </c>
      <c r="F38" s="248"/>
      <c r="G38" s="248"/>
      <c r="H38" s="248"/>
      <c r="I38" s="248"/>
      <c r="J38" s="248"/>
      <c r="K38" s="248"/>
      <c r="L38" s="248"/>
      <c r="M38" s="248"/>
      <c r="N38" s="33"/>
      <c r="O38" s="33"/>
      <c r="P38" s="33"/>
      <c r="Q38" s="33"/>
    </row>
    <row r="39" spans="1:17" s="20" customFormat="1" ht="202.5" customHeight="1">
      <c r="A39" s="29"/>
      <c r="B39" s="304" t="s">
        <v>94</v>
      </c>
      <c r="C39" s="304"/>
      <c r="D39" s="304"/>
      <c r="E39" s="247" t="s">
        <v>95</v>
      </c>
      <c r="F39" s="248"/>
      <c r="G39" s="248"/>
      <c r="H39" s="248"/>
      <c r="I39" s="249"/>
      <c r="J39" s="249"/>
      <c r="K39" s="249"/>
      <c r="L39" s="249"/>
      <c r="M39" s="249"/>
      <c r="N39" s="296"/>
      <c r="O39" s="296"/>
      <c r="P39" s="296"/>
      <c r="Q39" s="296" t="s">
        <v>55</v>
      </c>
    </row>
    <row r="40" spans="1:17" ht="20.6">
      <c r="A40" s="22"/>
      <c r="B40" s="305"/>
      <c r="C40" s="305"/>
      <c r="D40" s="305"/>
      <c r="E40" s="302" t="s">
        <v>6</v>
      </c>
      <c r="F40" s="303"/>
      <c r="G40" s="34" t="s">
        <v>96</v>
      </c>
      <c r="H40" s="35" t="s">
        <v>97</v>
      </c>
      <c r="I40" s="34" t="s">
        <v>98</v>
      </c>
      <c r="J40" s="57"/>
      <c r="K40" s="57"/>
      <c r="L40" s="57"/>
      <c r="M40" s="58"/>
      <c r="N40" s="297"/>
      <c r="O40" s="297"/>
      <c r="P40" s="297"/>
      <c r="Q40" s="297"/>
    </row>
    <row r="41" spans="1:17" ht="15" customHeight="1">
      <c r="A41" s="22"/>
      <c r="B41" s="305"/>
      <c r="C41" s="305"/>
      <c r="D41" s="305"/>
      <c r="E41" s="300" t="s">
        <v>99</v>
      </c>
      <c r="F41" s="301"/>
      <c r="G41" s="103">
        <v>37</v>
      </c>
      <c r="H41" s="36">
        <v>15</v>
      </c>
      <c r="I41" s="106">
        <v>32</v>
      </c>
      <c r="J41" s="57"/>
      <c r="K41" s="57"/>
      <c r="L41" s="57"/>
      <c r="M41" s="57"/>
      <c r="N41" s="297"/>
      <c r="O41" s="297"/>
      <c r="P41" s="297"/>
      <c r="Q41" s="297"/>
    </row>
    <row r="42" spans="1:17">
      <c r="A42" s="22"/>
      <c r="B42" s="305"/>
      <c r="C42" s="305"/>
      <c r="D42" s="305"/>
      <c r="E42" s="300" t="s">
        <v>100</v>
      </c>
      <c r="F42" s="301"/>
      <c r="G42" s="103">
        <v>42</v>
      </c>
      <c r="H42" s="36">
        <v>9</v>
      </c>
      <c r="I42" s="106">
        <v>32</v>
      </c>
      <c r="J42" s="57"/>
      <c r="K42" s="57"/>
      <c r="L42" s="57"/>
      <c r="M42" s="57"/>
      <c r="N42" s="297"/>
      <c r="O42" s="297"/>
      <c r="P42" s="297"/>
      <c r="Q42" s="297"/>
    </row>
    <row r="43" spans="1:17">
      <c r="A43" s="22"/>
      <c r="B43" s="305"/>
      <c r="C43" s="305"/>
      <c r="D43" s="305"/>
      <c r="E43" s="300" t="s">
        <v>101</v>
      </c>
      <c r="F43" s="301"/>
      <c r="G43" s="103">
        <v>41</v>
      </c>
      <c r="H43" s="36">
        <v>8</v>
      </c>
      <c r="I43" s="106">
        <v>32</v>
      </c>
      <c r="J43" s="57"/>
      <c r="K43" s="57"/>
      <c r="L43" s="57"/>
      <c r="M43" s="57"/>
      <c r="N43" s="297"/>
      <c r="O43" s="297"/>
      <c r="P43" s="297"/>
      <c r="Q43" s="297"/>
    </row>
    <row r="44" spans="1:17">
      <c r="A44" s="22"/>
      <c r="B44" s="305"/>
      <c r="C44" s="305"/>
      <c r="D44" s="305"/>
      <c r="E44" s="300" t="s">
        <v>102</v>
      </c>
      <c r="F44" s="301"/>
      <c r="G44" s="103">
        <v>43</v>
      </c>
      <c r="H44" s="36">
        <v>11</v>
      </c>
      <c r="I44" s="106">
        <v>35</v>
      </c>
      <c r="J44" s="57"/>
      <c r="K44" s="57"/>
      <c r="L44" s="57"/>
      <c r="M44" s="57"/>
      <c r="N44" s="297"/>
      <c r="O44" s="297"/>
      <c r="P44" s="297"/>
      <c r="Q44" s="297"/>
    </row>
    <row r="45" spans="1:17">
      <c r="A45" s="22"/>
      <c r="B45" s="305"/>
      <c r="C45" s="305"/>
      <c r="D45" s="305"/>
      <c r="E45" s="300" t="s">
        <v>103</v>
      </c>
      <c r="F45" s="301"/>
      <c r="G45" s="103">
        <v>7.7</v>
      </c>
      <c r="H45" s="36">
        <v>1.2</v>
      </c>
      <c r="I45" s="106" t="s">
        <v>104</v>
      </c>
      <c r="J45" s="57"/>
      <c r="K45" s="57"/>
      <c r="L45" s="57"/>
      <c r="M45" s="57"/>
      <c r="N45" s="298"/>
      <c r="O45" s="298"/>
      <c r="P45" s="298"/>
      <c r="Q45" s="298"/>
    </row>
    <row r="46" spans="1:17">
      <c r="A46" s="22"/>
      <c r="B46" s="37"/>
      <c r="C46" s="22"/>
      <c r="D46" s="22"/>
      <c r="E46" s="22"/>
      <c r="F46" s="22"/>
      <c r="G46" s="22"/>
      <c r="H46" s="22"/>
      <c r="I46" s="22"/>
      <c r="J46" s="22"/>
      <c r="K46" s="22"/>
      <c r="L46" s="22"/>
      <c r="M46" s="22"/>
      <c r="N46" s="22"/>
      <c r="O46" s="22"/>
      <c r="P46" s="22"/>
      <c r="Q46" s="22"/>
    </row>
    <row r="47" spans="1:17">
      <c r="A47" s="22"/>
      <c r="B47" s="37"/>
      <c r="C47" s="22"/>
      <c r="D47" s="22"/>
      <c r="E47" s="22"/>
      <c r="F47" s="22"/>
      <c r="G47" s="22"/>
      <c r="H47" s="22"/>
      <c r="I47" s="22"/>
      <c r="J47" s="22"/>
      <c r="K47" s="22"/>
      <c r="L47" s="22"/>
      <c r="M47" s="22"/>
      <c r="N47" s="22"/>
      <c r="O47" s="22"/>
      <c r="P47" s="22"/>
      <c r="Q47" s="22"/>
    </row>
    <row r="48" spans="1:17" ht="17.600000000000001">
      <c r="A48" s="22"/>
      <c r="B48" s="28" t="s">
        <v>105</v>
      </c>
      <c r="C48" s="22"/>
      <c r="D48" s="22"/>
      <c r="E48" s="22"/>
      <c r="F48" s="22"/>
      <c r="G48" s="22"/>
      <c r="H48" s="22"/>
      <c r="I48" s="22"/>
      <c r="J48" s="22"/>
      <c r="K48" s="22"/>
      <c r="L48" s="22"/>
      <c r="M48" s="22"/>
      <c r="N48" s="22"/>
      <c r="O48" s="22"/>
      <c r="P48" s="22"/>
      <c r="Q48" s="22"/>
    </row>
    <row r="49" spans="1:17">
      <c r="A49" s="22"/>
      <c r="B49" s="113" t="s">
        <v>106</v>
      </c>
      <c r="C49" s="14"/>
      <c r="D49" s="14"/>
      <c r="E49" s="14"/>
      <c r="F49" s="14"/>
      <c r="G49" s="14"/>
      <c r="H49" s="14"/>
      <c r="I49" s="14"/>
      <c r="J49" s="14"/>
      <c r="K49" s="14"/>
      <c r="L49" s="22"/>
      <c r="M49" s="22"/>
      <c r="N49" s="22"/>
      <c r="O49" s="22"/>
      <c r="P49" s="22"/>
      <c r="Q49" s="22"/>
    </row>
    <row r="50" spans="1:17" ht="32.25" customHeight="1">
      <c r="A50" s="22"/>
      <c r="B50" s="279" t="s">
        <v>107</v>
      </c>
      <c r="C50" s="279"/>
      <c r="D50" s="279"/>
      <c r="E50" s="279"/>
      <c r="F50" s="279"/>
      <c r="G50" s="279"/>
      <c r="H50" s="279"/>
      <c r="I50" s="279"/>
      <c r="J50" s="279"/>
      <c r="K50" s="279"/>
      <c r="L50" s="22"/>
      <c r="M50" s="22"/>
      <c r="N50" s="22"/>
      <c r="O50" s="22"/>
      <c r="P50" s="22"/>
      <c r="Q50" s="22"/>
    </row>
    <row r="51" spans="1:17" ht="13.4" customHeight="1">
      <c r="A51" s="22"/>
      <c r="B51" s="12"/>
      <c r="C51" s="12"/>
      <c r="D51" s="12"/>
      <c r="E51" s="12"/>
      <c r="F51" s="12"/>
      <c r="G51" s="12"/>
      <c r="H51" s="12"/>
      <c r="I51" s="12"/>
      <c r="J51" s="12"/>
      <c r="K51" s="12"/>
      <c r="L51" s="22"/>
      <c r="M51" s="22"/>
      <c r="N51" s="22"/>
      <c r="O51" s="22"/>
      <c r="P51" s="22"/>
      <c r="Q51" s="22"/>
    </row>
    <row r="52" spans="1:17" ht="13.4" customHeight="1">
      <c r="A52" s="22"/>
      <c r="B52" s="12"/>
      <c r="C52" s="12"/>
      <c r="D52" s="12"/>
      <c r="E52" s="12"/>
      <c r="F52" s="12"/>
      <c r="G52" s="12"/>
      <c r="H52" s="12"/>
      <c r="I52" s="12"/>
      <c r="J52" s="12"/>
      <c r="K52" s="12"/>
      <c r="L52" s="22"/>
      <c r="M52" s="22"/>
      <c r="N52" s="22"/>
      <c r="O52" s="22"/>
      <c r="P52" s="22"/>
      <c r="Q52" s="22"/>
    </row>
    <row r="53" spans="1:17" s="20" customFormat="1" ht="15.75" customHeight="1">
      <c r="A53" s="29"/>
      <c r="B53" s="38" t="s">
        <v>108</v>
      </c>
      <c r="C53" s="39"/>
      <c r="D53" s="39"/>
      <c r="E53" s="39"/>
      <c r="F53" s="39"/>
      <c r="G53" s="39"/>
      <c r="H53" s="39"/>
      <c r="I53" s="39"/>
      <c r="J53" s="39"/>
      <c r="K53" s="39"/>
      <c r="L53" s="29"/>
      <c r="M53" s="29"/>
      <c r="N53" s="29"/>
      <c r="O53" s="29"/>
      <c r="P53" s="29"/>
      <c r="Q53" s="29"/>
    </row>
    <row r="54" spans="1:17" ht="14.6" thickBot="1">
      <c r="A54" s="22"/>
      <c r="B54" s="40" t="s">
        <v>109</v>
      </c>
      <c r="C54" s="299" t="s">
        <v>110</v>
      </c>
      <c r="D54" s="287"/>
      <c r="E54" s="287"/>
      <c r="F54" s="287"/>
      <c r="G54" s="287"/>
      <c r="H54" s="287"/>
      <c r="I54" s="287"/>
      <c r="J54" s="287"/>
      <c r="K54" s="287"/>
      <c r="L54" s="287"/>
      <c r="M54" s="287"/>
      <c r="N54" s="22"/>
      <c r="O54" s="22"/>
      <c r="P54" s="22"/>
      <c r="Q54" s="22"/>
    </row>
    <row r="55" spans="1:17" ht="23.25" customHeight="1" thickTop="1" thickBot="1">
      <c r="A55" s="22"/>
      <c r="B55" s="41" t="s">
        <v>111</v>
      </c>
      <c r="C55" s="291" t="s">
        <v>112</v>
      </c>
      <c r="D55" s="292"/>
      <c r="E55" s="292"/>
      <c r="F55" s="292"/>
      <c r="G55" s="292"/>
      <c r="H55" s="292"/>
      <c r="I55" s="292"/>
      <c r="J55" s="292"/>
      <c r="K55" s="292"/>
      <c r="L55" s="292"/>
      <c r="M55" s="292"/>
      <c r="N55" s="22"/>
      <c r="O55" s="22"/>
      <c r="P55" s="22"/>
      <c r="Q55" s="22"/>
    </row>
    <row r="56" spans="1:17" ht="23.25" customHeight="1" thickBot="1">
      <c r="A56" s="22"/>
      <c r="B56" s="41" t="s">
        <v>113</v>
      </c>
      <c r="C56" s="289" t="s">
        <v>114</v>
      </c>
      <c r="D56" s="290"/>
      <c r="E56" s="290"/>
      <c r="F56" s="290"/>
      <c r="G56" s="290"/>
      <c r="H56" s="290"/>
      <c r="I56" s="290"/>
      <c r="J56" s="290"/>
      <c r="K56" s="290"/>
      <c r="L56" s="290"/>
      <c r="M56" s="290"/>
      <c r="N56" s="22"/>
      <c r="O56" s="22"/>
      <c r="P56" s="22"/>
      <c r="Q56" s="22"/>
    </row>
    <row r="57" spans="1:17" ht="36" customHeight="1" thickBot="1">
      <c r="A57" s="22"/>
      <c r="B57" s="41" t="s">
        <v>115</v>
      </c>
      <c r="C57" s="291" t="s">
        <v>116</v>
      </c>
      <c r="D57" s="292"/>
      <c r="E57" s="292"/>
      <c r="F57" s="292"/>
      <c r="G57" s="292"/>
      <c r="H57" s="292"/>
      <c r="I57" s="292"/>
      <c r="J57" s="292"/>
      <c r="K57" s="292"/>
      <c r="L57" s="292"/>
      <c r="M57" s="292"/>
      <c r="N57" s="22"/>
      <c r="O57" s="22"/>
      <c r="P57" s="22"/>
      <c r="Q57" s="22"/>
    </row>
    <row r="58" spans="1:17" ht="23.25" customHeight="1" thickBot="1">
      <c r="A58" s="22"/>
      <c r="B58" s="41" t="s">
        <v>117</v>
      </c>
      <c r="C58" s="289" t="s">
        <v>118</v>
      </c>
      <c r="D58" s="290"/>
      <c r="E58" s="290"/>
      <c r="F58" s="290"/>
      <c r="G58" s="290"/>
      <c r="H58" s="290"/>
      <c r="I58" s="290"/>
      <c r="J58" s="290"/>
      <c r="K58" s="290"/>
      <c r="L58" s="290"/>
      <c r="M58" s="290"/>
      <c r="N58" s="22"/>
      <c r="O58" s="22"/>
      <c r="P58" s="22"/>
      <c r="Q58" s="22"/>
    </row>
    <row r="59" spans="1:17" ht="23.25" customHeight="1" thickBot="1">
      <c r="A59" s="22"/>
      <c r="B59" s="41" t="s">
        <v>119</v>
      </c>
      <c r="C59" s="291" t="s">
        <v>120</v>
      </c>
      <c r="D59" s="292"/>
      <c r="E59" s="292"/>
      <c r="F59" s="292"/>
      <c r="G59" s="292"/>
      <c r="H59" s="292"/>
      <c r="I59" s="292"/>
      <c r="J59" s="292"/>
      <c r="K59" s="292"/>
      <c r="L59" s="292"/>
      <c r="M59" s="292"/>
      <c r="N59" s="22"/>
      <c r="O59" s="22"/>
      <c r="P59" s="22"/>
      <c r="Q59" s="22"/>
    </row>
    <row r="60" spans="1:17" ht="13.4" customHeight="1">
      <c r="A60" s="22"/>
      <c r="B60" s="12"/>
      <c r="C60" s="12"/>
      <c r="D60" s="12"/>
      <c r="E60" s="12"/>
      <c r="F60" s="12"/>
      <c r="G60" s="12"/>
      <c r="H60" s="12"/>
      <c r="I60" s="12"/>
      <c r="J60" s="12"/>
      <c r="K60" s="12"/>
      <c r="L60" s="22"/>
      <c r="M60" s="22"/>
      <c r="N60" s="22"/>
      <c r="O60" s="22"/>
      <c r="P60" s="22"/>
      <c r="Q60" s="22"/>
    </row>
    <row r="61" spans="1:17" ht="13.4" customHeight="1">
      <c r="A61" s="22"/>
      <c r="B61" s="12"/>
      <c r="C61" s="12"/>
      <c r="D61" s="12"/>
      <c r="E61" s="12"/>
      <c r="F61" s="12"/>
      <c r="G61" s="12"/>
      <c r="H61" s="12"/>
      <c r="I61" s="12"/>
      <c r="J61" s="12"/>
      <c r="K61" s="12"/>
      <c r="L61" s="22"/>
      <c r="M61" s="22"/>
      <c r="N61" s="22"/>
      <c r="O61" s="22"/>
      <c r="P61" s="22"/>
      <c r="Q61" s="22"/>
    </row>
    <row r="62" spans="1:17" s="20" customFormat="1" ht="15.75" customHeight="1">
      <c r="A62" s="29"/>
      <c r="B62" s="38" t="s">
        <v>121</v>
      </c>
      <c r="C62" s="39"/>
      <c r="D62" s="39"/>
      <c r="E62" s="39"/>
      <c r="F62" s="39"/>
      <c r="G62" s="39"/>
      <c r="H62" s="39"/>
      <c r="I62" s="39"/>
      <c r="J62" s="39"/>
      <c r="K62" s="39"/>
      <c r="L62" s="29"/>
      <c r="M62" s="29"/>
      <c r="N62" s="29"/>
      <c r="O62" s="29"/>
      <c r="P62" s="29"/>
      <c r="Q62" s="29"/>
    </row>
    <row r="63" spans="1:17" s="20" customFormat="1" ht="21" thickBot="1">
      <c r="A63" s="29"/>
      <c r="B63" s="42" t="s">
        <v>122</v>
      </c>
      <c r="C63" s="109" t="s">
        <v>123</v>
      </c>
      <c r="D63" s="39"/>
      <c r="E63" s="39"/>
      <c r="F63" s="39"/>
      <c r="G63" s="39"/>
      <c r="H63" s="39"/>
      <c r="I63" s="39"/>
      <c r="J63" s="39"/>
      <c r="K63" s="39"/>
      <c r="L63" s="29"/>
      <c r="M63" s="29"/>
      <c r="N63" s="29"/>
      <c r="O63" s="29"/>
      <c r="P63" s="29"/>
      <c r="Q63" s="29"/>
    </row>
    <row r="64" spans="1:17" s="20" customFormat="1" ht="12" thickBot="1">
      <c r="A64" s="29"/>
      <c r="B64" s="43" t="s">
        <v>124</v>
      </c>
      <c r="C64" s="114"/>
      <c r="D64" s="39"/>
      <c r="E64" s="39"/>
      <c r="F64" s="39"/>
      <c r="G64" s="39"/>
      <c r="H64" s="39"/>
      <c r="I64" s="39"/>
      <c r="J64" s="39"/>
      <c r="K64" s="39"/>
      <c r="L64" s="29"/>
      <c r="M64" s="29"/>
      <c r="N64" s="29"/>
      <c r="O64" s="29"/>
      <c r="P64" s="29"/>
      <c r="Q64" s="29"/>
    </row>
    <row r="65" spans="1:17" s="20" customFormat="1" ht="12" thickBot="1">
      <c r="A65" s="29"/>
      <c r="B65" s="43" t="s">
        <v>125</v>
      </c>
      <c r="C65" s="115"/>
      <c r="D65" s="39"/>
      <c r="E65" s="39"/>
      <c r="F65" s="39"/>
      <c r="G65" s="39"/>
      <c r="H65" s="39"/>
      <c r="I65" s="39"/>
      <c r="J65" s="39"/>
      <c r="K65" s="39"/>
      <c r="L65" s="29"/>
      <c r="M65" s="29"/>
      <c r="N65" s="29"/>
      <c r="O65" s="29"/>
      <c r="P65" s="29"/>
      <c r="Q65" s="29"/>
    </row>
    <row r="66" spans="1:17" s="20" customFormat="1" ht="12" thickBot="1">
      <c r="A66" s="29"/>
      <c r="B66" s="43" t="s">
        <v>126</v>
      </c>
      <c r="C66" s="114"/>
      <c r="D66" s="39"/>
      <c r="E66" s="39"/>
      <c r="F66" s="39"/>
      <c r="G66" s="39"/>
      <c r="H66" s="39"/>
      <c r="I66" s="39"/>
      <c r="J66" s="39"/>
      <c r="K66" s="39"/>
      <c r="L66" s="29"/>
      <c r="M66" s="29"/>
      <c r="N66" s="29"/>
      <c r="O66" s="29"/>
      <c r="P66" s="29"/>
      <c r="Q66" s="29"/>
    </row>
    <row r="67" spans="1:17" s="20" customFormat="1" ht="11.6">
      <c r="A67" s="29"/>
      <c r="B67" s="44" t="s">
        <v>127</v>
      </c>
      <c r="C67" s="39"/>
      <c r="D67" s="39"/>
      <c r="E67" s="39"/>
      <c r="F67" s="39"/>
      <c r="G67" s="39"/>
      <c r="H67" s="39"/>
      <c r="I67" s="39"/>
      <c r="J67" s="39"/>
      <c r="K67" s="39"/>
      <c r="L67" s="29"/>
      <c r="M67" s="29"/>
      <c r="N67" s="29"/>
      <c r="O67" s="29"/>
      <c r="P67" s="29"/>
      <c r="Q67" s="29"/>
    </row>
    <row r="68" spans="1:17" s="20" customFormat="1" ht="11.6">
      <c r="A68" s="29"/>
      <c r="B68" s="116" t="s">
        <v>128</v>
      </c>
      <c r="C68" s="39"/>
      <c r="D68" s="39"/>
      <c r="E68" s="39"/>
      <c r="F68" s="39"/>
      <c r="G68" s="39"/>
      <c r="H68" s="39"/>
      <c r="I68" s="39"/>
      <c r="J68" s="39"/>
      <c r="K68" s="39"/>
      <c r="L68" s="29"/>
      <c r="M68" s="29"/>
      <c r="N68" s="29"/>
      <c r="O68" s="29"/>
      <c r="P68" s="29"/>
      <c r="Q68" s="29"/>
    </row>
    <row r="69" spans="1:17" s="20" customFormat="1" ht="11.6">
      <c r="A69" s="29"/>
      <c r="B69" s="116" t="s">
        <v>129</v>
      </c>
      <c r="C69" s="39"/>
      <c r="D69" s="39"/>
      <c r="E69" s="39"/>
      <c r="F69" s="39"/>
      <c r="G69" s="39"/>
      <c r="H69" s="39"/>
      <c r="I69" s="39"/>
      <c r="J69" s="39"/>
      <c r="K69" s="39"/>
      <c r="L69" s="29"/>
      <c r="M69" s="29"/>
      <c r="N69" s="29"/>
      <c r="O69" s="29"/>
      <c r="P69" s="29"/>
      <c r="Q69" s="29"/>
    </row>
    <row r="70" spans="1:17" ht="13.4" customHeight="1">
      <c r="A70" s="22"/>
      <c r="B70" s="12"/>
      <c r="C70" s="12"/>
      <c r="D70" s="12"/>
      <c r="E70" s="12"/>
      <c r="F70" s="12"/>
      <c r="G70" s="12"/>
      <c r="H70" s="12"/>
      <c r="I70" s="12"/>
      <c r="J70" s="12"/>
      <c r="K70" s="12"/>
      <c r="L70" s="22"/>
      <c r="M70" s="22"/>
      <c r="N70" s="22"/>
      <c r="O70" s="22"/>
      <c r="P70" s="22"/>
      <c r="Q70" s="22"/>
    </row>
    <row r="71" spans="1:17" ht="13.4" customHeight="1">
      <c r="A71" s="22"/>
      <c r="B71" s="12"/>
      <c r="C71" s="12"/>
      <c r="D71" s="12"/>
      <c r="E71" s="12"/>
      <c r="F71" s="12"/>
      <c r="G71" s="12"/>
      <c r="H71" s="12"/>
      <c r="I71" s="12"/>
      <c r="J71" s="12"/>
      <c r="K71" s="12"/>
      <c r="L71" s="22"/>
      <c r="M71" s="22"/>
      <c r="N71" s="22"/>
      <c r="O71" s="22"/>
      <c r="P71" s="22"/>
      <c r="Q71" s="22"/>
    </row>
    <row r="72" spans="1:17" s="20" customFormat="1" ht="15.75" customHeight="1">
      <c r="A72" s="29"/>
      <c r="B72" s="38" t="s">
        <v>130</v>
      </c>
      <c r="C72" s="39"/>
      <c r="D72" s="39"/>
      <c r="E72" s="39"/>
      <c r="F72" s="39"/>
      <c r="G72" s="39"/>
      <c r="H72" s="39"/>
      <c r="I72" s="39"/>
      <c r="J72" s="39"/>
      <c r="K72" s="39"/>
      <c r="L72" s="29"/>
      <c r="M72" s="29"/>
      <c r="N72" s="29"/>
      <c r="O72" s="29"/>
      <c r="P72" s="29"/>
      <c r="Q72" s="29"/>
    </row>
    <row r="73" spans="1:17" s="20" customFormat="1" ht="26.25" customHeight="1">
      <c r="A73" s="29"/>
      <c r="B73" s="278" t="s">
        <v>131</v>
      </c>
      <c r="C73" s="278"/>
      <c r="D73" s="278"/>
      <c r="E73" s="278"/>
      <c r="F73" s="278"/>
      <c r="G73" s="278"/>
      <c r="H73" s="278"/>
      <c r="I73" s="278"/>
      <c r="J73" s="278"/>
      <c r="K73" s="278"/>
      <c r="L73" s="278"/>
      <c r="M73" s="278"/>
      <c r="N73" s="29"/>
      <c r="O73" s="29"/>
      <c r="P73" s="29"/>
      <c r="Q73" s="29"/>
    </row>
    <row r="74" spans="1:17" ht="13.4" customHeight="1" thickBot="1">
      <c r="A74" s="22"/>
      <c r="B74" s="12"/>
      <c r="C74" s="12"/>
      <c r="D74" s="12"/>
      <c r="E74" s="12"/>
      <c r="F74" s="12"/>
      <c r="G74" s="12"/>
      <c r="H74" s="12"/>
      <c r="I74" s="12"/>
      <c r="J74" s="12"/>
      <c r="K74" s="12"/>
      <c r="L74" s="22"/>
      <c r="M74" s="22"/>
      <c r="N74" s="22"/>
      <c r="O74" s="22"/>
      <c r="P74" s="22"/>
      <c r="Q74" s="22"/>
    </row>
    <row r="75" spans="1:17" ht="21.75" customHeight="1">
      <c r="A75" s="22"/>
      <c r="B75" s="117"/>
      <c r="C75" s="118"/>
      <c r="D75" s="253" t="s">
        <v>132</v>
      </c>
      <c r="E75" s="254"/>
      <c r="F75" s="254"/>
      <c r="G75" s="254"/>
      <c r="H75" s="255"/>
      <c r="I75" s="22"/>
      <c r="J75" s="22"/>
      <c r="K75" s="22"/>
      <c r="L75" s="22"/>
      <c r="M75" s="22"/>
      <c r="N75" s="22"/>
      <c r="O75" s="22"/>
      <c r="P75" s="22"/>
      <c r="Q75" s="22"/>
    </row>
    <row r="76" spans="1:17" ht="21" thickBot="1">
      <c r="A76" s="22"/>
      <c r="B76" s="45"/>
      <c r="C76" s="46" t="s">
        <v>133</v>
      </c>
      <c r="D76" s="109" t="s">
        <v>27</v>
      </c>
      <c r="E76" s="280" t="s">
        <v>134</v>
      </c>
      <c r="F76" s="281"/>
      <c r="G76" s="131" t="s">
        <v>28</v>
      </c>
      <c r="H76" s="134" t="s">
        <v>135</v>
      </c>
      <c r="I76" s="22"/>
      <c r="J76" s="22"/>
      <c r="K76" s="22"/>
      <c r="L76" s="22"/>
      <c r="M76" s="22"/>
      <c r="N76" s="22"/>
      <c r="O76" s="22"/>
      <c r="P76" s="22"/>
      <c r="Q76" s="22"/>
    </row>
    <row r="77" spans="1:17" ht="15.75" customHeight="1" thickBot="1">
      <c r="A77" s="22"/>
      <c r="B77" s="282" t="s">
        <v>136</v>
      </c>
      <c r="C77" s="47" t="s">
        <v>111</v>
      </c>
      <c r="D77" s="114"/>
      <c r="E77" s="115"/>
      <c r="F77" s="115"/>
      <c r="G77" s="114"/>
      <c r="H77" s="115"/>
      <c r="I77" s="22"/>
      <c r="J77" s="22"/>
      <c r="K77" s="22"/>
      <c r="L77" s="22"/>
      <c r="M77" s="22"/>
      <c r="N77" s="22"/>
      <c r="O77" s="22"/>
      <c r="P77" s="22"/>
      <c r="Q77" s="22"/>
    </row>
    <row r="78" spans="1:17" ht="15.75" customHeight="1" thickBot="1">
      <c r="A78" s="22"/>
      <c r="B78" s="283"/>
      <c r="C78" s="47" t="s">
        <v>113</v>
      </c>
      <c r="D78" s="114"/>
      <c r="E78" s="115"/>
      <c r="F78" s="115"/>
      <c r="G78" s="114"/>
      <c r="H78" s="115"/>
      <c r="I78" s="22"/>
      <c r="J78" s="22"/>
      <c r="K78" s="22"/>
      <c r="L78" s="22"/>
      <c r="M78" s="22"/>
      <c r="N78" s="22"/>
      <c r="O78" s="22"/>
      <c r="P78" s="22"/>
      <c r="Q78" s="22"/>
    </row>
    <row r="79" spans="1:17" ht="15.75" customHeight="1" thickBot="1">
      <c r="A79" s="22"/>
      <c r="B79" s="283"/>
      <c r="C79" s="47" t="s">
        <v>115</v>
      </c>
      <c r="D79" s="114"/>
      <c r="E79" s="115"/>
      <c r="F79" s="115"/>
      <c r="G79" s="114"/>
      <c r="H79" s="115"/>
      <c r="I79" s="22"/>
      <c r="J79" s="22"/>
      <c r="K79" s="22"/>
      <c r="L79" s="22"/>
      <c r="M79" s="22"/>
      <c r="N79" s="22"/>
      <c r="O79" s="22"/>
      <c r="P79" s="22"/>
      <c r="Q79" s="22"/>
    </row>
    <row r="80" spans="1:17" ht="15.75" customHeight="1" thickBot="1">
      <c r="A80" s="22"/>
      <c r="B80" s="283"/>
      <c r="C80" s="47" t="s">
        <v>117</v>
      </c>
      <c r="D80" s="114"/>
      <c r="E80" s="115"/>
      <c r="F80" s="115"/>
      <c r="G80" s="114"/>
      <c r="H80" s="115"/>
      <c r="I80" s="22"/>
      <c r="J80" s="22"/>
      <c r="K80" s="22"/>
      <c r="L80" s="22"/>
      <c r="M80" s="22"/>
      <c r="N80" s="22"/>
      <c r="O80" s="22"/>
      <c r="P80" s="22"/>
      <c r="Q80" s="22"/>
    </row>
    <row r="81" spans="1:17" ht="15.75" customHeight="1" thickBot="1">
      <c r="A81" s="22"/>
      <c r="B81" s="284"/>
      <c r="C81" s="47" t="s">
        <v>119</v>
      </c>
      <c r="D81" s="114"/>
      <c r="E81" s="115"/>
      <c r="F81" s="115"/>
      <c r="G81" s="114"/>
      <c r="H81" s="115"/>
      <c r="I81" s="22"/>
      <c r="J81" s="22"/>
      <c r="K81" s="22"/>
      <c r="L81" s="22"/>
      <c r="M81" s="22"/>
      <c r="N81" s="22"/>
      <c r="O81" s="22"/>
      <c r="P81" s="22"/>
      <c r="Q81" s="22"/>
    </row>
    <row r="82" spans="1:17" ht="13.4" customHeight="1">
      <c r="A82" s="22"/>
      <c r="B82" s="12"/>
      <c r="C82" s="12"/>
      <c r="D82" s="12"/>
      <c r="E82" s="12"/>
      <c r="F82" s="12"/>
      <c r="G82" s="12"/>
      <c r="H82" s="12"/>
      <c r="I82" s="12"/>
      <c r="J82" s="12"/>
      <c r="K82" s="12"/>
      <c r="L82" s="22"/>
      <c r="M82" s="22"/>
      <c r="N82" s="22"/>
      <c r="O82" s="22"/>
      <c r="P82" s="22"/>
      <c r="Q82" s="22"/>
    </row>
    <row r="83" spans="1:17" ht="13.4" customHeight="1">
      <c r="A83" s="22"/>
      <c r="B83" s="12"/>
      <c r="C83" s="12"/>
      <c r="D83" s="12"/>
      <c r="E83" s="12"/>
      <c r="F83" s="12"/>
      <c r="G83" s="12"/>
      <c r="H83" s="12"/>
      <c r="I83" s="12"/>
      <c r="J83" s="12"/>
      <c r="K83" s="12"/>
      <c r="L83" s="22"/>
      <c r="M83" s="22"/>
      <c r="N83" s="22"/>
      <c r="O83" s="22"/>
      <c r="P83" s="22"/>
      <c r="Q83" s="22"/>
    </row>
    <row r="84" spans="1:17" s="20" customFormat="1" ht="15.75" customHeight="1">
      <c r="A84" s="29"/>
      <c r="B84" s="38" t="s">
        <v>137</v>
      </c>
      <c r="C84" s="39"/>
      <c r="D84" s="39"/>
      <c r="E84" s="39"/>
      <c r="F84" s="39"/>
      <c r="G84" s="39"/>
      <c r="H84" s="39"/>
      <c r="I84" s="39"/>
      <c r="J84" s="39"/>
      <c r="K84" s="39"/>
      <c r="L84" s="29"/>
      <c r="M84" s="29"/>
      <c r="N84" s="29"/>
      <c r="O84" s="29"/>
      <c r="P84" s="29"/>
      <c r="Q84" s="29"/>
    </row>
    <row r="85" spans="1:17">
      <c r="A85" s="22"/>
      <c r="B85" s="113" t="s">
        <v>138</v>
      </c>
      <c r="C85" s="14"/>
      <c r="D85" s="22"/>
      <c r="E85" s="14"/>
      <c r="F85" s="14"/>
      <c r="G85" s="14"/>
      <c r="H85" s="14"/>
      <c r="I85" s="14"/>
      <c r="J85" s="14"/>
      <c r="K85" s="14"/>
      <c r="L85" s="22"/>
      <c r="M85" s="22"/>
      <c r="N85" s="22"/>
      <c r="O85" s="22"/>
      <c r="P85" s="22"/>
      <c r="Q85" s="22"/>
    </row>
    <row r="86" spans="1:17" ht="14.6" thickBot="1">
      <c r="A86" s="22"/>
      <c r="B86" s="113" t="s">
        <v>139</v>
      </c>
      <c r="C86" s="22"/>
      <c r="D86" s="22"/>
      <c r="E86" s="22"/>
      <c r="F86" s="22"/>
      <c r="G86" s="22"/>
      <c r="H86" s="22"/>
      <c r="I86" s="22"/>
      <c r="J86" s="22"/>
      <c r="K86" s="22"/>
      <c r="L86" s="22"/>
      <c r="M86" s="22"/>
      <c r="N86" s="22"/>
      <c r="O86" s="22"/>
      <c r="P86" s="22"/>
      <c r="Q86" s="22"/>
    </row>
    <row r="87" spans="1:17" s="20" customFormat="1" ht="24.75" customHeight="1" thickBot="1">
      <c r="A87" s="29"/>
      <c r="B87" s="48" t="s">
        <v>140</v>
      </c>
      <c r="C87" s="49" t="s">
        <v>11</v>
      </c>
      <c r="D87" s="286" t="s">
        <v>110</v>
      </c>
      <c r="E87" s="287"/>
      <c r="F87" s="287"/>
      <c r="G87" s="287"/>
      <c r="H87" s="287"/>
      <c r="I87" s="287"/>
      <c r="J87" s="287"/>
      <c r="K87" s="287"/>
      <c r="L87" s="287"/>
      <c r="M87" s="288"/>
      <c r="N87" s="29"/>
      <c r="O87" s="29"/>
      <c r="P87" s="29"/>
      <c r="Q87" s="29"/>
    </row>
    <row r="88" spans="1:17" s="20" customFormat="1" ht="23.25" customHeight="1" thickBot="1">
      <c r="A88" s="29"/>
      <c r="B88" s="50" t="s">
        <v>27</v>
      </c>
      <c r="C88" s="51" t="s">
        <v>27</v>
      </c>
      <c r="D88" s="267" t="s">
        <v>141</v>
      </c>
      <c r="E88" s="268"/>
      <c r="F88" s="268"/>
      <c r="G88" s="268"/>
      <c r="H88" s="268"/>
      <c r="I88" s="268"/>
      <c r="J88" s="268"/>
      <c r="K88" s="268"/>
      <c r="L88" s="268"/>
      <c r="M88" s="269"/>
      <c r="N88" s="29"/>
      <c r="O88" s="29"/>
      <c r="P88" s="29"/>
      <c r="Q88" s="29"/>
    </row>
    <row r="89" spans="1:17" s="20" customFormat="1" ht="37.4" customHeight="1" thickBot="1">
      <c r="A89" s="29"/>
      <c r="B89" s="50" t="s">
        <v>142</v>
      </c>
      <c r="C89" s="51" t="s">
        <v>27</v>
      </c>
      <c r="D89" s="267" t="s">
        <v>143</v>
      </c>
      <c r="E89" s="268"/>
      <c r="F89" s="268"/>
      <c r="G89" s="268"/>
      <c r="H89" s="268"/>
      <c r="I89" s="268"/>
      <c r="J89" s="268"/>
      <c r="K89" s="268"/>
      <c r="L89" s="268"/>
      <c r="M89" s="269"/>
      <c r="N89" s="29"/>
      <c r="O89" s="29"/>
      <c r="P89" s="29"/>
      <c r="Q89" s="29"/>
    </row>
    <row r="90" spans="1:17" s="20" customFormat="1" ht="46.4" customHeight="1" thickBot="1">
      <c r="A90" s="29"/>
      <c r="B90" s="50" t="s">
        <v>28</v>
      </c>
      <c r="C90" s="51" t="s">
        <v>29</v>
      </c>
      <c r="D90" s="267" t="s">
        <v>144</v>
      </c>
      <c r="E90" s="268"/>
      <c r="F90" s="268"/>
      <c r="G90" s="268"/>
      <c r="H90" s="268"/>
      <c r="I90" s="268"/>
      <c r="J90" s="268"/>
      <c r="K90" s="268"/>
      <c r="L90" s="268"/>
      <c r="M90" s="269"/>
      <c r="N90" s="29"/>
      <c r="O90" s="29"/>
      <c r="P90" s="29"/>
      <c r="Q90" s="29"/>
    </row>
    <row r="91" spans="1:17" s="20" customFormat="1" ht="27.65" customHeight="1" thickBot="1">
      <c r="A91" s="29"/>
      <c r="B91" s="50" t="s">
        <v>145</v>
      </c>
      <c r="C91" s="51" t="s">
        <v>29</v>
      </c>
      <c r="D91" s="267" t="s">
        <v>146</v>
      </c>
      <c r="E91" s="268"/>
      <c r="F91" s="268"/>
      <c r="G91" s="268"/>
      <c r="H91" s="268"/>
      <c r="I91" s="268"/>
      <c r="J91" s="268"/>
      <c r="K91" s="268"/>
      <c r="L91" s="268"/>
      <c r="M91" s="269"/>
      <c r="N91" s="29"/>
      <c r="O91" s="29"/>
      <c r="P91" s="29"/>
      <c r="Q91" s="29"/>
    </row>
    <row r="92" spans="1:17" ht="13.4" customHeight="1">
      <c r="A92" s="22"/>
      <c r="B92" s="12"/>
      <c r="C92" s="12"/>
      <c r="D92" s="12"/>
      <c r="E92" s="12"/>
      <c r="F92" s="12"/>
      <c r="G92" s="12"/>
      <c r="H92" s="12"/>
      <c r="I92" s="12"/>
      <c r="J92" s="12"/>
      <c r="K92" s="12"/>
      <c r="L92" s="22"/>
      <c r="M92" s="22"/>
      <c r="N92" s="22"/>
      <c r="O92" s="22"/>
      <c r="P92" s="22"/>
      <c r="Q92" s="22"/>
    </row>
    <row r="93" spans="1:17" ht="13.4" customHeight="1">
      <c r="A93" s="22"/>
      <c r="B93" s="12"/>
      <c r="C93" s="12"/>
      <c r="D93" s="12"/>
      <c r="E93" s="12"/>
      <c r="F93" s="12"/>
      <c r="G93" s="12"/>
      <c r="H93" s="12"/>
      <c r="I93" s="12"/>
      <c r="J93" s="12"/>
      <c r="K93" s="12"/>
      <c r="L93" s="22"/>
      <c r="M93" s="22"/>
      <c r="N93" s="22"/>
      <c r="O93" s="22"/>
      <c r="P93" s="22"/>
      <c r="Q93" s="22"/>
    </row>
    <row r="94" spans="1:17" s="20" customFormat="1" ht="15.75" customHeight="1">
      <c r="A94" s="29"/>
      <c r="B94" s="38" t="s">
        <v>147</v>
      </c>
      <c r="C94" s="39"/>
      <c r="D94" s="39"/>
      <c r="E94" s="39"/>
      <c r="F94" s="39"/>
      <c r="G94" s="39"/>
      <c r="H94" s="39"/>
      <c r="I94" s="39"/>
      <c r="J94" s="39"/>
      <c r="K94" s="39"/>
      <c r="L94" s="29"/>
      <c r="M94" s="29"/>
      <c r="N94" s="29"/>
      <c r="O94" s="29"/>
      <c r="P94" s="29"/>
      <c r="Q94" s="29"/>
    </row>
    <row r="95" spans="1:17" s="20" customFormat="1" ht="11.6">
      <c r="A95" s="29"/>
      <c r="B95" s="119" t="s">
        <v>80</v>
      </c>
      <c r="C95" s="39"/>
      <c r="D95" s="29"/>
      <c r="E95" s="29"/>
      <c r="F95" s="29"/>
      <c r="G95" s="29"/>
      <c r="H95" s="29"/>
      <c r="I95" s="29"/>
      <c r="J95" s="29"/>
      <c r="K95" s="29"/>
      <c r="L95" s="29"/>
      <c r="M95" s="29"/>
      <c r="N95" s="29"/>
      <c r="O95" s="29"/>
      <c r="P95" s="29"/>
      <c r="Q95" s="29"/>
    </row>
    <row r="96" spans="1:17" s="20" customFormat="1" ht="11.6">
      <c r="A96" s="29"/>
      <c r="B96" s="119"/>
      <c r="C96" s="39"/>
      <c r="D96" s="29"/>
      <c r="E96" s="29"/>
      <c r="F96" s="29"/>
      <c r="G96" s="29"/>
      <c r="H96" s="29"/>
      <c r="I96" s="29"/>
      <c r="J96" s="29"/>
      <c r="K96" s="29"/>
      <c r="L96" s="29"/>
      <c r="M96" s="29"/>
      <c r="N96" s="29"/>
      <c r="O96" s="29"/>
      <c r="P96" s="29"/>
      <c r="Q96" s="29"/>
    </row>
    <row r="97" spans="1:17" s="21" customFormat="1" ht="15.75" customHeight="1">
      <c r="A97" s="14"/>
      <c r="B97" s="52" t="s">
        <v>148</v>
      </c>
      <c r="C97" s="120"/>
      <c r="D97" s="14"/>
      <c r="E97" s="14"/>
      <c r="F97" s="14"/>
      <c r="G97" s="14"/>
      <c r="H97" s="14"/>
      <c r="I97" s="14"/>
      <c r="J97" s="14"/>
      <c r="K97" s="14"/>
      <c r="L97" s="14"/>
      <c r="M97" s="14"/>
      <c r="N97" s="14"/>
      <c r="O97" s="14"/>
      <c r="P97" s="14"/>
      <c r="Q97" s="14"/>
    </row>
    <row r="98" spans="1:17" s="21" customFormat="1" ht="10.3">
      <c r="A98" s="14"/>
      <c r="B98" s="121" t="s">
        <v>149</v>
      </c>
      <c r="C98" s="120"/>
      <c r="D98" s="14"/>
      <c r="E98" s="14"/>
      <c r="F98" s="14"/>
      <c r="G98" s="14"/>
      <c r="H98" s="14"/>
      <c r="I98" s="14"/>
      <c r="J98" s="14"/>
      <c r="K98" s="14"/>
      <c r="L98" s="14"/>
      <c r="M98" s="14"/>
      <c r="N98" s="14"/>
      <c r="O98" s="14"/>
      <c r="P98" s="14"/>
      <c r="Q98" s="14"/>
    </row>
    <row r="99" spans="1:17" s="21" customFormat="1" ht="10.3">
      <c r="A99" s="14"/>
      <c r="B99" s="122" t="s">
        <v>150</v>
      </c>
      <c r="C99" s="120"/>
      <c r="D99" s="14"/>
      <c r="E99" s="14"/>
      <c r="F99" s="14"/>
      <c r="G99" s="14"/>
      <c r="H99" s="14"/>
      <c r="I99" s="14"/>
      <c r="J99" s="14"/>
      <c r="K99" s="14"/>
      <c r="L99" s="14"/>
      <c r="M99" s="14"/>
      <c r="N99" s="14"/>
      <c r="O99" s="14"/>
      <c r="P99" s="14"/>
      <c r="Q99" s="14"/>
    </row>
    <row r="100" spans="1:17" s="21" customFormat="1" ht="10.3">
      <c r="A100" s="14"/>
      <c r="B100" s="122" t="s">
        <v>151</v>
      </c>
      <c r="C100" s="120"/>
      <c r="D100" s="14"/>
      <c r="E100" s="14"/>
      <c r="F100" s="14"/>
      <c r="G100" s="14"/>
      <c r="H100" s="14"/>
      <c r="I100" s="14"/>
      <c r="J100" s="14"/>
      <c r="K100" s="14"/>
      <c r="L100" s="14"/>
      <c r="M100" s="14"/>
      <c r="N100" s="14"/>
      <c r="O100" s="14"/>
      <c r="P100" s="14"/>
      <c r="Q100" s="14"/>
    </row>
    <row r="101" spans="1:17" s="21" customFormat="1" ht="10.3">
      <c r="A101" s="14"/>
      <c r="B101" s="122" t="s">
        <v>152</v>
      </c>
      <c r="C101" s="120"/>
      <c r="D101" s="14"/>
      <c r="E101" s="14"/>
      <c r="F101" s="14"/>
      <c r="G101" s="14"/>
      <c r="H101" s="14"/>
      <c r="I101" s="14"/>
      <c r="J101" s="14"/>
      <c r="K101" s="14"/>
      <c r="L101" s="14"/>
      <c r="M101" s="14"/>
      <c r="N101" s="14"/>
      <c r="O101" s="14"/>
      <c r="P101" s="14"/>
      <c r="Q101" s="14"/>
    </row>
    <row r="102" spans="1:17" s="21" customFormat="1" ht="10.3">
      <c r="A102" s="14"/>
      <c r="B102" s="116"/>
      <c r="C102" s="120"/>
      <c r="D102" s="14"/>
      <c r="E102" s="14"/>
      <c r="F102" s="14"/>
      <c r="G102" s="14"/>
      <c r="H102" s="14"/>
      <c r="I102" s="14"/>
      <c r="J102" s="14"/>
      <c r="K102" s="14"/>
      <c r="L102" s="14"/>
      <c r="M102" s="14"/>
      <c r="N102" s="14"/>
      <c r="O102" s="14"/>
      <c r="P102" s="14"/>
      <c r="Q102" s="14"/>
    </row>
    <row r="103" spans="1:17" s="20" customFormat="1" ht="11.6">
      <c r="A103" s="29"/>
      <c r="B103" s="59" t="s">
        <v>153</v>
      </c>
      <c r="C103" s="39"/>
      <c r="D103" s="29"/>
      <c r="E103" s="29"/>
      <c r="F103" s="29"/>
      <c r="G103" s="29"/>
      <c r="H103" s="29"/>
      <c r="I103" s="29"/>
      <c r="J103" s="29"/>
      <c r="K103" s="29"/>
      <c r="L103" s="29"/>
      <c r="M103" s="29"/>
      <c r="N103" s="29"/>
      <c r="O103" s="29"/>
      <c r="P103" s="29"/>
      <c r="Q103" s="29"/>
    </row>
    <row r="104" spans="1:17" s="21" customFormat="1" ht="10.3">
      <c r="A104" s="14"/>
      <c r="B104" s="123" t="s">
        <v>154</v>
      </c>
      <c r="C104" s="120"/>
      <c r="D104" s="14"/>
      <c r="E104" s="14"/>
      <c r="F104" s="14"/>
      <c r="G104" s="14"/>
      <c r="H104" s="14"/>
      <c r="I104" s="14"/>
      <c r="J104" s="14"/>
      <c r="K104" s="14"/>
      <c r="L104" s="14"/>
      <c r="M104" s="14"/>
      <c r="N104" s="14"/>
      <c r="O104" s="14"/>
      <c r="P104" s="14"/>
      <c r="Q104" s="14"/>
    </row>
    <row r="105" spans="1:17" s="21" customFormat="1" ht="10.3">
      <c r="A105" s="14"/>
      <c r="B105" s="121"/>
      <c r="C105" s="120"/>
      <c r="D105" s="14"/>
      <c r="E105" s="14"/>
      <c r="F105" s="14"/>
      <c r="G105" s="14"/>
      <c r="H105" s="14"/>
      <c r="I105" s="14"/>
      <c r="J105" s="14"/>
      <c r="K105" s="14"/>
      <c r="L105" s="14"/>
      <c r="M105" s="14"/>
      <c r="N105" s="14"/>
      <c r="O105" s="14"/>
      <c r="P105" s="14"/>
      <c r="Q105" s="14"/>
    </row>
    <row r="106" spans="1:17" s="20" customFormat="1" ht="11.6">
      <c r="A106" s="29"/>
      <c r="B106" s="54"/>
      <c r="C106" s="39"/>
      <c r="D106" s="29"/>
      <c r="E106" s="29"/>
      <c r="F106" s="29"/>
      <c r="G106" s="29"/>
      <c r="H106" s="29"/>
      <c r="I106" s="29"/>
      <c r="J106" s="29"/>
      <c r="K106" s="29"/>
      <c r="L106" s="29"/>
      <c r="M106" s="29"/>
      <c r="N106" s="29"/>
      <c r="O106" s="29"/>
      <c r="P106" s="29"/>
      <c r="Q106" s="29"/>
    </row>
    <row r="107" spans="1:17" s="20" customFormat="1" ht="11.6">
      <c r="A107" s="29"/>
      <c r="B107" s="53" t="s">
        <v>155</v>
      </c>
      <c r="C107" s="39"/>
      <c r="D107" s="29"/>
      <c r="E107" s="29"/>
      <c r="F107" s="29"/>
      <c r="G107" s="29"/>
      <c r="H107" s="29"/>
      <c r="I107" s="29"/>
      <c r="J107" s="29"/>
      <c r="K107" s="29"/>
      <c r="L107" s="29"/>
      <c r="M107" s="29"/>
      <c r="N107" s="29"/>
      <c r="O107" s="29"/>
      <c r="P107" s="29"/>
      <c r="Q107" s="29"/>
    </row>
    <row r="108" spans="1:17" s="21" customFormat="1" ht="10.3">
      <c r="A108" s="14"/>
      <c r="B108" s="121" t="s">
        <v>156</v>
      </c>
      <c r="C108" s="120"/>
      <c r="D108" s="14"/>
      <c r="E108" s="14"/>
      <c r="F108" s="14"/>
      <c r="G108" s="14"/>
      <c r="H108" s="14"/>
      <c r="I108" s="14"/>
      <c r="J108" s="14"/>
      <c r="K108" s="14"/>
      <c r="L108" s="14"/>
      <c r="M108" s="14"/>
      <c r="N108" s="14"/>
      <c r="O108" s="14"/>
      <c r="P108" s="14"/>
      <c r="Q108" s="14"/>
    </row>
    <row r="109" spans="1:17" s="20" customFormat="1" ht="11.6">
      <c r="A109" s="29"/>
      <c r="B109" s="54"/>
      <c r="C109" s="39"/>
      <c r="D109" s="29"/>
      <c r="E109" s="29"/>
      <c r="F109" s="29"/>
      <c r="G109" s="29"/>
      <c r="H109" s="29"/>
      <c r="I109" s="29"/>
      <c r="J109" s="29"/>
      <c r="K109" s="29"/>
      <c r="L109" s="29"/>
      <c r="M109" s="29"/>
      <c r="N109" s="29"/>
      <c r="O109" s="29"/>
      <c r="P109" s="29"/>
      <c r="Q109" s="29"/>
    </row>
    <row r="110" spans="1:17" s="20" customFormat="1" ht="11.6">
      <c r="A110" s="29"/>
      <c r="B110" s="59" t="s">
        <v>157</v>
      </c>
      <c r="C110" s="39"/>
      <c r="D110" s="29"/>
      <c r="E110" s="29"/>
      <c r="F110" s="29"/>
      <c r="G110" s="29"/>
      <c r="H110" s="29"/>
      <c r="I110" s="29"/>
      <c r="J110" s="29"/>
      <c r="K110" s="29"/>
      <c r="L110" s="29"/>
      <c r="M110" s="29"/>
      <c r="N110" s="29"/>
      <c r="O110" s="29"/>
      <c r="P110" s="29"/>
      <c r="Q110" s="29"/>
    </row>
    <row r="111" spans="1:17" s="21" customFormat="1" ht="10.3">
      <c r="A111" s="14"/>
      <c r="B111" s="123" t="s">
        <v>158</v>
      </c>
      <c r="C111" s="120"/>
      <c r="D111" s="14"/>
      <c r="E111" s="14"/>
      <c r="F111" s="14"/>
      <c r="G111" s="14"/>
      <c r="H111" s="14"/>
      <c r="I111" s="14"/>
      <c r="J111" s="14"/>
      <c r="K111" s="14"/>
      <c r="L111" s="14"/>
      <c r="M111" s="14"/>
      <c r="N111" s="14"/>
      <c r="O111" s="14"/>
      <c r="P111" s="14"/>
      <c r="Q111" s="14"/>
    </row>
    <row r="112" spans="1:17" s="21" customFormat="1" ht="10.3">
      <c r="A112" s="14"/>
      <c r="B112" s="121"/>
      <c r="C112" s="120"/>
      <c r="D112" s="14"/>
      <c r="E112" s="14"/>
      <c r="F112" s="14"/>
      <c r="G112" s="14"/>
      <c r="H112" s="14"/>
      <c r="I112" s="14"/>
      <c r="J112" s="14"/>
      <c r="K112" s="14"/>
      <c r="L112" s="14"/>
      <c r="M112" s="14"/>
      <c r="N112" s="14"/>
      <c r="O112" s="14"/>
      <c r="P112" s="14"/>
      <c r="Q112" s="14"/>
    </row>
    <row r="113" spans="1:17" s="20" customFormat="1" ht="11.6">
      <c r="A113" s="29"/>
      <c r="B113" s="55"/>
      <c r="C113" s="39"/>
      <c r="D113" s="29"/>
      <c r="E113" s="29"/>
      <c r="F113" s="29"/>
      <c r="G113" s="29"/>
      <c r="H113" s="29"/>
      <c r="I113" s="29"/>
      <c r="J113" s="29"/>
      <c r="K113" s="29"/>
      <c r="L113" s="29"/>
      <c r="M113" s="29"/>
      <c r="N113" s="29"/>
      <c r="O113" s="29"/>
      <c r="P113" s="29"/>
      <c r="Q113" s="29"/>
    </row>
    <row r="114" spans="1:17" s="21" customFormat="1" ht="10.3">
      <c r="A114" s="14"/>
      <c r="B114" s="124"/>
      <c r="C114" s="120"/>
      <c r="D114" s="14"/>
      <c r="E114" s="14"/>
      <c r="F114" s="14"/>
      <c r="G114" s="14"/>
      <c r="H114" s="14"/>
      <c r="I114" s="14"/>
      <c r="J114" s="14"/>
      <c r="K114" s="14"/>
      <c r="L114" s="14"/>
      <c r="M114" s="14"/>
      <c r="N114" s="14"/>
      <c r="O114" s="14"/>
      <c r="P114" s="14"/>
      <c r="Q114" s="14"/>
    </row>
    <row r="115" spans="1:17" s="21" customFormat="1" ht="12.45">
      <c r="A115" s="14"/>
      <c r="B115" s="38" t="s">
        <v>159</v>
      </c>
      <c r="C115" s="120"/>
      <c r="D115" s="14"/>
      <c r="E115" s="14"/>
      <c r="F115" s="14"/>
      <c r="G115" s="14"/>
      <c r="H115" s="14"/>
      <c r="I115" s="14"/>
      <c r="J115" s="14"/>
      <c r="K115" s="14"/>
      <c r="L115" s="14"/>
      <c r="M115" s="14"/>
      <c r="N115" s="14"/>
      <c r="O115" s="14"/>
      <c r="P115" s="14"/>
      <c r="Q115" s="14"/>
    </row>
    <row r="116" spans="1:17" s="21" customFormat="1" ht="10.3">
      <c r="A116" s="14"/>
      <c r="B116" s="124" t="s">
        <v>160</v>
      </c>
      <c r="C116" s="120"/>
      <c r="D116" s="14"/>
      <c r="E116" s="14"/>
      <c r="F116" s="14"/>
      <c r="G116" s="14"/>
      <c r="H116" s="14"/>
      <c r="I116" s="14"/>
      <c r="J116" s="14"/>
      <c r="K116" s="14"/>
      <c r="L116" s="14"/>
      <c r="M116" s="14"/>
      <c r="N116" s="14"/>
      <c r="O116" s="14"/>
      <c r="P116" s="14"/>
      <c r="Q116" s="14"/>
    </row>
    <row r="117" spans="1:17" s="21" customFormat="1" ht="10.3">
      <c r="A117" s="14"/>
      <c r="B117" s="125" t="s">
        <v>161</v>
      </c>
      <c r="C117" s="120"/>
      <c r="D117" s="14"/>
      <c r="E117" s="14"/>
      <c r="F117" s="14"/>
      <c r="G117" s="14"/>
      <c r="H117" s="14"/>
      <c r="I117" s="14"/>
      <c r="J117" s="14"/>
      <c r="K117" s="14"/>
      <c r="L117" s="14"/>
      <c r="M117" s="14"/>
      <c r="N117" s="14"/>
      <c r="O117" s="14"/>
      <c r="P117" s="14"/>
      <c r="Q117" s="14"/>
    </row>
    <row r="118" spans="1:17" s="21" customFormat="1" ht="10.3">
      <c r="A118" s="14"/>
      <c r="B118" s="125" t="s">
        <v>162</v>
      </c>
      <c r="C118" s="120"/>
      <c r="D118" s="14"/>
      <c r="E118" s="14"/>
      <c r="F118" s="14"/>
      <c r="G118" s="14"/>
      <c r="H118" s="14"/>
      <c r="I118" s="14"/>
      <c r="J118" s="14"/>
      <c r="K118" s="14"/>
      <c r="L118" s="14"/>
      <c r="M118" s="14"/>
      <c r="N118" s="14"/>
      <c r="O118" s="14"/>
      <c r="P118" s="14"/>
      <c r="Q118" s="14"/>
    </row>
    <row r="119" spans="1:17" s="21" customFormat="1" ht="10.75" thickBot="1">
      <c r="A119" s="14"/>
      <c r="B119" s="124"/>
      <c r="C119" s="120"/>
      <c r="D119" s="14"/>
      <c r="E119" s="14"/>
      <c r="F119" s="14"/>
      <c r="G119" s="14"/>
      <c r="H119" s="14"/>
      <c r="I119" s="14"/>
      <c r="J119" s="14"/>
      <c r="K119" s="14"/>
      <c r="L119" s="14"/>
      <c r="M119" s="14"/>
      <c r="N119" s="14"/>
      <c r="O119" s="14"/>
      <c r="P119" s="14"/>
      <c r="Q119" s="14"/>
    </row>
    <row r="120" spans="1:17" s="21" customFormat="1" ht="23.25" customHeight="1" thickBot="1">
      <c r="A120" s="14"/>
      <c r="B120" s="262" t="s">
        <v>79</v>
      </c>
      <c r="C120" s="263"/>
      <c r="D120" s="264"/>
      <c r="E120" s="266" t="s">
        <v>140</v>
      </c>
      <c r="F120" s="266"/>
      <c r="G120" s="266" t="s">
        <v>110</v>
      </c>
      <c r="H120" s="266"/>
      <c r="I120" s="266"/>
      <c r="J120" s="266"/>
      <c r="K120" s="266"/>
      <c r="L120" s="266"/>
      <c r="M120" s="293"/>
      <c r="N120" s="14"/>
      <c r="O120" s="14"/>
      <c r="P120" s="14"/>
      <c r="Q120" s="14"/>
    </row>
    <row r="121" spans="1:17" s="21" customFormat="1" ht="28.5" customHeight="1">
      <c r="A121" s="14"/>
      <c r="B121" s="256" t="s">
        <v>163</v>
      </c>
      <c r="C121" s="257"/>
      <c r="D121" s="258"/>
      <c r="E121" s="252" t="s">
        <v>164</v>
      </c>
      <c r="F121" s="252"/>
      <c r="G121" s="294" t="s">
        <v>165</v>
      </c>
      <c r="H121" s="294"/>
      <c r="I121" s="294"/>
      <c r="J121" s="294"/>
      <c r="K121" s="294"/>
      <c r="L121" s="294"/>
      <c r="M121" s="295"/>
      <c r="N121" s="14"/>
      <c r="O121" s="14"/>
      <c r="P121" s="14"/>
      <c r="Q121" s="14"/>
    </row>
    <row r="122" spans="1:17" s="21" customFormat="1" ht="28.5" customHeight="1" thickBot="1">
      <c r="A122" s="14"/>
      <c r="B122" s="259"/>
      <c r="C122" s="260"/>
      <c r="D122" s="261"/>
      <c r="E122" s="265" t="s">
        <v>166</v>
      </c>
      <c r="F122" s="265"/>
      <c r="G122" s="270" t="s">
        <v>167</v>
      </c>
      <c r="H122" s="270"/>
      <c r="I122" s="270"/>
      <c r="J122" s="270"/>
      <c r="K122" s="270"/>
      <c r="L122" s="270"/>
      <c r="M122" s="271"/>
      <c r="N122" s="14"/>
      <c r="O122" s="14"/>
      <c r="P122" s="14"/>
      <c r="Q122" s="14"/>
    </row>
    <row r="123" spans="1:17" s="21" customFormat="1" ht="10.3">
      <c r="A123" s="14"/>
      <c r="B123" s="56"/>
      <c r="C123" s="126"/>
      <c r="D123" s="127"/>
      <c r="E123" s="285"/>
      <c r="F123" s="285"/>
      <c r="G123" s="285"/>
      <c r="H123" s="285"/>
      <c r="I123" s="285"/>
      <c r="J123" s="285"/>
      <c r="K123" s="285"/>
      <c r="L123" s="285"/>
      <c r="M123" s="285"/>
      <c r="N123" s="14"/>
      <c r="O123" s="14"/>
      <c r="P123" s="14"/>
      <c r="Q123" s="14"/>
    </row>
    <row r="124" spans="1:17" s="21" customFormat="1" ht="32.15" customHeight="1">
      <c r="A124" s="14"/>
      <c r="B124" s="278" t="s">
        <v>168</v>
      </c>
      <c r="C124" s="278"/>
      <c r="D124" s="278"/>
      <c r="E124" s="278"/>
      <c r="F124" s="278"/>
      <c r="G124" s="278"/>
      <c r="H124" s="278"/>
      <c r="I124" s="278"/>
      <c r="J124" s="278"/>
      <c r="K124" s="278"/>
      <c r="L124" s="278"/>
      <c r="M124" s="278"/>
      <c r="N124" s="14"/>
      <c r="O124" s="14"/>
      <c r="P124" s="14"/>
      <c r="Q124" s="14"/>
    </row>
    <row r="125" spans="1:17" s="20" customFormat="1" ht="11.6">
      <c r="A125" s="29"/>
      <c r="B125" s="29"/>
      <c r="C125" s="29"/>
      <c r="D125" s="29"/>
      <c r="E125" s="29"/>
      <c r="F125" s="29"/>
      <c r="G125" s="29"/>
      <c r="H125" s="29"/>
      <c r="I125" s="29"/>
      <c r="J125" s="29"/>
      <c r="K125" s="29"/>
      <c r="L125" s="29"/>
      <c r="M125" s="29"/>
      <c r="N125" s="29"/>
      <c r="O125" s="29"/>
      <c r="P125" s="29"/>
      <c r="Q125" s="29"/>
    </row>
  </sheetData>
  <sheetProtection algorithmName="SHA-512" hashValue="ZPPQRNkSAWTKznD6Zwu1pwFZ8LdaqOL9dnI9QoBPEYx/2xGb0qgf9d4KJBQh8+fr7Frsfv86Q3A/zN1EUorxqA==" saltValue="ACoQ6RNJNzGaa9gmKoBruQ==" spinCount="100000" sheet="1" sort="0" autoFilter="0" pivotTables="0"/>
  <mergeCells count="86">
    <mergeCell ref="Q39:Q45"/>
    <mergeCell ref="D89:M89"/>
    <mergeCell ref="P39:P45"/>
    <mergeCell ref="B38:D38"/>
    <mergeCell ref="E38:M38"/>
    <mergeCell ref="C54:M54"/>
    <mergeCell ref="O39:O45"/>
    <mergeCell ref="N39:N45"/>
    <mergeCell ref="E41:F41"/>
    <mergeCell ref="E42:F42"/>
    <mergeCell ref="E43:F43"/>
    <mergeCell ref="E44:F44"/>
    <mergeCell ref="E45:F45"/>
    <mergeCell ref="E40:F40"/>
    <mergeCell ref="B39:D45"/>
    <mergeCell ref="C55:M55"/>
    <mergeCell ref="B23:D23"/>
    <mergeCell ref="B124:M124"/>
    <mergeCell ref="B73:M73"/>
    <mergeCell ref="D88:M88"/>
    <mergeCell ref="B50:K50"/>
    <mergeCell ref="E76:F76"/>
    <mergeCell ref="B77:B81"/>
    <mergeCell ref="D91:M91"/>
    <mergeCell ref="E123:M123"/>
    <mergeCell ref="D87:M87"/>
    <mergeCell ref="C56:M56"/>
    <mergeCell ref="C57:M57"/>
    <mergeCell ref="C58:M58"/>
    <mergeCell ref="C59:M59"/>
    <mergeCell ref="G120:M120"/>
    <mergeCell ref="G121:M121"/>
    <mergeCell ref="E32:M32"/>
    <mergeCell ref="E33:M33"/>
    <mergeCell ref="E22:M22"/>
    <mergeCell ref="E24:M24"/>
    <mergeCell ref="E25:M25"/>
    <mergeCell ref="E26:M26"/>
    <mergeCell ref="E23:M23"/>
    <mergeCell ref="E30:M30"/>
    <mergeCell ref="E31:M31"/>
    <mergeCell ref="E27:M27"/>
    <mergeCell ref="E21:M21"/>
    <mergeCell ref="N16:Q16"/>
    <mergeCell ref="E28:M28"/>
    <mergeCell ref="E29:M29"/>
    <mergeCell ref="E18:M18"/>
    <mergeCell ref="E19:M19"/>
    <mergeCell ref="E20:M20"/>
    <mergeCell ref="B17:D17"/>
    <mergeCell ref="B32:D32"/>
    <mergeCell ref="B33:D33"/>
    <mergeCell ref="B34:D34"/>
    <mergeCell ref="B19:D19"/>
    <mergeCell ref="B20:D20"/>
    <mergeCell ref="B21:D21"/>
    <mergeCell ref="B31:D31"/>
    <mergeCell ref="B30:D30"/>
    <mergeCell ref="B24:D24"/>
    <mergeCell ref="B25:D25"/>
    <mergeCell ref="B26:D26"/>
    <mergeCell ref="B28:D28"/>
    <mergeCell ref="B29:D29"/>
    <mergeCell ref="B18:D18"/>
    <mergeCell ref="B22:D22"/>
    <mergeCell ref="B7:Q7"/>
    <mergeCell ref="B8:Q8"/>
    <mergeCell ref="B9:Q9"/>
    <mergeCell ref="B10:Q10"/>
    <mergeCell ref="B15:Q15"/>
    <mergeCell ref="E39:M39"/>
    <mergeCell ref="E37:M37"/>
    <mergeCell ref="E34:M34"/>
    <mergeCell ref="B37:D37"/>
    <mergeCell ref="E121:F121"/>
    <mergeCell ref="D75:H75"/>
    <mergeCell ref="B121:D122"/>
    <mergeCell ref="B120:D120"/>
    <mergeCell ref="E122:F122"/>
    <mergeCell ref="E120:F120"/>
    <mergeCell ref="D90:M90"/>
    <mergeCell ref="B35:D35"/>
    <mergeCell ref="B36:D36"/>
    <mergeCell ref="E35:M35"/>
    <mergeCell ref="E36:M36"/>
    <mergeCell ref="G122:M122"/>
  </mergeCells>
  <pageMargins left="0.70866141732283472" right="0.70866141732283472" top="0.74803149606299213" bottom="0.74803149606299213" header="0.31496062992125984" footer="0.31496062992125984"/>
  <pageSetup paperSize="9" scale="48" fitToHeight="3" orientation="portrait" horizontalDpi="300" verticalDpi="300" r:id="rId1"/>
  <rowBreaks count="2" manualBreakCount="2">
    <brk id="46" max="16" man="1"/>
    <brk id="82"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5C392-76E3-4FF2-B4E9-66EB052480A5}">
  <sheetPr codeName="Sheet15"/>
  <dimension ref="A1:O246"/>
  <sheetViews>
    <sheetView workbookViewId="0">
      <selection activeCell="M16" sqref="M16"/>
    </sheetView>
  </sheetViews>
  <sheetFormatPr defaultColWidth="9.3828125" defaultRowHeight="14.6"/>
  <cols>
    <col min="1" max="1" width="1.53515625" style="2" customWidth="1"/>
    <col min="2" max="2" width="59.53515625" style="2" customWidth="1"/>
    <col min="3" max="16384" width="9.3828125" style="2"/>
  </cols>
  <sheetData>
    <row r="1" spans="1:15" ht="19.3">
      <c r="A1" s="9"/>
      <c r="B1" s="10" t="s">
        <v>169</v>
      </c>
      <c r="C1" s="9"/>
      <c r="D1" s="9"/>
      <c r="E1" s="9"/>
      <c r="F1" s="9"/>
      <c r="G1" s="9"/>
      <c r="H1" s="9"/>
      <c r="I1" s="9"/>
      <c r="J1" s="9"/>
      <c r="K1" s="9"/>
      <c r="L1" s="9"/>
      <c r="M1" s="9"/>
      <c r="N1" s="9"/>
      <c r="O1" s="9"/>
    </row>
    <row r="2" spans="1:15" ht="19.3">
      <c r="A2" s="9"/>
      <c r="B2" s="10"/>
      <c r="C2" s="9"/>
      <c r="D2" s="9"/>
      <c r="E2" s="9"/>
      <c r="F2" s="9"/>
      <c r="G2" s="9"/>
      <c r="H2" s="9"/>
      <c r="I2" s="9"/>
      <c r="J2" s="9"/>
      <c r="K2" s="9"/>
      <c r="L2" s="9"/>
      <c r="M2" s="9"/>
      <c r="N2" s="9"/>
      <c r="O2" s="9"/>
    </row>
    <row r="3" spans="1:15" ht="15">
      <c r="A3" s="9"/>
      <c r="B3" s="306" t="s">
        <v>170</v>
      </c>
      <c r="C3" s="307"/>
      <c r="D3" s="307"/>
      <c r="E3" s="307"/>
      <c r="F3" s="307"/>
      <c r="G3" s="307"/>
      <c r="H3" s="307"/>
      <c r="I3" s="307"/>
      <c r="J3" s="307"/>
      <c r="K3" s="307"/>
      <c r="L3" s="9"/>
      <c r="M3" s="9"/>
      <c r="N3" s="9"/>
      <c r="O3" s="9"/>
    </row>
    <row r="4" spans="1:15" ht="15.45">
      <c r="A4" s="9"/>
      <c r="B4" s="111"/>
      <c r="C4" s="112"/>
      <c r="D4" s="112"/>
      <c r="E4" s="112"/>
      <c r="F4" s="112"/>
      <c r="G4" s="112"/>
      <c r="H4" s="112"/>
      <c r="I4" s="112"/>
      <c r="J4" s="112"/>
      <c r="K4" s="112"/>
      <c r="L4" s="9"/>
      <c r="M4" s="9"/>
      <c r="N4" s="9"/>
      <c r="O4" s="9"/>
    </row>
    <row r="5" spans="1:15">
      <c r="A5" s="9"/>
      <c r="B5" s="11" t="s">
        <v>171</v>
      </c>
      <c r="C5" s="12"/>
      <c r="D5" s="12"/>
      <c r="E5" s="12"/>
      <c r="F5" s="12"/>
      <c r="G5" s="12"/>
      <c r="H5" s="12"/>
      <c r="I5" s="12"/>
      <c r="J5" s="12"/>
      <c r="K5" s="12"/>
      <c r="L5" s="9"/>
      <c r="M5" s="9"/>
      <c r="N5" s="9"/>
      <c r="O5" s="9"/>
    </row>
    <row r="6" spans="1:15">
      <c r="A6" s="9"/>
      <c r="B6" s="12"/>
      <c r="C6" s="12"/>
      <c r="D6" s="12"/>
      <c r="E6" s="12"/>
      <c r="F6" s="12"/>
      <c r="G6" s="12"/>
      <c r="H6" s="12"/>
      <c r="I6" s="12"/>
      <c r="J6" s="12"/>
      <c r="K6" s="12"/>
      <c r="L6" s="9"/>
      <c r="M6" s="9"/>
      <c r="N6" s="9"/>
      <c r="O6" s="9"/>
    </row>
    <row r="7" spans="1:15">
      <c r="A7" s="9"/>
      <c r="B7" s="12"/>
      <c r="C7" s="12"/>
      <c r="D7" s="12"/>
      <c r="E7" s="12"/>
      <c r="F7" s="12"/>
      <c r="G7" s="12"/>
      <c r="H7" s="12"/>
      <c r="I7" s="12"/>
      <c r="J7" s="12"/>
      <c r="K7" s="12"/>
      <c r="L7" s="9"/>
      <c r="M7" s="9"/>
      <c r="N7" s="9"/>
      <c r="O7" s="9"/>
    </row>
    <row r="8" spans="1:15" ht="19.3">
      <c r="A8" s="9"/>
      <c r="B8" s="10"/>
      <c r="C8" s="9"/>
      <c r="D8" s="9"/>
      <c r="E8" s="9"/>
      <c r="F8" s="9"/>
      <c r="G8" s="9"/>
      <c r="H8" s="9"/>
      <c r="I8" s="9"/>
      <c r="J8" s="9"/>
      <c r="K8" s="9"/>
      <c r="L8" s="9"/>
      <c r="M8" s="9"/>
      <c r="N8" s="9"/>
      <c r="O8" s="9"/>
    </row>
    <row r="9" spans="1:15" ht="19.3">
      <c r="A9" s="9"/>
      <c r="B9" s="10"/>
      <c r="C9" s="9"/>
      <c r="D9" s="9"/>
      <c r="E9" s="9"/>
      <c r="F9" s="9"/>
      <c r="G9" s="9"/>
      <c r="H9" s="9"/>
      <c r="I9" s="9"/>
      <c r="J9" s="9"/>
      <c r="K9" s="9"/>
      <c r="L9" s="9"/>
      <c r="M9" s="9"/>
      <c r="N9" s="9"/>
      <c r="O9" s="9"/>
    </row>
    <row r="10" spans="1:15" ht="19.3">
      <c r="A10" s="9"/>
      <c r="B10" s="10"/>
      <c r="C10" s="9"/>
      <c r="D10" s="9"/>
      <c r="E10" s="9"/>
      <c r="F10" s="9"/>
      <c r="G10" s="9"/>
      <c r="H10" s="9"/>
      <c r="I10" s="9"/>
      <c r="J10" s="9"/>
      <c r="K10" s="9"/>
      <c r="L10" s="9"/>
      <c r="M10" s="9"/>
      <c r="N10" s="9"/>
      <c r="O10" s="9"/>
    </row>
    <row r="11" spans="1:15" ht="19.3">
      <c r="A11" s="9"/>
      <c r="B11" s="10"/>
      <c r="C11" s="9"/>
      <c r="D11" s="9"/>
      <c r="E11" s="9"/>
      <c r="F11" s="9"/>
      <c r="G11" s="9"/>
      <c r="H11" s="9"/>
      <c r="I11" s="9"/>
      <c r="J11" s="9"/>
      <c r="K11" s="9"/>
      <c r="L11" s="9"/>
      <c r="M11" s="9"/>
      <c r="N11" s="9"/>
      <c r="O11" s="9"/>
    </row>
    <row r="12" spans="1:15" ht="19.3">
      <c r="A12" s="9"/>
      <c r="B12" s="10"/>
      <c r="C12" s="9"/>
      <c r="D12" s="9"/>
      <c r="E12" s="9"/>
      <c r="F12" s="9"/>
      <c r="G12" s="9"/>
      <c r="H12" s="9"/>
      <c r="I12" s="9"/>
      <c r="J12" s="9"/>
      <c r="K12" s="9"/>
      <c r="L12" s="9"/>
      <c r="M12" s="9"/>
      <c r="N12" s="9"/>
      <c r="O12" s="9"/>
    </row>
    <row r="13" spans="1:15" ht="19.3">
      <c r="A13" s="9"/>
      <c r="B13" s="10"/>
      <c r="C13" s="9"/>
      <c r="D13" s="9"/>
      <c r="E13" s="9"/>
      <c r="F13" s="9"/>
      <c r="G13" s="9"/>
      <c r="H13" s="9"/>
      <c r="I13" s="9"/>
      <c r="J13" s="9"/>
      <c r="K13" s="9"/>
      <c r="L13" s="9"/>
      <c r="M13" s="9"/>
      <c r="N13" s="9"/>
      <c r="O13" s="9"/>
    </row>
    <row r="14" spans="1:15">
      <c r="A14" s="9"/>
      <c r="B14" s="9"/>
      <c r="C14" s="9"/>
      <c r="D14" s="9"/>
      <c r="E14" s="9"/>
      <c r="F14" s="9"/>
      <c r="G14" s="9"/>
      <c r="H14" s="9"/>
      <c r="I14" s="9"/>
      <c r="J14" s="9"/>
      <c r="K14" s="9"/>
      <c r="L14" s="9"/>
      <c r="M14" s="9"/>
      <c r="N14" s="9"/>
      <c r="O14" s="9"/>
    </row>
    <row r="15" spans="1:15">
      <c r="A15" s="9"/>
      <c r="B15" s="13" t="s">
        <v>172</v>
      </c>
      <c r="C15" s="9"/>
      <c r="D15" s="9"/>
      <c r="E15" s="9"/>
      <c r="F15" s="9"/>
      <c r="G15" s="9"/>
      <c r="H15" s="9"/>
      <c r="I15" s="9"/>
      <c r="J15" s="9"/>
      <c r="K15" s="9"/>
      <c r="L15" s="9"/>
      <c r="M15" s="9"/>
      <c r="N15" s="9"/>
      <c r="O15" s="9"/>
    </row>
    <row r="16" spans="1:15">
      <c r="A16" s="9"/>
      <c r="B16" s="9"/>
      <c r="C16" s="9"/>
      <c r="D16" s="9"/>
      <c r="E16" s="9"/>
      <c r="F16" s="9"/>
      <c r="G16" s="9"/>
      <c r="H16" s="9"/>
      <c r="I16" s="9"/>
      <c r="J16" s="9"/>
      <c r="K16" s="9"/>
      <c r="L16" s="9"/>
      <c r="M16" s="9"/>
      <c r="N16" s="9"/>
      <c r="O16" s="9"/>
    </row>
    <row r="17" spans="1:15" s="18" customFormat="1" ht="60.75" customHeight="1">
      <c r="A17" s="14"/>
      <c r="B17" s="279" t="s">
        <v>173</v>
      </c>
      <c r="C17" s="279"/>
      <c r="D17" s="279"/>
      <c r="E17" s="279"/>
      <c r="F17" s="279"/>
      <c r="G17" s="279"/>
      <c r="H17" s="279"/>
      <c r="I17" s="279"/>
      <c r="J17" s="279"/>
      <c r="K17" s="279"/>
      <c r="L17" s="14"/>
      <c r="M17" s="14"/>
      <c r="N17" s="14"/>
      <c r="O17" s="14"/>
    </row>
    <row r="18" spans="1:15">
      <c r="A18" s="9"/>
      <c r="B18" s="9"/>
      <c r="C18" s="9"/>
      <c r="D18" s="9"/>
      <c r="E18" s="9"/>
      <c r="F18" s="9"/>
      <c r="G18" s="9"/>
      <c r="H18" s="9"/>
      <c r="I18" s="9"/>
      <c r="J18" s="9"/>
      <c r="K18" s="9"/>
      <c r="L18" s="9"/>
      <c r="M18" s="9"/>
      <c r="N18" s="9"/>
      <c r="O18" s="9"/>
    </row>
    <row r="19" spans="1:15">
      <c r="A19" s="9"/>
      <c r="B19" s="11" t="s">
        <v>174</v>
      </c>
      <c r="C19" s="9"/>
      <c r="D19" s="9"/>
      <c r="E19" s="9"/>
      <c r="F19" s="9"/>
      <c r="G19" s="9"/>
      <c r="H19" s="9"/>
      <c r="I19" s="9"/>
      <c r="J19" s="9"/>
      <c r="K19" s="9"/>
      <c r="L19" s="9"/>
      <c r="M19" s="9"/>
      <c r="N19" s="9"/>
      <c r="O19" s="9"/>
    </row>
    <row r="20" spans="1:15">
      <c r="A20" s="9"/>
      <c r="B20" s="9"/>
      <c r="C20" s="9"/>
      <c r="D20" s="9"/>
      <c r="E20" s="9"/>
      <c r="F20" s="9"/>
      <c r="G20" s="9"/>
      <c r="H20" s="9"/>
      <c r="I20" s="9"/>
      <c r="J20" s="9"/>
      <c r="K20" s="9"/>
      <c r="L20" s="9"/>
      <c r="M20" s="9"/>
      <c r="N20" s="9"/>
      <c r="O20" s="9"/>
    </row>
    <row r="21" spans="1:15">
      <c r="A21" s="9"/>
      <c r="B21" s="9"/>
      <c r="C21" s="9"/>
      <c r="D21" s="9"/>
      <c r="E21" s="9"/>
      <c r="F21" s="9"/>
      <c r="G21" s="9"/>
      <c r="H21" s="9"/>
      <c r="I21" s="9"/>
      <c r="J21" s="9"/>
      <c r="K21" s="9"/>
      <c r="L21" s="9"/>
      <c r="M21" s="9"/>
      <c r="N21" s="9"/>
      <c r="O21" s="9"/>
    </row>
    <row r="22" spans="1:15">
      <c r="A22" s="9"/>
      <c r="B22" s="9"/>
      <c r="C22" s="9"/>
      <c r="D22" s="9"/>
      <c r="E22" s="9"/>
      <c r="F22" s="9"/>
      <c r="G22" s="9"/>
      <c r="H22" s="9"/>
      <c r="I22" s="9"/>
      <c r="J22" s="9"/>
      <c r="K22" s="9"/>
      <c r="L22" s="9"/>
      <c r="M22" s="9"/>
      <c r="N22" s="9"/>
      <c r="O22" s="9"/>
    </row>
    <row r="23" spans="1:15">
      <c r="A23" s="9"/>
      <c r="B23" s="9"/>
      <c r="C23" s="9"/>
      <c r="D23" s="9"/>
      <c r="E23" s="9"/>
      <c r="F23" s="9"/>
      <c r="G23" s="9"/>
      <c r="H23" s="9"/>
      <c r="I23" s="9"/>
      <c r="J23" s="9"/>
      <c r="K23" s="9"/>
      <c r="L23" s="9"/>
      <c r="M23" s="9"/>
      <c r="N23" s="9"/>
      <c r="O23" s="9"/>
    </row>
    <row r="24" spans="1:15">
      <c r="A24" s="9"/>
      <c r="B24" s="9"/>
      <c r="C24" s="9"/>
      <c r="D24" s="9"/>
      <c r="E24" s="9"/>
      <c r="F24" s="9"/>
      <c r="G24" s="9"/>
      <c r="H24" s="9"/>
      <c r="I24" s="9"/>
      <c r="J24" s="9"/>
      <c r="K24" s="9"/>
      <c r="L24" s="9"/>
      <c r="M24" s="9"/>
      <c r="N24" s="9"/>
      <c r="O24" s="9"/>
    </row>
    <row r="25" spans="1:15">
      <c r="A25" s="9"/>
      <c r="B25" s="9"/>
      <c r="C25" s="9"/>
      <c r="D25" s="9"/>
      <c r="E25" s="9"/>
      <c r="F25" s="9"/>
      <c r="G25" s="9"/>
      <c r="H25" s="9"/>
      <c r="I25" s="9"/>
      <c r="J25" s="9"/>
      <c r="K25" s="9"/>
      <c r="L25" s="9"/>
      <c r="M25" s="9"/>
      <c r="N25" s="9"/>
      <c r="O25" s="9"/>
    </row>
    <row r="26" spans="1:15">
      <c r="A26" s="9"/>
      <c r="B26" s="9"/>
      <c r="C26" s="9"/>
      <c r="D26" s="9"/>
      <c r="E26" s="9"/>
      <c r="F26" s="9"/>
      <c r="G26" s="9"/>
      <c r="H26" s="9"/>
      <c r="I26" s="9"/>
      <c r="J26" s="9"/>
      <c r="K26" s="9"/>
      <c r="L26" s="9"/>
      <c r="M26" s="9"/>
      <c r="N26" s="9"/>
      <c r="O26" s="9"/>
    </row>
    <row r="27" spans="1:15">
      <c r="A27" s="9"/>
      <c r="B27" s="9"/>
      <c r="C27" s="9"/>
      <c r="D27" s="9"/>
      <c r="E27" s="9"/>
      <c r="F27" s="9"/>
      <c r="G27" s="9"/>
      <c r="H27" s="9"/>
      <c r="I27" s="9"/>
      <c r="J27" s="9"/>
      <c r="K27" s="9"/>
      <c r="L27" s="9"/>
      <c r="M27" s="9"/>
      <c r="N27" s="9"/>
      <c r="O27" s="9"/>
    </row>
    <row r="28" spans="1:15">
      <c r="A28" s="9"/>
      <c r="B28" s="9"/>
      <c r="C28" s="9"/>
      <c r="D28" s="9"/>
      <c r="E28" s="9"/>
      <c r="F28" s="9"/>
      <c r="G28" s="9"/>
      <c r="H28" s="9"/>
      <c r="I28" s="9"/>
      <c r="J28" s="9"/>
      <c r="K28" s="9"/>
      <c r="L28" s="9"/>
      <c r="M28" s="9"/>
      <c r="N28" s="9"/>
      <c r="O28" s="9"/>
    </row>
    <row r="29" spans="1:15">
      <c r="A29" s="9"/>
      <c r="B29" s="9"/>
      <c r="C29" s="9"/>
      <c r="D29" s="9"/>
      <c r="E29" s="9"/>
      <c r="F29" s="9"/>
      <c r="G29" s="9"/>
      <c r="H29" s="9"/>
      <c r="I29" s="9"/>
      <c r="J29" s="9"/>
      <c r="K29" s="9"/>
      <c r="L29" s="9"/>
      <c r="M29" s="9"/>
      <c r="N29" s="9"/>
      <c r="O29" s="9"/>
    </row>
    <row r="30" spans="1:15">
      <c r="A30" s="9"/>
      <c r="B30" s="9"/>
      <c r="C30" s="9"/>
      <c r="D30" s="9"/>
      <c r="E30" s="9"/>
      <c r="F30" s="9"/>
      <c r="G30" s="9"/>
      <c r="H30" s="9"/>
      <c r="I30" s="9"/>
      <c r="J30" s="9"/>
      <c r="K30" s="9"/>
      <c r="L30" s="9"/>
      <c r="M30" s="9"/>
      <c r="N30" s="9"/>
      <c r="O30" s="9"/>
    </row>
    <row r="31" spans="1:15">
      <c r="A31" s="9"/>
      <c r="B31" s="9"/>
      <c r="C31" s="9"/>
      <c r="D31" s="9"/>
      <c r="E31" s="9"/>
      <c r="F31" s="9"/>
      <c r="G31" s="9"/>
      <c r="H31" s="9"/>
      <c r="I31" s="9"/>
      <c r="J31" s="9"/>
      <c r="K31" s="9"/>
      <c r="L31" s="9"/>
      <c r="M31" s="9"/>
      <c r="N31" s="9"/>
      <c r="O31" s="9"/>
    </row>
    <row r="32" spans="1:15">
      <c r="A32" s="9"/>
      <c r="B32" s="9"/>
      <c r="C32" s="9"/>
      <c r="D32" s="9"/>
      <c r="E32" s="9"/>
      <c r="F32" s="9"/>
      <c r="G32" s="9"/>
      <c r="H32" s="9"/>
      <c r="I32" s="9"/>
      <c r="J32" s="9"/>
      <c r="K32" s="9"/>
      <c r="L32" s="9"/>
      <c r="M32" s="9"/>
      <c r="N32" s="9"/>
      <c r="O32" s="9"/>
    </row>
    <row r="33" spans="1:15">
      <c r="A33" s="9"/>
      <c r="B33" s="9"/>
      <c r="C33" s="9"/>
      <c r="D33" s="9"/>
      <c r="E33" s="9"/>
      <c r="F33" s="9"/>
      <c r="G33" s="9"/>
      <c r="H33" s="9"/>
      <c r="I33" s="9"/>
      <c r="J33" s="9"/>
      <c r="K33" s="9"/>
      <c r="L33" s="9"/>
      <c r="M33" s="9"/>
      <c r="N33" s="9"/>
      <c r="O33" s="9"/>
    </row>
    <row r="34" spans="1:15">
      <c r="A34" s="9"/>
      <c r="B34" s="9"/>
      <c r="C34" s="9"/>
      <c r="D34" s="9"/>
      <c r="E34" s="9"/>
      <c r="F34" s="9"/>
      <c r="G34" s="9"/>
      <c r="H34" s="9"/>
      <c r="I34" s="9"/>
      <c r="J34" s="9"/>
      <c r="K34" s="9"/>
      <c r="L34" s="9"/>
      <c r="M34" s="9"/>
      <c r="N34" s="9"/>
      <c r="O34" s="9"/>
    </row>
    <row r="35" spans="1:15">
      <c r="A35" s="9"/>
      <c r="B35" s="9"/>
      <c r="C35" s="9"/>
      <c r="D35" s="9"/>
      <c r="E35" s="9"/>
      <c r="F35" s="9"/>
      <c r="G35" s="9"/>
      <c r="H35" s="9"/>
      <c r="I35" s="9"/>
      <c r="J35" s="9"/>
      <c r="K35" s="9"/>
      <c r="L35" s="9"/>
      <c r="M35" s="9"/>
      <c r="N35" s="9"/>
      <c r="O35" s="9"/>
    </row>
    <row r="36" spans="1:15">
      <c r="A36" s="9"/>
      <c r="B36" s="9"/>
      <c r="C36" s="9"/>
      <c r="D36" s="9"/>
      <c r="E36" s="9"/>
      <c r="F36" s="9"/>
      <c r="G36" s="9"/>
      <c r="H36" s="9"/>
      <c r="I36" s="9"/>
      <c r="J36" s="9"/>
      <c r="K36" s="9"/>
      <c r="L36" s="9"/>
      <c r="M36" s="9"/>
      <c r="N36" s="9"/>
      <c r="O36" s="9"/>
    </row>
    <row r="37" spans="1:15">
      <c r="A37" s="9"/>
      <c r="B37" s="9"/>
      <c r="C37" s="9"/>
      <c r="D37" s="9"/>
      <c r="E37" s="9"/>
      <c r="F37" s="9"/>
      <c r="G37" s="9"/>
      <c r="H37" s="9"/>
      <c r="I37" s="9"/>
      <c r="J37" s="9"/>
      <c r="K37" s="9"/>
      <c r="L37" s="9"/>
      <c r="M37" s="9"/>
      <c r="N37" s="9"/>
      <c r="O37" s="9"/>
    </row>
    <row r="38" spans="1:15">
      <c r="A38" s="9"/>
      <c r="B38" s="9"/>
      <c r="C38" s="9"/>
      <c r="D38" s="9"/>
      <c r="E38" s="9"/>
      <c r="F38" s="9"/>
      <c r="G38" s="9"/>
      <c r="H38" s="9"/>
      <c r="I38" s="9"/>
      <c r="J38" s="9"/>
      <c r="K38" s="9"/>
      <c r="L38" s="9"/>
      <c r="M38" s="9"/>
      <c r="N38" s="9"/>
      <c r="O38" s="9"/>
    </row>
    <row r="39" spans="1:15">
      <c r="A39" s="9"/>
      <c r="B39" s="9"/>
      <c r="C39" s="9"/>
      <c r="D39" s="9"/>
      <c r="E39" s="9"/>
      <c r="F39" s="9"/>
      <c r="G39" s="9"/>
      <c r="H39" s="9"/>
      <c r="I39" s="9"/>
      <c r="J39" s="9"/>
      <c r="K39" s="9"/>
      <c r="L39" s="9"/>
      <c r="M39" s="9"/>
      <c r="N39" s="9"/>
      <c r="O39" s="9"/>
    </row>
    <row r="40" spans="1:15">
      <c r="A40" s="9"/>
      <c r="B40" s="9"/>
      <c r="C40" s="9"/>
      <c r="D40" s="9"/>
      <c r="E40" s="9"/>
      <c r="F40" s="9"/>
      <c r="G40" s="9"/>
      <c r="H40" s="9"/>
      <c r="I40" s="9"/>
      <c r="J40" s="9"/>
      <c r="K40" s="9"/>
      <c r="L40" s="9"/>
      <c r="M40" s="9"/>
      <c r="N40" s="9"/>
      <c r="O40" s="9"/>
    </row>
    <row r="41" spans="1:15">
      <c r="A41" s="9"/>
      <c r="B41" s="9"/>
      <c r="C41" s="9"/>
      <c r="D41" s="9"/>
      <c r="E41" s="9"/>
      <c r="F41" s="9"/>
      <c r="G41" s="9"/>
      <c r="H41" s="9"/>
      <c r="I41" s="9"/>
      <c r="J41" s="9"/>
      <c r="K41" s="9"/>
      <c r="L41" s="9"/>
      <c r="M41" s="9"/>
      <c r="N41" s="9"/>
      <c r="O41" s="9"/>
    </row>
    <row r="42" spans="1:15">
      <c r="A42" s="9"/>
      <c r="B42" s="9"/>
      <c r="C42" s="9"/>
      <c r="D42" s="9"/>
      <c r="E42" s="9"/>
      <c r="F42" s="9"/>
      <c r="G42" s="9"/>
      <c r="H42" s="9"/>
      <c r="I42" s="9"/>
      <c r="J42" s="9"/>
      <c r="K42" s="9"/>
      <c r="L42" s="9"/>
      <c r="M42" s="9"/>
      <c r="N42" s="9"/>
      <c r="O42" s="9"/>
    </row>
    <row r="43" spans="1:15">
      <c r="A43" s="9"/>
      <c r="B43" s="9"/>
      <c r="C43" s="9"/>
      <c r="D43" s="9"/>
      <c r="E43" s="9"/>
      <c r="F43" s="9"/>
      <c r="G43" s="9"/>
      <c r="H43" s="9"/>
      <c r="I43" s="9"/>
      <c r="J43" s="9"/>
      <c r="K43" s="9"/>
      <c r="L43" s="9"/>
      <c r="M43" s="9"/>
      <c r="N43" s="9"/>
      <c r="O43" s="9"/>
    </row>
    <row r="44" spans="1:15">
      <c r="A44" s="9"/>
      <c r="B44" s="9"/>
      <c r="C44" s="9"/>
      <c r="D44" s="9"/>
      <c r="E44" s="9"/>
      <c r="F44" s="9"/>
      <c r="G44" s="9"/>
      <c r="H44" s="9"/>
      <c r="I44" s="9"/>
      <c r="J44" s="9"/>
      <c r="K44" s="9"/>
      <c r="L44" s="9"/>
      <c r="M44" s="9"/>
      <c r="N44" s="9"/>
      <c r="O44" s="9"/>
    </row>
    <row r="45" spans="1:15">
      <c r="A45" s="9"/>
      <c r="B45" s="9"/>
      <c r="C45" s="9"/>
      <c r="D45" s="9"/>
      <c r="E45" s="9"/>
      <c r="F45" s="9"/>
      <c r="G45" s="9"/>
      <c r="H45" s="9"/>
      <c r="I45" s="9"/>
      <c r="J45" s="9"/>
      <c r="K45" s="9"/>
      <c r="L45" s="9"/>
      <c r="M45" s="9"/>
      <c r="N45" s="9"/>
      <c r="O45" s="9"/>
    </row>
    <row r="46" spans="1:15">
      <c r="A46" s="9"/>
      <c r="B46" s="9"/>
      <c r="C46" s="9"/>
      <c r="D46" s="9"/>
      <c r="E46" s="9"/>
      <c r="F46" s="9"/>
      <c r="G46" s="9"/>
      <c r="H46" s="9"/>
      <c r="I46" s="9"/>
      <c r="J46" s="9"/>
      <c r="K46" s="9"/>
      <c r="L46" s="9"/>
      <c r="M46" s="9"/>
      <c r="N46" s="9"/>
      <c r="O46" s="9"/>
    </row>
    <row r="47" spans="1:15">
      <c r="A47" s="9"/>
      <c r="B47" s="9"/>
      <c r="C47" s="9"/>
      <c r="D47" s="9"/>
      <c r="E47" s="9"/>
      <c r="F47" s="9"/>
      <c r="G47" s="9"/>
      <c r="H47" s="9"/>
      <c r="I47" s="9"/>
      <c r="J47" s="9"/>
      <c r="K47" s="9"/>
      <c r="L47" s="9"/>
      <c r="M47" s="9"/>
      <c r="N47" s="9"/>
      <c r="O47" s="9"/>
    </row>
    <row r="48" spans="1:15">
      <c r="A48" s="9"/>
      <c r="B48" s="9"/>
      <c r="C48" s="9"/>
      <c r="D48" s="9"/>
      <c r="E48" s="9"/>
      <c r="F48" s="9"/>
      <c r="G48" s="9"/>
      <c r="H48" s="9"/>
      <c r="I48" s="9"/>
      <c r="J48" s="9"/>
      <c r="K48" s="9"/>
      <c r="L48" s="9"/>
      <c r="M48" s="9"/>
      <c r="N48" s="9"/>
      <c r="O48" s="9"/>
    </row>
    <row r="49" spans="1:15">
      <c r="A49" s="9"/>
      <c r="B49" s="9"/>
      <c r="C49" s="9"/>
      <c r="D49" s="9"/>
      <c r="E49" s="9"/>
      <c r="F49" s="9"/>
      <c r="G49" s="9"/>
      <c r="H49" s="9"/>
      <c r="I49" s="9"/>
      <c r="J49" s="9"/>
      <c r="K49" s="9"/>
      <c r="L49" s="9"/>
      <c r="M49" s="9"/>
      <c r="N49" s="9"/>
      <c r="O49" s="9"/>
    </row>
    <row r="50" spans="1:15">
      <c r="A50" s="9"/>
      <c r="B50" s="9"/>
      <c r="C50" s="9"/>
      <c r="D50" s="9"/>
      <c r="E50" s="9"/>
      <c r="F50" s="9"/>
      <c r="G50" s="9"/>
      <c r="H50" s="9"/>
      <c r="I50" s="9"/>
      <c r="J50" s="9"/>
      <c r="K50" s="9"/>
      <c r="L50" s="9"/>
      <c r="M50" s="9"/>
      <c r="N50" s="9"/>
      <c r="O50" s="9"/>
    </row>
    <row r="51" spans="1:15">
      <c r="A51" s="9"/>
      <c r="B51" s="9"/>
      <c r="C51" s="9"/>
      <c r="D51" s="9"/>
      <c r="E51" s="9"/>
      <c r="F51" s="9"/>
      <c r="G51" s="9"/>
      <c r="H51" s="9"/>
      <c r="I51" s="9"/>
      <c r="J51" s="9"/>
      <c r="K51" s="9"/>
      <c r="L51" s="9"/>
      <c r="M51" s="9"/>
      <c r="N51" s="9"/>
      <c r="O51" s="9"/>
    </row>
    <row r="52" spans="1:15">
      <c r="A52" s="9"/>
      <c r="B52" s="9"/>
      <c r="C52" s="9"/>
      <c r="D52" s="9"/>
      <c r="E52" s="9"/>
      <c r="F52" s="9"/>
      <c r="G52" s="9"/>
      <c r="H52" s="9"/>
      <c r="I52" s="9"/>
      <c r="J52" s="9"/>
      <c r="K52" s="9"/>
      <c r="L52" s="9"/>
      <c r="M52" s="9"/>
      <c r="N52" s="9"/>
      <c r="O52" s="9"/>
    </row>
    <row r="53" spans="1:15">
      <c r="A53" s="9"/>
      <c r="B53" s="9"/>
      <c r="C53" s="9"/>
      <c r="D53" s="9"/>
      <c r="E53" s="9"/>
      <c r="F53" s="9"/>
      <c r="G53" s="9"/>
      <c r="H53" s="9"/>
      <c r="I53" s="9"/>
      <c r="J53" s="9"/>
      <c r="K53" s="9"/>
      <c r="L53" s="9"/>
      <c r="M53" s="9"/>
      <c r="N53" s="9"/>
      <c r="O53" s="9"/>
    </row>
    <row r="54" spans="1:15">
      <c r="A54" s="9"/>
      <c r="B54" s="9"/>
      <c r="C54" s="9"/>
      <c r="D54" s="9"/>
      <c r="E54" s="9"/>
      <c r="F54" s="9"/>
      <c r="G54" s="9"/>
      <c r="H54" s="9"/>
      <c r="I54" s="9"/>
      <c r="J54" s="9"/>
      <c r="K54" s="9"/>
      <c r="L54" s="9"/>
      <c r="M54" s="9"/>
      <c r="N54" s="9"/>
      <c r="O54" s="9"/>
    </row>
    <row r="55" spans="1:15">
      <c r="A55" s="9"/>
      <c r="B55" s="9"/>
      <c r="C55" s="9"/>
      <c r="D55" s="9"/>
      <c r="E55" s="9"/>
      <c r="F55" s="9"/>
      <c r="G55" s="9"/>
      <c r="H55" s="9"/>
      <c r="I55" s="9"/>
      <c r="J55" s="9"/>
      <c r="K55" s="9"/>
      <c r="L55" s="9"/>
      <c r="M55" s="9"/>
      <c r="N55" s="9"/>
      <c r="O55" s="9"/>
    </row>
    <row r="56" spans="1:15">
      <c r="A56" s="9"/>
      <c r="B56" s="9"/>
      <c r="C56" s="9"/>
      <c r="D56" s="9"/>
      <c r="E56" s="9"/>
      <c r="F56" s="9"/>
      <c r="G56" s="9"/>
      <c r="H56" s="9"/>
      <c r="I56" s="9"/>
      <c r="J56" s="9"/>
      <c r="K56" s="9"/>
      <c r="L56" s="9"/>
      <c r="M56" s="9"/>
      <c r="N56" s="9"/>
      <c r="O56" s="9"/>
    </row>
    <row r="57" spans="1:15">
      <c r="A57" s="9"/>
      <c r="B57" s="9"/>
      <c r="C57" s="9"/>
      <c r="D57" s="9"/>
      <c r="E57" s="9"/>
      <c r="F57" s="9"/>
      <c r="G57" s="9"/>
      <c r="H57" s="9"/>
      <c r="I57" s="9"/>
      <c r="J57" s="9"/>
      <c r="K57" s="9"/>
      <c r="L57" s="9"/>
      <c r="M57" s="9"/>
      <c r="N57" s="9"/>
      <c r="O57" s="9"/>
    </row>
    <row r="58" spans="1:15">
      <c r="A58" s="9"/>
      <c r="B58" s="9"/>
      <c r="C58" s="9"/>
      <c r="D58" s="9"/>
      <c r="E58" s="9"/>
      <c r="F58" s="9"/>
      <c r="G58" s="9"/>
      <c r="H58" s="9"/>
      <c r="I58" s="9"/>
      <c r="J58" s="9"/>
      <c r="K58" s="9"/>
      <c r="L58" s="9"/>
      <c r="M58" s="9"/>
      <c r="N58" s="9"/>
      <c r="O58" s="9"/>
    </row>
    <row r="59" spans="1:15">
      <c r="A59" s="9"/>
      <c r="B59" s="9"/>
      <c r="C59" s="9"/>
      <c r="D59" s="9"/>
      <c r="E59" s="9"/>
      <c r="F59" s="9"/>
      <c r="G59" s="9"/>
      <c r="H59" s="9"/>
      <c r="I59" s="9"/>
      <c r="J59" s="9"/>
      <c r="K59" s="9"/>
      <c r="L59" s="9"/>
      <c r="M59" s="9"/>
      <c r="N59" s="9"/>
      <c r="O59" s="9"/>
    </row>
    <row r="60" spans="1:15">
      <c r="A60" s="9"/>
      <c r="B60" s="9"/>
      <c r="C60" s="9"/>
      <c r="D60" s="9"/>
      <c r="E60" s="9"/>
      <c r="F60" s="9"/>
      <c r="G60" s="9"/>
      <c r="H60" s="9"/>
      <c r="I60" s="9"/>
      <c r="J60" s="9"/>
      <c r="K60" s="9"/>
      <c r="L60" s="9"/>
      <c r="M60" s="9"/>
      <c r="N60" s="9"/>
      <c r="O60" s="9"/>
    </row>
    <row r="61" spans="1:15" ht="16.3">
      <c r="A61" s="9"/>
      <c r="B61" s="15" t="s">
        <v>175</v>
      </c>
      <c r="C61" s="9"/>
      <c r="D61" s="9"/>
      <c r="E61" s="9"/>
      <c r="F61" s="9"/>
      <c r="G61" s="9"/>
      <c r="H61" s="9"/>
      <c r="I61" s="9"/>
      <c r="J61" s="9"/>
      <c r="K61" s="9"/>
      <c r="L61" s="9"/>
      <c r="M61" s="9"/>
      <c r="N61" s="9"/>
      <c r="O61" s="9"/>
    </row>
    <row r="62" spans="1:15">
      <c r="A62" s="9"/>
      <c r="B62" s="9"/>
      <c r="C62" s="9"/>
      <c r="D62" s="9"/>
      <c r="E62" s="9"/>
      <c r="F62" s="9"/>
      <c r="G62" s="9"/>
      <c r="H62" s="9"/>
      <c r="I62" s="9"/>
      <c r="J62" s="9"/>
      <c r="K62" s="9"/>
      <c r="L62" s="9"/>
      <c r="M62" s="9"/>
      <c r="N62" s="9"/>
      <c r="O62" s="9"/>
    </row>
    <row r="63" spans="1:15" ht="51" customHeight="1">
      <c r="A63" s="9"/>
      <c r="B63" s="279" t="s">
        <v>176</v>
      </c>
      <c r="C63" s="279"/>
      <c r="D63" s="279"/>
      <c r="E63" s="279"/>
      <c r="F63" s="279"/>
      <c r="G63" s="279"/>
      <c r="H63" s="279"/>
      <c r="I63" s="279"/>
      <c r="J63" s="279"/>
      <c r="K63" s="279"/>
      <c r="L63" s="9"/>
      <c r="M63" s="9"/>
      <c r="N63" s="9"/>
      <c r="O63" s="9"/>
    </row>
    <row r="64" spans="1:15">
      <c r="A64" s="9"/>
      <c r="B64" s="9"/>
      <c r="C64" s="9"/>
      <c r="D64" s="9"/>
      <c r="E64" s="9"/>
      <c r="F64" s="9"/>
      <c r="G64" s="9"/>
      <c r="H64" s="9"/>
      <c r="I64" s="9"/>
      <c r="J64" s="9"/>
      <c r="K64" s="9"/>
      <c r="L64" s="9"/>
      <c r="M64" s="9"/>
      <c r="N64" s="9"/>
      <c r="O64" s="9"/>
    </row>
    <row r="65" spans="1:15">
      <c r="A65" s="9"/>
      <c r="B65" s="13" t="s">
        <v>177</v>
      </c>
      <c r="C65" s="9"/>
      <c r="D65" s="9"/>
      <c r="E65" s="9"/>
      <c r="F65" s="9"/>
      <c r="G65" s="9"/>
      <c r="H65" s="9"/>
      <c r="I65" s="9"/>
      <c r="J65" s="9"/>
      <c r="K65" s="9"/>
      <c r="L65" s="9"/>
      <c r="M65" s="9"/>
      <c r="N65" s="9"/>
      <c r="O65" s="9"/>
    </row>
    <row r="66" spans="1:15">
      <c r="A66" s="9"/>
      <c r="B66" s="13"/>
      <c r="C66" s="9"/>
      <c r="D66" s="9"/>
      <c r="E66" s="9"/>
      <c r="F66" s="9"/>
      <c r="G66" s="9"/>
      <c r="H66" s="9"/>
      <c r="I66" s="9"/>
      <c r="J66" s="9"/>
      <c r="K66" s="9"/>
      <c r="L66" s="9"/>
      <c r="M66" s="9"/>
      <c r="N66" s="9"/>
      <c r="O66" s="9"/>
    </row>
    <row r="67" spans="1:15">
      <c r="A67" s="9"/>
      <c r="B67" s="16" t="s">
        <v>178</v>
      </c>
      <c r="C67" s="9"/>
      <c r="D67" s="9"/>
      <c r="E67" s="9"/>
      <c r="F67" s="9"/>
      <c r="G67" s="9"/>
      <c r="H67" s="9"/>
      <c r="I67" s="9"/>
      <c r="J67" s="9"/>
      <c r="K67" s="9"/>
      <c r="L67" s="9"/>
      <c r="M67" s="9"/>
      <c r="N67" s="9"/>
      <c r="O67" s="9"/>
    </row>
    <row r="68" spans="1:15">
      <c r="A68" s="9"/>
      <c r="B68" s="4"/>
      <c r="C68" s="9"/>
      <c r="D68" s="9"/>
      <c r="E68" s="9"/>
      <c r="F68" s="9"/>
      <c r="G68" s="9"/>
      <c r="H68" s="9"/>
      <c r="I68" s="9"/>
      <c r="J68" s="9"/>
      <c r="K68" s="9"/>
      <c r="L68" s="9"/>
      <c r="M68" s="9"/>
      <c r="N68" s="9"/>
      <c r="O68" s="9"/>
    </row>
    <row r="69" spans="1:15" ht="27.65" customHeight="1">
      <c r="A69" s="9"/>
      <c r="B69" s="279" t="s">
        <v>179</v>
      </c>
      <c r="C69" s="279"/>
      <c r="D69" s="279"/>
      <c r="E69" s="279"/>
      <c r="F69" s="279"/>
      <c r="G69" s="279"/>
      <c r="H69" s="279"/>
      <c r="I69" s="279"/>
      <c r="J69" s="279"/>
      <c r="K69" s="279"/>
      <c r="L69" s="9"/>
      <c r="M69" s="9"/>
      <c r="N69" s="9"/>
      <c r="O69" s="9"/>
    </row>
    <row r="70" spans="1:15">
      <c r="A70" s="9"/>
      <c r="B70" s="9"/>
      <c r="C70" s="9"/>
      <c r="D70" s="9"/>
      <c r="E70" s="9"/>
      <c r="F70" s="9"/>
      <c r="G70" s="9"/>
      <c r="H70" s="9"/>
      <c r="I70" s="9"/>
      <c r="J70" s="9"/>
      <c r="K70" s="9"/>
      <c r="L70" s="9"/>
      <c r="M70" s="9"/>
      <c r="N70" s="9"/>
      <c r="O70" s="9"/>
    </row>
    <row r="71" spans="1:15">
      <c r="A71" s="9"/>
      <c r="B71" s="11" t="s">
        <v>180</v>
      </c>
      <c r="C71" s="9"/>
      <c r="D71" s="9"/>
      <c r="E71" s="9"/>
      <c r="F71" s="9"/>
      <c r="G71" s="9"/>
      <c r="H71" s="9"/>
      <c r="I71" s="9"/>
      <c r="J71" s="9"/>
      <c r="K71" s="9"/>
      <c r="L71" s="9"/>
      <c r="M71" s="9"/>
      <c r="N71" s="9"/>
      <c r="O71" s="9"/>
    </row>
    <row r="72" spans="1:15">
      <c r="A72" s="9"/>
      <c r="B72" s="9"/>
      <c r="C72" s="9"/>
      <c r="D72" s="9"/>
      <c r="E72" s="9"/>
      <c r="F72" s="9"/>
      <c r="G72" s="9"/>
      <c r="H72" s="9"/>
      <c r="I72" s="9"/>
      <c r="J72" s="9"/>
      <c r="K72" s="9"/>
      <c r="L72" s="9"/>
      <c r="M72" s="9"/>
      <c r="N72" s="9"/>
      <c r="O72" s="9"/>
    </row>
    <row r="73" spans="1:15">
      <c r="A73" s="9"/>
      <c r="B73" s="9"/>
      <c r="C73" s="9"/>
      <c r="D73" s="9"/>
      <c r="E73" s="9"/>
      <c r="F73" s="9"/>
      <c r="G73" s="9"/>
      <c r="H73" s="9"/>
      <c r="I73" s="9"/>
      <c r="J73" s="9"/>
      <c r="K73" s="9"/>
      <c r="L73" s="9"/>
      <c r="M73" s="9"/>
      <c r="N73" s="9"/>
      <c r="O73" s="9"/>
    </row>
    <row r="74" spans="1:15">
      <c r="A74" s="9"/>
      <c r="B74" s="9"/>
      <c r="C74" s="9"/>
      <c r="D74" s="9"/>
      <c r="E74" s="9"/>
      <c r="F74" s="9"/>
      <c r="G74" s="9"/>
      <c r="H74" s="9"/>
      <c r="I74" s="9"/>
      <c r="J74" s="9"/>
      <c r="K74" s="9"/>
      <c r="L74" s="9"/>
      <c r="M74" s="9"/>
      <c r="N74" s="9"/>
      <c r="O74" s="9"/>
    </row>
    <row r="75" spans="1:15">
      <c r="A75" s="9"/>
      <c r="B75" s="9"/>
      <c r="C75" s="9"/>
      <c r="D75" s="9"/>
      <c r="E75" s="9"/>
      <c r="F75" s="9"/>
      <c r="G75" s="9"/>
      <c r="H75" s="9"/>
      <c r="I75" s="9"/>
      <c r="J75" s="9"/>
      <c r="K75" s="9"/>
      <c r="L75" s="9"/>
      <c r="M75" s="9"/>
      <c r="N75" s="9"/>
      <c r="O75" s="9"/>
    </row>
    <row r="76" spans="1:15">
      <c r="A76" s="9"/>
      <c r="B76" s="9"/>
      <c r="C76" s="9"/>
      <c r="D76" s="9"/>
      <c r="E76" s="9"/>
      <c r="F76" s="9"/>
      <c r="G76" s="9"/>
      <c r="H76" s="9"/>
      <c r="I76" s="9"/>
      <c r="J76" s="9"/>
      <c r="K76" s="9"/>
      <c r="L76" s="9"/>
      <c r="M76" s="9"/>
      <c r="N76" s="9"/>
      <c r="O76" s="9"/>
    </row>
    <row r="77" spans="1:15">
      <c r="A77" s="9"/>
      <c r="B77" s="9"/>
      <c r="C77" s="9"/>
      <c r="D77" s="9"/>
      <c r="E77" s="9"/>
      <c r="F77" s="9"/>
      <c r="G77" s="9"/>
      <c r="H77" s="9"/>
      <c r="I77" s="9"/>
      <c r="J77" s="9"/>
      <c r="K77" s="9"/>
      <c r="L77" s="9"/>
      <c r="M77" s="9"/>
      <c r="N77" s="9"/>
      <c r="O77" s="9"/>
    </row>
    <row r="78" spans="1:15">
      <c r="A78" s="9"/>
      <c r="B78" s="9"/>
      <c r="C78" s="9"/>
      <c r="D78" s="9"/>
      <c r="E78" s="9"/>
      <c r="F78" s="9"/>
      <c r="G78" s="9"/>
      <c r="H78" s="9"/>
      <c r="I78" s="9"/>
      <c r="J78" s="9"/>
      <c r="K78" s="9"/>
      <c r="L78" s="9"/>
      <c r="M78" s="9"/>
      <c r="N78" s="9"/>
      <c r="O78" s="9"/>
    </row>
    <row r="79" spans="1:15">
      <c r="A79" s="9"/>
      <c r="B79" s="9"/>
      <c r="C79" s="9"/>
      <c r="D79" s="9"/>
      <c r="E79" s="9"/>
      <c r="F79" s="9"/>
      <c r="G79" s="9"/>
      <c r="H79" s="9"/>
      <c r="I79" s="9"/>
      <c r="J79" s="9"/>
      <c r="K79" s="9"/>
      <c r="L79" s="9"/>
      <c r="M79" s="9"/>
      <c r="N79" s="9"/>
      <c r="O79" s="9"/>
    </row>
    <row r="80" spans="1:15">
      <c r="A80" s="9"/>
      <c r="B80" s="9"/>
      <c r="C80" s="9"/>
      <c r="D80" s="9"/>
      <c r="E80" s="9"/>
      <c r="F80" s="9"/>
      <c r="G80" s="9"/>
      <c r="H80" s="9"/>
      <c r="I80" s="9"/>
      <c r="J80" s="9"/>
      <c r="K80" s="9"/>
      <c r="L80" s="9"/>
      <c r="M80" s="9"/>
      <c r="N80" s="9"/>
      <c r="O80" s="9"/>
    </row>
    <row r="81" spans="1:15">
      <c r="A81" s="9"/>
      <c r="B81" s="9"/>
      <c r="C81" s="9"/>
      <c r="D81" s="9"/>
      <c r="E81" s="9"/>
      <c r="F81" s="9"/>
      <c r="G81" s="9"/>
      <c r="H81" s="9"/>
      <c r="I81" s="9"/>
      <c r="J81" s="9"/>
      <c r="K81" s="9"/>
      <c r="L81" s="9"/>
      <c r="M81" s="9"/>
      <c r="N81" s="9"/>
      <c r="O81" s="9"/>
    </row>
    <row r="82" spans="1:15">
      <c r="A82" s="9"/>
      <c r="B82" s="9"/>
      <c r="C82" s="9"/>
      <c r="D82" s="9"/>
      <c r="E82" s="9"/>
      <c r="F82" s="9"/>
      <c r="G82" s="9"/>
      <c r="H82" s="9"/>
      <c r="I82" s="9"/>
      <c r="J82" s="9"/>
      <c r="K82" s="9"/>
      <c r="L82" s="9"/>
      <c r="M82" s="9"/>
      <c r="N82" s="9"/>
      <c r="O82" s="9"/>
    </row>
    <row r="83" spans="1:15">
      <c r="A83" s="9"/>
      <c r="B83" s="9"/>
      <c r="C83" s="9"/>
      <c r="D83" s="9"/>
      <c r="E83" s="9"/>
      <c r="F83" s="9"/>
      <c r="G83" s="9"/>
      <c r="H83" s="9"/>
      <c r="I83" s="9"/>
      <c r="J83" s="9"/>
      <c r="K83" s="9"/>
      <c r="L83" s="9"/>
      <c r="M83" s="9"/>
      <c r="N83" s="9"/>
      <c r="O83" s="9"/>
    </row>
    <row r="84" spans="1:15">
      <c r="A84" s="9"/>
      <c r="B84" s="9"/>
      <c r="C84" s="9"/>
      <c r="D84" s="9"/>
      <c r="E84" s="9"/>
      <c r="F84" s="9"/>
      <c r="G84" s="9"/>
      <c r="H84" s="9"/>
      <c r="I84" s="9"/>
      <c r="J84" s="9"/>
      <c r="K84" s="9"/>
      <c r="L84" s="9"/>
      <c r="M84" s="9"/>
      <c r="N84" s="9"/>
      <c r="O84" s="9"/>
    </row>
    <row r="85" spans="1:15">
      <c r="A85" s="9"/>
      <c r="B85" s="9"/>
      <c r="C85" s="9"/>
      <c r="D85" s="9"/>
      <c r="E85" s="9"/>
      <c r="F85" s="9"/>
      <c r="G85" s="9"/>
      <c r="H85" s="9"/>
      <c r="I85" s="9"/>
      <c r="J85" s="9"/>
      <c r="K85" s="9"/>
      <c r="L85" s="9"/>
      <c r="M85" s="9"/>
      <c r="N85" s="9"/>
      <c r="O85" s="9"/>
    </row>
    <row r="86" spans="1:15">
      <c r="A86" s="9"/>
      <c r="B86" s="9"/>
      <c r="C86" s="9"/>
      <c r="D86" s="9"/>
      <c r="E86" s="9"/>
      <c r="F86" s="9"/>
      <c r="G86" s="9"/>
      <c r="H86" s="9"/>
      <c r="I86" s="9"/>
      <c r="J86" s="9"/>
      <c r="K86" s="9"/>
      <c r="L86" s="9"/>
      <c r="M86" s="9"/>
      <c r="N86" s="9"/>
      <c r="O86" s="9"/>
    </row>
    <row r="87" spans="1:15">
      <c r="A87" s="9"/>
      <c r="B87" s="9"/>
      <c r="C87" s="9"/>
      <c r="D87" s="9"/>
      <c r="E87" s="9"/>
      <c r="F87" s="9"/>
      <c r="G87" s="9"/>
      <c r="H87" s="9"/>
      <c r="I87" s="9"/>
      <c r="J87" s="9"/>
      <c r="K87" s="9"/>
      <c r="L87" s="9"/>
      <c r="M87" s="9"/>
      <c r="N87" s="9"/>
      <c r="O87" s="9"/>
    </row>
    <row r="88" spans="1:15">
      <c r="A88" s="9"/>
      <c r="B88" s="9"/>
      <c r="C88" s="9"/>
      <c r="D88" s="9"/>
      <c r="E88" s="9"/>
      <c r="F88" s="9"/>
      <c r="G88" s="9"/>
      <c r="H88" s="9"/>
      <c r="I88" s="9"/>
      <c r="J88" s="9"/>
      <c r="K88" s="9"/>
      <c r="L88" s="9"/>
      <c r="M88" s="9"/>
      <c r="N88" s="9"/>
      <c r="O88" s="9"/>
    </row>
    <row r="89" spans="1:15">
      <c r="A89" s="9"/>
      <c r="B89" s="9"/>
      <c r="C89" s="9"/>
      <c r="D89" s="9"/>
      <c r="E89" s="9"/>
      <c r="F89" s="9"/>
      <c r="G89" s="9"/>
      <c r="H89" s="9"/>
      <c r="I89" s="9"/>
      <c r="J89" s="9"/>
      <c r="K89" s="9"/>
      <c r="L89" s="9"/>
      <c r="M89" s="9"/>
      <c r="N89" s="9"/>
      <c r="O89" s="9"/>
    </row>
    <row r="90" spans="1:15">
      <c r="A90" s="9"/>
      <c r="B90" s="9"/>
      <c r="C90" s="9"/>
      <c r="D90" s="9"/>
      <c r="E90" s="9"/>
      <c r="F90" s="9"/>
      <c r="G90" s="9"/>
      <c r="H90" s="9"/>
      <c r="I90" s="9"/>
      <c r="J90" s="9"/>
      <c r="K90" s="9"/>
      <c r="L90" s="9"/>
      <c r="M90" s="9"/>
      <c r="N90" s="9"/>
      <c r="O90" s="9"/>
    </row>
    <row r="91" spans="1:15">
      <c r="A91" s="9"/>
      <c r="B91" s="9"/>
      <c r="C91" s="9"/>
      <c r="D91" s="9"/>
      <c r="E91" s="9"/>
      <c r="F91" s="9"/>
      <c r="G91" s="9"/>
      <c r="H91" s="9"/>
      <c r="I91" s="9"/>
      <c r="J91" s="9"/>
      <c r="K91" s="9"/>
      <c r="L91" s="9"/>
      <c r="M91" s="9"/>
      <c r="N91" s="9"/>
      <c r="O91" s="9"/>
    </row>
    <row r="92" spans="1:15">
      <c r="A92" s="9"/>
      <c r="B92" s="9"/>
      <c r="C92" s="9"/>
      <c r="D92" s="9"/>
      <c r="E92" s="9"/>
      <c r="F92" s="9"/>
      <c r="G92" s="9"/>
      <c r="H92" s="9"/>
      <c r="I92" s="9"/>
      <c r="J92" s="9"/>
      <c r="K92" s="9"/>
      <c r="L92" s="9"/>
      <c r="M92" s="9"/>
      <c r="N92" s="9"/>
      <c r="O92" s="9"/>
    </row>
    <row r="93" spans="1:15">
      <c r="A93" s="9"/>
      <c r="B93" s="9"/>
      <c r="C93" s="9"/>
      <c r="D93" s="9"/>
      <c r="E93" s="9"/>
      <c r="F93" s="9"/>
      <c r="G93" s="9"/>
      <c r="H93" s="9"/>
      <c r="I93" s="9"/>
      <c r="J93" s="9"/>
      <c r="K93" s="9"/>
      <c r="L93" s="9"/>
      <c r="M93" s="9"/>
      <c r="N93" s="9"/>
      <c r="O93" s="9"/>
    </row>
    <row r="94" spans="1:15">
      <c r="A94" s="9"/>
      <c r="B94" s="9"/>
      <c r="C94" s="9"/>
      <c r="D94" s="9"/>
      <c r="E94" s="9"/>
      <c r="F94" s="9"/>
      <c r="G94" s="9"/>
      <c r="H94" s="9"/>
      <c r="I94" s="9"/>
      <c r="J94" s="9"/>
      <c r="K94" s="9"/>
      <c r="L94" s="9"/>
      <c r="M94" s="9"/>
      <c r="N94" s="9"/>
      <c r="O94" s="9"/>
    </row>
    <row r="95" spans="1:15">
      <c r="A95" s="9"/>
      <c r="B95" s="9"/>
      <c r="C95" s="9"/>
      <c r="D95" s="9"/>
      <c r="E95" s="9"/>
      <c r="F95" s="9"/>
      <c r="G95" s="9"/>
      <c r="H95" s="9"/>
      <c r="I95" s="9"/>
      <c r="J95" s="9"/>
      <c r="K95" s="9"/>
      <c r="L95" s="9"/>
      <c r="M95" s="9"/>
      <c r="N95" s="9"/>
      <c r="O95" s="9"/>
    </row>
    <row r="96" spans="1:15">
      <c r="A96" s="9"/>
      <c r="B96" s="9"/>
      <c r="C96" s="9"/>
      <c r="D96" s="9"/>
      <c r="E96" s="9"/>
      <c r="F96" s="9"/>
      <c r="G96" s="9"/>
      <c r="H96" s="9"/>
      <c r="I96" s="9"/>
      <c r="J96" s="9"/>
      <c r="K96" s="9"/>
      <c r="L96" s="9"/>
      <c r="M96" s="9"/>
      <c r="N96" s="9"/>
      <c r="O96" s="9"/>
    </row>
    <row r="97" spans="1:15">
      <c r="A97" s="9"/>
      <c r="B97" s="9"/>
      <c r="C97" s="9"/>
      <c r="D97" s="9"/>
      <c r="E97" s="9"/>
      <c r="F97" s="9"/>
      <c r="G97" s="9"/>
      <c r="H97" s="9"/>
      <c r="I97" s="9"/>
      <c r="J97" s="9"/>
      <c r="K97" s="9"/>
      <c r="L97" s="9"/>
      <c r="M97" s="9"/>
      <c r="N97" s="9"/>
      <c r="O97" s="9"/>
    </row>
    <row r="98" spans="1:15">
      <c r="A98" s="9"/>
      <c r="B98" s="9"/>
      <c r="C98" s="9"/>
      <c r="D98" s="9"/>
      <c r="E98" s="9"/>
      <c r="F98" s="9"/>
      <c r="G98" s="9"/>
      <c r="H98" s="9"/>
      <c r="I98" s="9"/>
      <c r="J98" s="9"/>
      <c r="K98" s="9"/>
      <c r="L98" s="9"/>
      <c r="M98" s="9"/>
      <c r="N98" s="9"/>
      <c r="O98" s="9"/>
    </row>
    <row r="99" spans="1:15">
      <c r="A99" s="9"/>
      <c r="B99" s="9"/>
      <c r="C99" s="9"/>
      <c r="D99" s="9"/>
      <c r="E99" s="9"/>
      <c r="F99" s="9"/>
      <c r="G99" s="9"/>
      <c r="H99" s="9"/>
      <c r="I99" s="9"/>
      <c r="J99" s="9"/>
      <c r="K99" s="9"/>
      <c r="L99" s="9"/>
      <c r="M99" s="9"/>
      <c r="N99" s="9"/>
      <c r="O99" s="9"/>
    </row>
    <row r="100" spans="1:15">
      <c r="A100" s="9"/>
      <c r="B100" s="9"/>
      <c r="C100" s="9"/>
      <c r="D100" s="9"/>
      <c r="E100" s="9"/>
      <c r="F100" s="9"/>
      <c r="G100" s="9"/>
      <c r="H100" s="9"/>
      <c r="I100" s="9"/>
      <c r="J100" s="9"/>
      <c r="K100" s="9"/>
      <c r="L100" s="9"/>
      <c r="M100" s="9"/>
      <c r="N100" s="9"/>
      <c r="O100" s="9"/>
    </row>
    <row r="101" spans="1:15">
      <c r="A101" s="9"/>
      <c r="B101" s="9"/>
      <c r="C101" s="9"/>
      <c r="D101" s="9"/>
      <c r="E101" s="9"/>
      <c r="F101" s="9"/>
      <c r="G101" s="9"/>
      <c r="H101" s="9"/>
      <c r="I101" s="9"/>
      <c r="J101" s="9"/>
      <c r="K101" s="9"/>
      <c r="L101" s="9"/>
      <c r="M101" s="9"/>
      <c r="N101" s="9"/>
      <c r="O101" s="9"/>
    </row>
    <row r="102" spans="1:15">
      <c r="A102" s="9"/>
      <c r="B102" s="9"/>
      <c r="C102" s="9"/>
      <c r="D102" s="9"/>
      <c r="E102" s="9"/>
      <c r="F102" s="9"/>
      <c r="G102" s="9"/>
      <c r="H102" s="9"/>
      <c r="I102" s="9"/>
      <c r="J102" s="9"/>
      <c r="K102" s="9"/>
      <c r="L102" s="9"/>
      <c r="M102" s="9"/>
      <c r="N102" s="9"/>
      <c r="O102" s="9"/>
    </row>
    <row r="103" spans="1:15">
      <c r="A103" s="9"/>
      <c r="B103" s="9"/>
      <c r="C103" s="9"/>
      <c r="D103" s="9"/>
      <c r="E103" s="9"/>
      <c r="F103" s="9"/>
      <c r="G103" s="9"/>
      <c r="H103" s="9"/>
      <c r="I103" s="9"/>
      <c r="J103" s="9"/>
      <c r="K103" s="9"/>
      <c r="L103" s="9"/>
      <c r="M103" s="9"/>
      <c r="N103" s="9"/>
      <c r="O103" s="9"/>
    </row>
    <row r="104" spans="1:15">
      <c r="A104" s="9"/>
      <c r="B104" s="9"/>
      <c r="C104" s="9"/>
      <c r="D104" s="9"/>
      <c r="E104" s="9"/>
      <c r="F104" s="9"/>
      <c r="G104" s="9"/>
      <c r="H104" s="9"/>
      <c r="I104" s="9"/>
      <c r="J104" s="9"/>
      <c r="K104" s="9"/>
      <c r="L104" s="9"/>
      <c r="M104" s="9"/>
      <c r="N104" s="9"/>
      <c r="O104" s="9"/>
    </row>
    <row r="105" spans="1:15">
      <c r="A105" s="9"/>
      <c r="B105" s="9"/>
      <c r="C105" s="9"/>
      <c r="D105" s="9"/>
      <c r="E105" s="9"/>
      <c r="F105" s="9"/>
      <c r="G105" s="9"/>
      <c r="H105" s="9"/>
      <c r="I105" s="9"/>
      <c r="J105" s="9"/>
      <c r="K105" s="9"/>
      <c r="L105" s="9"/>
      <c r="M105" s="9"/>
      <c r="N105" s="9"/>
      <c r="O105" s="9"/>
    </row>
    <row r="106" spans="1:15">
      <c r="A106" s="9"/>
      <c r="B106" s="9"/>
      <c r="C106" s="9"/>
      <c r="D106" s="9"/>
      <c r="E106" s="9"/>
      <c r="F106" s="9"/>
      <c r="G106" s="9"/>
      <c r="H106" s="9"/>
      <c r="I106" s="9"/>
      <c r="J106" s="9"/>
      <c r="K106" s="9"/>
      <c r="L106" s="9"/>
      <c r="M106" s="9"/>
      <c r="N106" s="9"/>
      <c r="O106" s="9"/>
    </row>
    <row r="107" spans="1:15">
      <c r="A107" s="9"/>
      <c r="B107" s="9"/>
      <c r="C107" s="9"/>
      <c r="D107" s="9"/>
      <c r="E107" s="9"/>
      <c r="F107" s="9"/>
      <c r="G107" s="9"/>
      <c r="H107" s="9"/>
      <c r="I107" s="9"/>
      <c r="J107" s="9"/>
      <c r="K107" s="9"/>
      <c r="L107" s="9"/>
      <c r="M107" s="9"/>
      <c r="N107" s="9"/>
      <c r="O107" s="9"/>
    </row>
    <row r="108" spans="1:15">
      <c r="A108" s="9"/>
      <c r="B108" s="9"/>
      <c r="C108" s="9"/>
      <c r="D108" s="9"/>
      <c r="E108" s="9"/>
      <c r="F108" s="9"/>
      <c r="G108" s="9"/>
      <c r="H108" s="9"/>
      <c r="I108" s="9"/>
      <c r="J108" s="9"/>
      <c r="K108" s="9"/>
      <c r="L108" s="9"/>
      <c r="M108" s="9"/>
      <c r="N108" s="9"/>
      <c r="O108" s="9"/>
    </row>
    <row r="109" spans="1:15">
      <c r="A109" s="9"/>
      <c r="B109" s="9"/>
      <c r="C109" s="9"/>
      <c r="D109" s="9"/>
      <c r="E109" s="9"/>
      <c r="F109" s="9"/>
      <c r="G109" s="9"/>
      <c r="H109" s="9"/>
      <c r="I109" s="9"/>
      <c r="J109" s="9"/>
      <c r="K109" s="9"/>
      <c r="L109" s="9"/>
      <c r="M109" s="9"/>
      <c r="N109" s="9"/>
      <c r="O109" s="9"/>
    </row>
    <row r="110" spans="1:15">
      <c r="A110" s="9"/>
      <c r="B110" s="9"/>
      <c r="C110" s="9"/>
      <c r="D110" s="9"/>
      <c r="E110" s="9"/>
      <c r="F110" s="9"/>
      <c r="G110" s="9"/>
      <c r="H110" s="9"/>
      <c r="I110" s="9"/>
      <c r="J110" s="9"/>
      <c r="K110" s="9"/>
      <c r="L110" s="9"/>
      <c r="M110" s="9"/>
      <c r="N110" s="9"/>
      <c r="O110" s="9"/>
    </row>
    <row r="111" spans="1:15">
      <c r="A111" s="9"/>
      <c r="B111" s="9"/>
      <c r="C111" s="9"/>
      <c r="D111" s="9"/>
      <c r="E111" s="9"/>
      <c r="F111" s="9"/>
      <c r="G111" s="9"/>
      <c r="H111" s="9"/>
      <c r="I111" s="9"/>
      <c r="J111" s="9"/>
      <c r="K111" s="9"/>
      <c r="L111" s="9"/>
      <c r="M111" s="9"/>
      <c r="N111" s="9"/>
      <c r="O111" s="9"/>
    </row>
    <row r="112" spans="1:15">
      <c r="A112" s="9"/>
      <c r="B112" s="17" t="s">
        <v>181</v>
      </c>
      <c r="C112" s="9"/>
      <c r="D112" s="9"/>
      <c r="E112" s="9"/>
      <c r="F112" s="9"/>
      <c r="G112" s="9"/>
      <c r="H112" s="9"/>
      <c r="I112" s="9"/>
      <c r="J112" s="9"/>
      <c r="K112" s="9"/>
      <c r="L112" s="9"/>
      <c r="M112" s="9"/>
      <c r="N112" s="9"/>
      <c r="O112" s="9"/>
    </row>
    <row r="113" spans="1:15">
      <c r="A113" s="9"/>
      <c r="B113" s="9"/>
      <c r="C113" s="9"/>
      <c r="D113" s="9"/>
      <c r="E113" s="9"/>
      <c r="F113" s="9"/>
      <c r="G113" s="9"/>
      <c r="H113" s="9"/>
      <c r="I113" s="9"/>
      <c r="J113" s="9"/>
      <c r="K113" s="9"/>
      <c r="L113" s="9"/>
      <c r="M113" s="9"/>
      <c r="N113" s="9"/>
      <c r="O113" s="9"/>
    </row>
    <row r="114" spans="1:15">
      <c r="A114" s="9"/>
      <c r="B114" s="279" t="s">
        <v>182</v>
      </c>
      <c r="C114" s="279"/>
      <c r="D114" s="279"/>
      <c r="E114" s="279"/>
      <c r="F114" s="279"/>
      <c r="G114" s="279"/>
      <c r="H114" s="279"/>
      <c r="I114" s="279"/>
      <c r="J114" s="279"/>
      <c r="K114" s="279"/>
      <c r="L114" s="9"/>
      <c r="M114" s="9"/>
      <c r="N114" s="9"/>
      <c r="O114" s="9"/>
    </row>
    <row r="115" spans="1:15">
      <c r="A115" s="9"/>
      <c r="B115" s="9"/>
      <c r="C115" s="9"/>
      <c r="D115" s="9"/>
      <c r="E115" s="9"/>
      <c r="F115" s="9"/>
      <c r="G115" s="9"/>
      <c r="H115" s="9"/>
      <c r="I115" s="9"/>
      <c r="J115" s="9"/>
      <c r="K115" s="9"/>
      <c r="L115" s="9"/>
      <c r="M115" s="9"/>
      <c r="N115" s="9"/>
      <c r="O115" s="9"/>
    </row>
    <row r="116" spans="1:15">
      <c r="A116" s="9"/>
      <c r="B116" s="11" t="s">
        <v>183</v>
      </c>
      <c r="C116" s="9"/>
      <c r="D116" s="9"/>
      <c r="E116" s="9"/>
      <c r="F116" s="9"/>
      <c r="G116" s="9"/>
      <c r="H116" s="9"/>
      <c r="I116" s="9"/>
      <c r="J116" s="9"/>
      <c r="K116" s="9"/>
      <c r="L116" s="9"/>
      <c r="M116" s="9"/>
      <c r="N116" s="9"/>
      <c r="O116" s="9"/>
    </row>
    <row r="117" spans="1:15">
      <c r="A117" s="9"/>
      <c r="B117" s="9"/>
      <c r="C117" s="9"/>
      <c r="D117" s="9"/>
      <c r="E117" s="9"/>
      <c r="F117" s="9"/>
      <c r="G117" s="9"/>
      <c r="H117" s="9"/>
      <c r="I117" s="9"/>
      <c r="J117" s="9"/>
      <c r="K117" s="9"/>
      <c r="L117" s="9"/>
      <c r="M117" s="9"/>
      <c r="N117" s="9"/>
      <c r="O117" s="9"/>
    </row>
    <row r="118" spans="1:15">
      <c r="A118" s="9"/>
      <c r="B118" s="9"/>
      <c r="C118" s="9"/>
      <c r="D118" s="9"/>
      <c r="E118" s="9"/>
      <c r="F118" s="9"/>
      <c r="G118" s="9"/>
      <c r="H118" s="9"/>
      <c r="I118" s="9"/>
      <c r="J118" s="9"/>
      <c r="K118" s="9"/>
      <c r="L118" s="9"/>
      <c r="M118" s="9"/>
      <c r="N118" s="9"/>
      <c r="O118" s="9"/>
    </row>
    <row r="119" spans="1:15">
      <c r="A119" s="9"/>
      <c r="B119" s="9"/>
      <c r="C119" s="9"/>
      <c r="D119" s="9"/>
      <c r="E119" s="9"/>
      <c r="F119" s="9"/>
      <c r="G119" s="9"/>
      <c r="H119" s="9"/>
      <c r="I119" s="9"/>
      <c r="J119" s="9"/>
      <c r="K119" s="9"/>
      <c r="L119" s="9"/>
      <c r="M119" s="9"/>
      <c r="N119" s="9"/>
      <c r="O119" s="9"/>
    </row>
    <row r="120" spans="1:15">
      <c r="A120" s="9"/>
      <c r="B120" s="9"/>
      <c r="C120" s="9"/>
      <c r="D120" s="9"/>
      <c r="E120" s="9"/>
      <c r="F120" s="9"/>
      <c r="G120" s="9"/>
      <c r="H120" s="9"/>
      <c r="I120" s="9"/>
      <c r="J120" s="9"/>
      <c r="K120" s="9"/>
      <c r="L120" s="9"/>
      <c r="M120" s="9"/>
      <c r="N120" s="9"/>
      <c r="O120" s="9"/>
    </row>
    <row r="121" spans="1:15">
      <c r="A121" s="9"/>
      <c r="B121" s="9"/>
      <c r="C121" s="9"/>
      <c r="D121" s="9"/>
      <c r="E121" s="9"/>
      <c r="F121" s="9"/>
      <c r="G121" s="9"/>
      <c r="H121" s="9"/>
      <c r="I121" s="9"/>
      <c r="J121" s="9"/>
      <c r="K121" s="9"/>
      <c r="L121" s="9"/>
      <c r="M121" s="9"/>
      <c r="N121" s="9"/>
      <c r="O121" s="9"/>
    </row>
    <row r="122" spans="1:15">
      <c r="A122" s="9"/>
      <c r="B122" s="9"/>
      <c r="C122" s="9"/>
      <c r="D122" s="9"/>
      <c r="E122" s="9"/>
      <c r="F122" s="9"/>
      <c r="G122" s="9"/>
      <c r="H122" s="9"/>
      <c r="I122" s="9"/>
      <c r="J122" s="9"/>
      <c r="K122" s="9"/>
      <c r="L122" s="9"/>
      <c r="M122" s="9"/>
      <c r="N122" s="9"/>
      <c r="O122" s="9"/>
    </row>
    <row r="123" spans="1:15">
      <c r="A123" s="9"/>
      <c r="B123" s="9"/>
      <c r="C123" s="9"/>
      <c r="D123" s="9"/>
      <c r="E123" s="9"/>
      <c r="F123" s="9"/>
      <c r="G123" s="9"/>
      <c r="H123" s="9"/>
      <c r="I123" s="9"/>
      <c r="J123" s="9"/>
      <c r="K123" s="9"/>
      <c r="L123" s="9"/>
      <c r="M123" s="9"/>
      <c r="N123" s="9"/>
      <c r="O123" s="9"/>
    </row>
    <row r="124" spans="1:15">
      <c r="A124" s="9"/>
      <c r="B124" s="9"/>
      <c r="C124" s="9"/>
      <c r="D124" s="9"/>
      <c r="E124" s="9"/>
      <c r="F124" s="9"/>
      <c r="G124" s="9"/>
      <c r="H124" s="9"/>
      <c r="I124" s="9"/>
      <c r="J124" s="9"/>
      <c r="K124" s="9"/>
      <c r="L124" s="9"/>
      <c r="M124" s="9"/>
      <c r="N124" s="9"/>
      <c r="O124" s="9"/>
    </row>
    <row r="125" spans="1:15">
      <c r="A125" s="9"/>
      <c r="B125" s="9"/>
      <c r="C125" s="9"/>
      <c r="D125" s="9"/>
      <c r="E125" s="9"/>
      <c r="F125" s="9"/>
      <c r="G125" s="9"/>
      <c r="H125" s="9"/>
      <c r="I125" s="9"/>
      <c r="J125" s="9"/>
      <c r="K125" s="9"/>
      <c r="L125" s="9"/>
      <c r="M125" s="9"/>
      <c r="N125" s="9"/>
      <c r="O125" s="9"/>
    </row>
    <row r="126" spans="1:15">
      <c r="A126" s="9"/>
      <c r="B126" s="9"/>
      <c r="C126" s="9"/>
      <c r="D126" s="9"/>
      <c r="E126" s="9"/>
      <c r="F126" s="9"/>
      <c r="G126" s="9"/>
      <c r="H126" s="9"/>
      <c r="I126" s="9"/>
      <c r="J126" s="9"/>
      <c r="K126" s="9"/>
      <c r="L126" s="9"/>
      <c r="M126" s="9"/>
      <c r="N126" s="9"/>
      <c r="O126" s="9"/>
    </row>
    <row r="127" spans="1:15">
      <c r="A127" s="9"/>
      <c r="B127" s="9"/>
      <c r="C127" s="9"/>
      <c r="D127" s="9"/>
      <c r="E127" s="9"/>
      <c r="F127" s="9"/>
      <c r="G127" s="9"/>
      <c r="H127" s="9"/>
      <c r="I127" s="9"/>
      <c r="J127" s="9"/>
      <c r="K127" s="9"/>
      <c r="L127" s="9"/>
      <c r="M127" s="9"/>
      <c r="N127" s="9"/>
      <c r="O127" s="9"/>
    </row>
    <row r="128" spans="1:15">
      <c r="A128" s="9"/>
      <c r="B128" s="9"/>
      <c r="C128" s="9"/>
      <c r="D128" s="9"/>
      <c r="E128" s="9"/>
      <c r="F128" s="9"/>
      <c r="G128" s="9"/>
      <c r="H128" s="9"/>
      <c r="I128" s="9"/>
      <c r="J128" s="9"/>
      <c r="K128" s="9"/>
      <c r="L128" s="9"/>
      <c r="M128" s="9"/>
      <c r="N128" s="9"/>
      <c r="O128" s="9"/>
    </row>
    <row r="129" spans="1:15">
      <c r="A129" s="9"/>
      <c r="B129" s="9"/>
      <c r="C129" s="9"/>
      <c r="D129" s="9"/>
      <c r="E129" s="9"/>
      <c r="F129" s="9"/>
      <c r="G129" s="9"/>
      <c r="H129" s="9"/>
      <c r="I129" s="9"/>
      <c r="J129" s="9"/>
      <c r="K129" s="9"/>
      <c r="L129" s="9"/>
      <c r="M129" s="9"/>
      <c r="N129" s="9"/>
      <c r="O129" s="9"/>
    </row>
    <row r="130" spans="1:15">
      <c r="A130" s="9"/>
      <c r="B130" s="9"/>
      <c r="C130" s="9"/>
      <c r="D130" s="9"/>
      <c r="E130" s="9"/>
      <c r="F130" s="9"/>
      <c r="G130" s="9"/>
      <c r="H130" s="9"/>
      <c r="I130" s="9"/>
      <c r="J130" s="9"/>
      <c r="K130" s="9"/>
      <c r="L130" s="9"/>
      <c r="M130" s="9"/>
      <c r="N130" s="9"/>
      <c r="O130" s="9"/>
    </row>
    <row r="131" spans="1:15">
      <c r="A131" s="9"/>
      <c r="B131" s="9"/>
      <c r="C131" s="9"/>
      <c r="D131" s="9"/>
      <c r="E131" s="9"/>
      <c r="F131" s="9"/>
      <c r="G131" s="9"/>
      <c r="H131" s="9"/>
      <c r="I131" s="9"/>
      <c r="J131" s="9"/>
      <c r="K131" s="9"/>
      <c r="L131" s="9"/>
      <c r="M131" s="9"/>
      <c r="N131" s="9"/>
      <c r="O131" s="9"/>
    </row>
    <row r="132" spans="1:15">
      <c r="A132" s="9"/>
      <c r="B132" s="9"/>
      <c r="C132" s="9"/>
      <c r="D132" s="9"/>
      <c r="E132" s="9"/>
      <c r="F132" s="9"/>
      <c r="G132" s="9"/>
      <c r="H132" s="9"/>
      <c r="I132" s="9"/>
      <c r="J132" s="9"/>
      <c r="K132" s="9"/>
      <c r="L132" s="9"/>
      <c r="M132" s="9"/>
      <c r="N132" s="9"/>
      <c r="O132" s="9"/>
    </row>
    <row r="133" spans="1:15">
      <c r="A133" s="9"/>
      <c r="B133" s="9"/>
      <c r="C133" s="9"/>
      <c r="D133" s="9"/>
      <c r="E133" s="9"/>
      <c r="F133" s="9"/>
      <c r="G133" s="9"/>
      <c r="H133" s="9"/>
      <c r="I133" s="9"/>
      <c r="J133" s="9"/>
      <c r="K133" s="9"/>
      <c r="L133" s="9"/>
      <c r="M133" s="9"/>
      <c r="N133" s="9"/>
      <c r="O133" s="9"/>
    </row>
    <row r="134" spans="1:15">
      <c r="A134" s="9"/>
      <c r="B134" s="9"/>
      <c r="C134" s="9"/>
      <c r="D134" s="9"/>
      <c r="E134" s="9"/>
      <c r="F134" s="9"/>
      <c r="G134" s="9"/>
      <c r="H134" s="9"/>
      <c r="I134" s="9"/>
      <c r="J134" s="9"/>
      <c r="K134" s="9"/>
      <c r="L134" s="9"/>
      <c r="M134" s="9"/>
      <c r="N134" s="9"/>
      <c r="O134" s="9"/>
    </row>
    <row r="135" spans="1:15">
      <c r="A135" s="9"/>
      <c r="B135" s="9"/>
      <c r="C135" s="9"/>
      <c r="D135" s="9"/>
      <c r="E135" s="9"/>
      <c r="F135" s="9"/>
      <c r="G135" s="9"/>
      <c r="H135" s="9"/>
      <c r="I135" s="9"/>
      <c r="J135" s="9"/>
      <c r="K135" s="9"/>
      <c r="L135" s="9"/>
      <c r="M135" s="9"/>
      <c r="N135" s="9"/>
      <c r="O135" s="9"/>
    </row>
    <row r="136" spans="1:15">
      <c r="A136" s="9"/>
      <c r="B136" s="9"/>
      <c r="C136" s="9"/>
      <c r="D136" s="9"/>
      <c r="E136" s="9"/>
      <c r="F136" s="9"/>
      <c r="G136" s="9"/>
      <c r="H136" s="9"/>
      <c r="I136" s="9"/>
      <c r="J136" s="9"/>
      <c r="K136" s="9"/>
      <c r="L136" s="9"/>
      <c r="M136" s="9"/>
      <c r="N136" s="9"/>
      <c r="O136" s="9"/>
    </row>
    <row r="137" spans="1:15">
      <c r="A137" s="9"/>
      <c r="B137" s="9"/>
      <c r="C137" s="9"/>
      <c r="D137" s="9"/>
      <c r="E137" s="9"/>
      <c r="F137" s="9"/>
      <c r="G137" s="9"/>
      <c r="H137" s="9"/>
      <c r="I137" s="9"/>
      <c r="J137" s="9"/>
      <c r="K137" s="9"/>
      <c r="L137" s="9"/>
      <c r="M137" s="9"/>
      <c r="N137" s="9"/>
      <c r="O137" s="9"/>
    </row>
    <row r="138" spans="1:15">
      <c r="A138" s="9"/>
      <c r="B138" s="9"/>
      <c r="C138" s="9"/>
      <c r="D138" s="9"/>
      <c r="E138" s="9"/>
      <c r="F138" s="9"/>
      <c r="G138" s="9"/>
      <c r="H138" s="9"/>
      <c r="I138" s="9"/>
      <c r="J138" s="9"/>
      <c r="K138" s="9"/>
      <c r="L138" s="9"/>
      <c r="M138" s="9"/>
      <c r="N138" s="9"/>
      <c r="O138" s="9"/>
    </row>
    <row r="139" spans="1:15">
      <c r="A139" s="9"/>
      <c r="B139" s="9"/>
      <c r="C139" s="9"/>
      <c r="D139" s="9"/>
      <c r="E139" s="9"/>
      <c r="F139" s="9"/>
      <c r="G139" s="9"/>
      <c r="H139" s="9"/>
      <c r="I139" s="9"/>
      <c r="J139" s="9"/>
      <c r="K139" s="9"/>
      <c r="L139" s="9"/>
      <c r="M139" s="9"/>
      <c r="N139" s="9"/>
      <c r="O139" s="9"/>
    </row>
    <row r="140" spans="1:15">
      <c r="A140" s="9"/>
      <c r="B140" s="9"/>
      <c r="C140" s="9"/>
      <c r="D140" s="9"/>
      <c r="E140" s="9"/>
      <c r="F140" s="9"/>
      <c r="G140" s="9"/>
      <c r="H140" s="9"/>
      <c r="I140" s="9"/>
      <c r="J140" s="9"/>
      <c r="K140" s="9"/>
      <c r="L140" s="9"/>
      <c r="M140" s="9"/>
      <c r="N140" s="9"/>
      <c r="O140" s="9"/>
    </row>
    <row r="141" spans="1:15">
      <c r="A141" s="9"/>
      <c r="B141" s="9"/>
      <c r="C141" s="9"/>
      <c r="D141" s="9"/>
      <c r="E141" s="9"/>
      <c r="F141" s="9"/>
      <c r="G141" s="9"/>
      <c r="H141" s="9"/>
      <c r="I141" s="9"/>
      <c r="J141" s="9"/>
      <c r="K141" s="9"/>
      <c r="L141" s="9"/>
      <c r="M141" s="9"/>
      <c r="N141" s="9"/>
      <c r="O141" s="9"/>
    </row>
    <row r="142" spans="1:15">
      <c r="A142" s="9"/>
      <c r="B142" s="9"/>
      <c r="C142" s="9"/>
      <c r="D142" s="9"/>
      <c r="E142" s="9"/>
      <c r="F142" s="9"/>
      <c r="G142" s="9"/>
      <c r="H142" s="9"/>
      <c r="I142" s="9"/>
      <c r="J142" s="9"/>
      <c r="K142" s="9"/>
      <c r="L142" s="9"/>
      <c r="M142" s="9"/>
      <c r="N142" s="9"/>
      <c r="O142" s="9"/>
    </row>
    <row r="143" spans="1:15">
      <c r="A143" s="9"/>
      <c r="B143" s="9"/>
      <c r="C143" s="9"/>
      <c r="D143" s="9"/>
      <c r="E143" s="9"/>
      <c r="F143" s="9"/>
      <c r="G143" s="9"/>
      <c r="H143" s="9"/>
      <c r="I143" s="9"/>
      <c r="J143" s="9"/>
      <c r="K143" s="9"/>
      <c r="L143" s="9"/>
      <c r="M143" s="9"/>
      <c r="N143" s="9"/>
      <c r="O143" s="9"/>
    </row>
    <row r="144" spans="1:15">
      <c r="A144" s="9"/>
      <c r="B144" s="9"/>
      <c r="C144" s="9"/>
      <c r="D144" s="9"/>
      <c r="E144" s="9"/>
      <c r="F144" s="9"/>
      <c r="G144" s="9"/>
      <c r="H144" s="9"/>
      <c r="I144" s="9"/>
      <c r="J144" s="9"/>
      <c r="K144" s="9"/>
      <c r="L144" s="9"/>
      <c r="M144" s="9"/>
      <c r="N144" s="9"/>
      <c r="O144" s="9"/>
    </row>
    <row r="145" spans="1:15">
      <c r="A145" s="9"/>
      <c r="B145" s="9"/>
      <c r="C145" s="9"/>
      <c r="D145" s="9"/>
      <c r="E145" s="9"/>
      <c r="F145" s="9"/>
      <c r="G145" s="9"/>
      <c r="H145" s="9"/>
      <c r="I145" s="9"/>
      <c r="J145" s="9"/>
      <c r="K145" s="9"/>
      <c r="L145" s="9"/>
      <c r="M145" s="9"/>
      <c r="N145" s="9"/>
      <c r="O145" s="9"/>
    </row>
    <row r="146" spans="1:15">
      <c r="A146" s="9"/>
      <c r="B146" s="9"/>
      <c r="C146" s="9"/>
      <c r="D146" s="9"/>
      <c r="E146" s="9"/>
      <c r="F146" s="9"/>
      <c r="G146" s="9"/>
      <c r="H146" s="9"/>
      <c r="I146" s="9"/>
      <c r="J146" s="9"/>
      <c r="K146" s="9"/>
      <c r="L146" s="9"/>
      <c r="M146" s="9"/>
      <c r="N146" s="9"/>
      <c r="O146" s="9"/>
    </row>
    <row r="147" spans="1:15">
      <c r="A147" s="9"/>
      <c r="B147" s="9"/>
      <c r="C147" s="9"/>
      <c r="D147" s="9"/>
      <c r="E147" s="9"/>
      <c r="F147" s="9"/>
      <c r="G147" s="9"/>
      <c r="H147" s="9"/>
      <c r="I147" s="9"/>
      <c r="J147" s="9"/>
      <c r="K147" s="9"/>
      <c r="L147" s="9"/>
      <c r="M147" s="9"/>
      <c r="N147" s="9"/>
      <c r="O147" s="9"/>
    </row>
    <row r="148" spans="1:15">
      <c r="A148" s="9"/>
      <c r="B148" s="9"/>
      <c r="C148" s="9"/>
      <c r="D148" s="9"/>
      <c r="E148" s="9"/>
      <c r="F148" s="9"/>
      <c r="G148" s="9"/>
      <c r="H148" s="9"/>
      <c r="I148" s="9"/>
      <c r="J148" s="9"/>
      <c r="K148" s="9"/>
      <c r="L148" s="9"/>
      <c r="M148" s="9"/>
      <c r="N148" s="9"/>
      <c r="O148" s="9"/>
    </row>
    <row r="149" spans="1:15">
      <c r="A149" s="9"/>
      <c r="B149" s="9"/>
      <c r="C149" s="9"/>
      <c r="D149" s="9"/>
      <c r="E149" s="9"/>
      <c r="F149" s="9"/>
      <c r="G149" s="9"/>
      <c r="H149" s="9"/>
      <c r="I149" s="9"/>
      <c r="J149" s="9"/>
      <c r="K149" s="9"/>
      <c r="L149" s="9"/>
      <c r="M149" s="9"/>
      <c r="N149" s="9"/>
      <c r="O149" s="9"/>
    </row>
    <row r="150" spans="1:15">
      <c r="A150" s="9"/>
      <c r="B150" s="9"/>
      <c r="C150" s="9"/>
      <c r="D150" s="9"/>
      <c r="E150" s="9"/>
      <c r="F150" s="9"/>
      <c r="G150" s="9"/>
      <c r="H150" s="9"/>
      <c r="I150" s="9"/>
      <c r="J150" s="9"/>
      <c r="K150" s="9"/>
      <c r="L150" s="9"/>
      <c r="M150" s="9"/>
      <c r="N150" s="9"/>
      <c r="O150" s="9"/>
    </row>
    <row r="151" spans="1:15">
      <c r="A151" s="9"/>
      <c r="B151" s="9"/>
      <c r="C151" s="9"/>
      <c r="D151" s="9"/>
      <c r="E151" s="9"/>
      <c r="F151" s="9"/>
      <c r="G151" s="9"/>
      <c r="H151" s="9"/>
      <c r="I151" s="9"/>
      <c r="J151" s="9"/>
      <c r="K151" s="9"/>
      <c r="L151" s="9"/>
      <c r="M151" s="9"/>
      <c r="N151" s="9"/>
      <c r="O151" s="9"/>
    </row>
    <row r="152" spans="1:15">
      <c r="A152" s="9"/>
      <c r="B152" s="9"/>
      <c r="C152" s="9"/>
      <c r="D152" s="9"/>
      <c r="E152" s="9"/>
      <c r="F152" s="9"/>
      <c r="G152" s="9"/>
      <c r="H152" s="9"/>
      <c r="I152" s="9"/>
      <c r="J152" s="9"/>
      <c r="K152" s="9"/>
      <c r="L152" s="9"/>
      <c r="M152" s="9"/>
      <c r="N152" s="9"/>
      <c r="O152" s="9"/>
    </row>
    <row r="153" spans="1:15">
      <c r="A153" s="9"/>
      <c r="B153" s="9"/>
      <c r="C153" s="9"/>
      <c r="D153" s="9"/>
      <c r="E153" s="9"/>
      <c r="F153" s="9"/>
      <c r="G153" s="9"/>
      <c r="H153" s="9"/>
      <c r="I153" s="9"/>
      <c r="J153" s="9"/>
      <c r="K153" s="9"/>
      <c r="L153" s="9"/>
      <c r="M153" s="9"/>
      <c r="N153" s="9"/>
      <c r="O153" s="9"/>
    </row>
    <row r="154" spans="1:15">
      <c r="A154" s="9"/>
      <c r="B154" s="9"/>
      <c r="C154" s="9"/>
      <c r="D154" s="9"/>
      <c r="E154" s="9"/>
      <c r="F154" s="9"/>
      <c r="G154" s="9"/>
      <c r="H154" s="9"/>
      <c r="I154" s="9"/>
      <c r="J154" s="9"/>
      <c r="K154" s="9"/>
      <c r="L154" s="9"/>
      <c r="M154" s="9"/>
      <c r="N154" s="9"/>
      <c r="O154" s="9"/>
    </row>
    <row r="155" spans="1:15">
      <c r="A155" s="9"/>
      <c r="B155" s="9"/>
      <c r="C155" s="9"/>
      <c r="D155" s="9"/>
      <c r="E155" s="9"/>
      <c r="F155" s="9"/>
      <c r="G155" s="9"/>
      <c r="H155" s="9"/>
      <c r="I155" s="9"/>
      <c r="J155" s="9"/>
      <c r="K155" s="9"/>
      <c r="L155" s="9"/>
      <c r="M155" s="9"/>
      <c r="N155" s="9"/>
      <c r="O155" s="9"/>
    </row>
    <row r="156" spans="1:15">
      <c r="A156" s="9"/>
      <c r="B156" s="9"/>
      <c r="C156" s="9"/>
      <c r="D156" s="9"/>
      <c r="E156" s="9"/>
      <c r="F156" s="9"/>
      <c r="G156" s="9"/>
      <c r="H156" s="9"/>
      <c r="I156" s="9"/>
      <c r="J156" s="9"/>
      <c r="K156" s="9"/>
      <c r="L156" s="9"/>
      <c r="M156" s="9"/>
      <c r="N156" s="9"/>
      <c r="O156" s="9"/>
    </row>
    <row r="157" spans="1:15">
      <c r="A157" s="9"/>
      <c r="B157" s="13" t="s">
        <v>184</v>
      </c>
      <c r="C157" s="9"/>
      <c r="D157" s="9"/>
      <c r="E157" s="9"/>
      <c r="F157" s="9"/>
      <c r="G157" s="9"/>
      <c r="H157" s="9"/>
      <c r="I157" s="9"/>
      <c r="J157" s="9"/>
      <c r="K157" s="9"/>
      <c r="L157" s="9"/>
      <c r="M157" s="9"/>
      <c r="N157" s="9"/>
      <c r="O157" s="9"/>
    </row>
    <row r="158" spans="1:15">
      <c r="A158" s="9"/>
      <c r="B158" s="9"/>
      <c r="C158" s="9"/>
      <c r="D158" s="9"/>
      <c r="E158" s="9"/>
      <c r="F158" s="9"/>
      <c r="G158" s="9"/>
      <c r="H158" s="9"/>
      <c r="I158" s="9"/>
      <c r="J158" s="9"/>
      <c r="K158" s="9"/>
      <c r="L158" s="9"/>
      <c r="M158" s="9"/>
      <c r="N158" s="9"/>
      <c r="O158" s="9"/>
    </row>
    <row r="159" spans="1:15" ht="25.5" customHeight="1">
      <c r="A159" s="9"/>
      <c r="B159" s="279" t="s">
        <v>185</v>
      </c>
      <c r="C159" s="279"/>
      <c r="D159" s="279"/>
      <c r="E159" s="279"/>
      <c r="F159" s="279"/>
      <c r="G159" s="279"/>
      <c r="H159" s="279"/>
      <c r="I159" s="279"/>
      <c r="J159" s="279"/>
      <c r="K159" s="279"/>
      <c r="L159" s="9"/>
      <c r="M159" s="9"/>
      <c r="N159" s="9"/>
      <c r="O159" s="9"/>
    </row>
    <row r="160" spans="1:15">
      <c r="A160" s="9"/>
      <c r="B160" s="9"/>
      <c r="C160" s="9"/>
      <c r="D160" s="9"/>
      <c r="E160" s="9"/>
      <c r="F160" s="9"/>
      <c r="G160" s="9"/>
      <c r="H160" s="9"/>
      <c r="I160" s="9"/>
      <c r="J160" s="9"/>
      <c r="K160" s="9"/>
      <c r="L160" s="9"/>
      <c r="M160" s="9"/>
      <c r="N160" s="9"/>
      <c r="O160" s="9"/>
    </row>
    <row r="161" spans="1:15">
      <c r="A161" s="9"/>
      <c r="B161" s="11" t="s">
        <v>186</v>
      </c>
      <c r="C161" s="9"/>
      <c r="D161" s="9"/>
      <c r="E161" s="9"/>
      <c r="F161" s="9"/>
      <c r="G161" s="9"/>
      <c r="H161" s="9"/>
      <c r="I161" s="9"/>
      <c r="J161" s="9"/>
      <c r="K161" s="9"/>
      <c r="L161" s="9"/>
      <c r="M161" s="9"/>
      <c r="N161" s="9"/>
      <c r="O161" s="9"/>
    </row>
    <row r="162" spans="1:15">
      <c r="A162" s="9"/>
      <c r="B162" s="9"/>
      <c r="C162" s="9"/>
      <c r="D162" s="9"/>
      <c r="E162" s="9"/>
      <c r="F162" s="9"/>
      <c r="G162" s="9"/>
      <c r="H162" s="9"/>
      <c r="I162" s="9"/>
      <c r="J162" s="9"/>
      <c r="K162" s="9"/>
      <c r="L162" s="9"/>
      <c r="M162" s="9"/>
      <c r="N162" s="9"/>
      <c r="O162" s="9"/>
    </row>
    <row r="163" spans="1:15">
      <c r="A163" s="9"/>
      <c r="B163" s="9"/>
      <c r="C163" s="9"/>
      <c r="D163" s="9"/>
      <c r="E163" s="9"/>
      <c r="F163" s="9"/>
      <c r="G163" s="9"/>
      <c r="H163" s="9"/>
      <c r="I163" s="9"/>
      <c r="J163" s="9"/>
      <c r="K163" s="9"/>
      <c r="L163" s="9"/>
      <c r="M163" s="9"/>
      <c r="N163" s="9"/>
      <c r="O163" s="9"/>
    </row>
    <row r="164" spans="1:15">
      <c r="A164" s="9"/>
      <c r="B164" s="9"/>
      <c r="C164" s="9"/>
      <c r="D164" s="9"/>
      <c r="E164" s="9"/>
      <c r="F164" s="9"/>
      <c r="G164" s="9"/>
      <c r="H164" s="9"/>
      <c r="I164" s="9"/>
      <c r="J164" s="9"/>
      <c r="K164" s="9"/>
      <c r="L164" s="9"/>
      <c r="M164" s="9"/>
      <c r="N164" s="9"/>
      <c r="O164" s="9"/>
    </row>
    <row r="165" spans="1:15">
      <c r="A165" s="9"/>
      <c r="B165" s="9"/>
      <c r="C165" s="9"/>
      <c r="D165" s="9"/>
      <c r="E165" s="9"/>
      <c r="F165" s="9"/>
      <c r="G165" s="9"/>
      <c r="H165" s="9"/>
      <c r="I165" s="9"/>
      <c r="J165" s="9"/>
      <c r="K165" s="9"/>
      <c r="L165" s="9"/>
      <c r="M165" s="9"/>
      <c r="N165" s="9"/>
      <c r="O165" s="9"/>
    </row>
    <row r="166" spans="1:15">
      <c r="A166" s="9"/>
      <c r="B166" s="9"/>
      <c r="C166" s="9"/>
      <c r="D166" s="9"/>
      <c r="E166" s="9"/>
      <c r="F166" s="9"/>
      <c r="G166" s="9"/>
      <c r="H166" s="9"/>
      <c r="I166" s="9"/>
      <c r="J166" s="9"/>
      <c r="K166" s="9"/>
      <c r="L166" s="9"/>
      <c r="M166" s="9"/>
      <c r="N166" s="9"/>
      <c r="O166" s="9"/>
    </row>
    <row r="167" spans="1:15">
      <c r="A167" s="9"/>
      <c r="B167" s="9"/>
      <c r="C167" s="9"/>
      <c r="D167" s="9"/>
      <c r="E167" s="9"/>
      <c r="F167" s="9"/>
      <c r="G167" s="9"/>
      <c r="H167" s="9"/>
      <c r="I167" s="9"/>
      <c r="J167" s="9"/>
      <c r="K167" s="9"/>
      <c r="L167" s="9"/>
      <c r="M167" s="9"/>
      <c r="N167" s="9"/>
      <c r="O167" s="9"/>
    </row>
    <row r="168" spans="1:15">
      <c r="A168" s="9"/>
      <c r="B168" s="9"/>
      <c r="C168" s="9"/>
      <c r="D168" s="9"/>
      <c r="E168" s="9"/>
      <c r="F168" s="9"/>
      <c r="G168" s="9"/>
      <c r="H168" s="9"/>
      <c r="I168" s="9"/>
      <c r="J168" s="9"/>
      <c r="K168" s="9"/>
      <c r="L168" s="9"/>
      <c r="M168" s="9"/>
      <c r="N168" s="9"/>
      <c r="O168" s="9"/>
    </row>
    <row r="169" spans="1:15">
      <c r="A169" s="9"/>
      <c r="B169" s="9"/>
      <c r="C169" s="9"/>
      <c r="D169" s="9"/>
      <c r="E169" s="9"/>
      <c r="F169" s="9"/>
      <c r="G169" s="9"/>
      <c r="H169" s="9"/>
      <c r="I169" s="9"/>
      <c r="J169" s="9"/>
      <c r="K169" s="9"/>
      <c r="L169" s="9"/>
      <c r="M169" s="9"/>
      <c r="N169" s="9"/>
      <c r="O169" s="9"/>
    </row>
    <row r="170" spans="1:15">
      <c r="A170" s="9"/>
      <c r="B170" s="9"/>
      <c r="C170" s="9"/>
      <c r="D170" s="9"/>
      <c r="E170" s="9"/>
      <c r="F170" s="9"/>
      <c r="G170" s="9"/>
      <c r="H170" s="9"/>
      <c r="I170" s="9"/>
      <c r="J170" s="9"/>
      <c r="K170" s="9"/>
      <c r="L170" s="9"/>
      <c r="M170" s="9"/>
      <c r="N170" s="9"/>
      <c r="O170" s="9"/>
    </row>
    <row r="171" spans="1:15">
      <c r="A171" s="9"/>
      <c r="B171" s="9"/>
      <c r="C171" s="9"/>
      <c r="D171" s="9"/>
      <c r="E171" s="9"/>
      <c r="F171" s="9"/>
      <c r="G171" s="9"/>
      <c r="H171" s="9"/>
      <c r="I171" s="9"/>
      <c r="J171" s="9"/>
      <c r="K171" s="9"/>
      <c r="L171" s="9"/>
      <c r="M171" s="9"/>
      <c r="N171" s="9"/>
      <c r="O171" s="9"/>
    </row>
    <row r="172" spans="1:15">
      <c r="A172" s="9"/>
      <c r="B172" s="9"/>
      <c r="C172" s="9"/>
      <c r="D172" s="9"/>
      <c r="E172" s="9"/>
      <c r="F172" s="9"/>
      <c r="G172" s="9"/>
      <c r="H172" s="9"/>
      <c r="I172" s="9"/>
      <c r="J172" s="9"/>
      <c r="K172" s="9"/>
      <c r="L172" s="9"/>
      <c r="M172" s="9"/>
      <c r="N172" s="9"/>
      <c r="O172" s="9"/>
    </row>
    <row r="173" spans="1:15">
      <c r="A173" s="9"/>
      <c r="B173" s="9"/>
      <c r="C173" s="9"/>
      <c r="D173" s="9"/>
      <c r="E173" s="9"/>
      <c r="F173" s="9"/>
      <c r="G173" s="9"/>
      <c r="H173" s="9"/>
      <c r="I173" s="9"/>
      <c r="J173" s="9"/>
      <c r="K173" s="9"/>
      <c r="L173" s="9"/>
      <c r="M173" s="9"/>
      <c r="N173" s="9"/>
      <c r="O173" s="9"/>
    </row>
    <row r="174" spans="1:15">
      <c r="A174" s="9"/>
      <c r="B174" s="9"/>
      <c r="C174" s="9"/>
      <c r="D174" s="9"/>
      <c r="E174" s="9"/>
      <c r="F174" s="9"/>
      <c r="G174" s="9"/>
      <c r="H174" s="9"/>
      <c r="I174" s="9"/>
      <c r="J174" s="9"/>
      <c r="K174" s="9"/>
      <c r="L174" s="9"/>
      <c r="M174" s="9"/>
      <c r="N174" s="9"/>
      <c r="O174" s="9"/>
    </row>
    <row r="175" spans="1:15">
      <c r="A175" s="9"/>
      <c r="B175" s="9"/>
      <c r="C175" s="9"/>
      <c r="D175" s="9"/>
      <c r="E175" s="9"/>
      <c r="F175" s="9"/>
      <c r="G175" s="9"/>
      <c r="H175" s="9"/>
      <c r="I175" s="9"/>
      <c r="J175" s="9"/>
      <c r="K175" s="9"/>
      <c r="L175" s="9"/>
      <c r="M175" s="9"/>
      <c r="N175" s="9"/>
      <c r="O175" s="9"/>
    </row>
    <row r="176" spans="1:15">
      <c r="A176" s="9"/>
      <c r="B176" s="9"/>
      <c r="C176" s="9"/>
      <c r="D176" s="9"/>
      <c r="E176" s="9"/>
      <c r="F176" s="9"/>
      <c r="G176" s="9"/>
      <c r="H176" s="9"/>
      <c r="I176" s="9"/>
      <c r="J176" s="9"/>
      <c r="K176" s="9"/>
      <c r="L176" s="9"/>
      <c r="M176" s="9"/>
      <c r="N176" s="9"/>
      <c r="O176" s="9"/>
    </row>
    <row r="177" spans="1:15">
      <c r="A177" s="9"/>
      <c r="B177" s="9"/>
      <c r="C177" s="9"/>
      <c r="D177" s="9"/>
      <c r="E177" s="9"/>
      <c r="F177" s="9"/>
      <c r="G177" s="9"/>
      <c r="H177" s="9"/>
      <c r="I177" s="9"/>
      <c r="J177" s="9"/>
      <c r="K177" s="9"/>
      <c r="L177" s="9"/>
      <c r="M177" s="9"/>
      <c r="N177" s="9"/>
      <c r="O177" s="9"/>
    </row>
    <row r="178" spans="1:15">
      <c r="A178" s="9"/>
      <c r="B178" s="9"/>
      <c r="C178" s="9"/>
      <c r="D178" s="9"/>
      <c r="E178" s="9"/>
      <c r="F178" s="9"/>
      <c r="G178" s="9"/>
      <c r="H178" s="9"/>
      <c r="I178" s="9"/>
      <c r="J178" s="9"/>
      <c r="K178" s="9"/>
      <c r="L178" s="9"/>
      <c r="M178" s="9"/>
      <c r="N178" s="9"/>
      <c r="O178" s="9"/>
    </row>
    <row r="179" spans="1:15">
      <c r="A179" s="9"/>
      <c r="B179" s="9"/>
      <c r="C179" s="9"/>
      <c r="D179" s="9"/>
      <c r="E179" s="9"/>
      <c r="F179" s="9"/>
      <c r="G179" s="9"/>
      <c r="H179" s="9"/>
      <c r="I179" s="9"/>
      <c r="J179" s="9"/>
      <c r="K179" s="9"/>
      <c r="L179" s="9"/>
      <c r="M179" s="9"/>
      <c r="N179" s="9"/>
      <c r="O179" s="9"/>
    </row>
    <row r="180" spans="1:15">
      <c r="A180" s="9"/>
      <c r="B180" s="9"/>
      <c r="C180" s="9"/>
      <c r="D180" s="9"/>
      <c r="E180" s="9"/>
      <c r="F180" s="9"/>
      <c r="G180" s="9"/>
      <c r="H180" s="9"/>
      <c r="I180" s="9"/>
      <c r="J180" s="9"/>
      <c r="K180" s="9"/>
      <c r="L180" s="9"/>
      <c r="M180" s="9"/>
      <c r="N180" s="9"/>
      <c r="O180" s="9"/>
    </row>
    <row r="181" spans="1:15">
      <c r="A181" s="9"/>
      <c r="B181" s="9"/>
      <c r="C181" s="9"/>
      <c r="D181" s="9"/>
      <c r="E181" s="9"/>
      <c r="F181" s="9"/>
      <c r="G181" s="9"/>
      <c r="H181" s="9"/>
      <c r="I181" s="9"/>
      <c r="J181" s="9"/>
      <c r="K181" s="9"/>
      <c r="L181" s="9"/>
      <c r="M181" s="9"/>
      <c r="N181" s="9"/>
      <c r="O181" s="9"/>
    </row>
    <row r="182" spans="1:15">
      <c r="A182" s="9"/>
      <c r="B182" s="9"/>
      <c r="C182" s="9"/>
      <c r="D182" s="9"/>
      <c r="E182" s="9"/>
      <c r="F182" s="9"/>
      <c r="G182" s="9"/>
      <c r="H182" s="9"/>
      <c r="I182" s="9"/>
      <c r="J182" s="9"/>
      <c r="K182" s="9"/>
      <c r="L182" s="9"/>
      <c r="M182" s="9"/>
      <c r="N182" s="9"/>
      <c r="O182" s="9"/>
    </row>
    <row r="183" spans="1:15">
      <c r="A183" s="9"/>
      <c r="B183" s="9"/>
      <c r="C183" s="9"/>
      <c r="D183" s="9"/>
      <c r="E183" s="9"/>
      <c r="F183" s="9"/>
      <c r="G183" s="9"/>
      <c r="H183" s="9"/>
      <c r="I183" s="9"/>
      <c r="J183" s="9"/>
      <c r="K183" s="9"/>
      <c r="L183" s="9"/>
      <c r="M183" s="9"/>
      <c r="N183" s="9"/>
      <c r="O183" s="9"/>
    </row>
    <row r="184" spans="1:15">
      <c r="A184" s="9"/>
      <c r="B184" s="9"/>
      <c r="C184" s="9"/>
      <c r="D184" s="9"/>
      <c r="E184" s="9"/>
      <c r="F184" s="9"/>
      <c r="G184" s="9"/>
      <c r="H184" s="9"/>
      <c r="I184" s="9"/>
      <c r="J184" s="9"/>
      <c r="K184" s="9"/>
      <c r="L184" s="9"/>
      <c r="M184" s="9"/>
      <c r="N184" s="9"/>
      <c r="O184" s="9"/>
    </row>
    <row r="185" spans="1:15">
      <c r="A185" s="9"/>
      <c r="B185" s="9"/>
      <c r="C185" s="9"/>
      <c r="D185" s="9"/>
      <c r="E185" s="9"/>
      <c r="F185" s="9"/>
      <c r="G185" s="9"/>
      <c r="H185" s="9"/>
      <c r="I185" s="9"/>
      <c r="J185" s="9"/>
      <c r="K185" s="9"/>
      <c r="L185" s="9"/>
      <c r="M185" s="9"/>
      <c r="N185" s="9"/>
      <c r="O185" s="9"/>
    </row>
    <row r="186" spans="1:15">
      <c r="A186" s="9"/>
      <c r="B186" s="9"/>
      <c r="C186" s="9"/>
      <c r="D186" s="9"/>
      <c r="E186" s="9"/>
      <c r="F186" s="9"/>
      <c r="G186" s="9"/>
      <c r="H186" s="9"/>
      <c r="I186" s="9"/>
      <c r="J186" s="9"/>
      <c r="K186" s="9"/>
      <c r="L186" s="9"/>
      <c r="M186" s="9"/>
      <c r="N186" s="9"/>
      <c r="O186" s="9"/>
    </row>
    <row r="187" spans="1:15">
      <c r="A187" s="9"/>
      <c r="B187" s="9"/>
      <c r="C187" s="9"/>
      <c r="D187" s="9"/>
      <c r="E187" s="9"/>
      <c r="F187" s="9"/>
      <c r="G187" s="9"/>
      <c r="H187" s="9"/>
      <c r="I187" s="9"/>
      <c r="J187" s="9"/>
      <c r="K187" s="9"/>
      <c r="L187" s="9"/>
      <c r="M187" s="9"/>
      <c r="N187" s="9"/>
      <c r="O187" s="9"/>
    </row>
    <row r="188" spans="1:15">
      <c r="A188" s="9"/>
      <c r="B188" s="9"/>
      <c r="C188" s="9"/>
      <c r="D188" s="9"/>
      <c r="E188" s="9"/>
      <c r="F188" s="9"/>
      <c r="G188" s="9"/>
      <c r="H188" s="9"/>
      <c r="I188" s="9"/>
      <c r="J188" s="9"/>
      <c r="K188" s="9"/>
      <c r="L188" s="9"/>
      <c r="M188" s="9"/>
      <c r="N188" s="9"/>
      <c r="O188" s="9"/>
    </row>
    <row r="189" spans="1:15">
      <c r="A189" s="9"/>
      <c r="B189" s="9"/>
      <c r="C189" s="9"/>
      <c r="D189" s="9"/>
      <c r="E189" s="9"/>
      <c r="F189" s="9"/>
      <c r="G189" s="9"/>
      <c r="H189" s="9"/>
      <c r="I189" s="9"/>
      <c r="J189" s="9"/>
      <c r="K189" s="9"/>
      <c r="L189" s="9"/>
      <c r="M189" s="9"/>
      <c r="N189" s="9"/>
      <c r="O189" s="9"/>
    </row>
    <row r="190" spans="1:15">
      <c r="A190" s="9"/>
      <c r="B190" s="9"/>
      <c r="C190" s="9"/>
      <c r="D190" s="9"/>
      <c r="E190" s="9"/>
      <c r="F190" s="9"/>
      <c r="G190" s="9"/>
      <c r="H190" s="9"/>
      <c r="I190" s="9"/>
      <c r="J190" s="9"/>
      <c r="K190" s="9"/>
      <c r="L190" s="9"/>
      <c r="M190" s="9"/>
      <c r="N190" s="9"/>
      <c r="O190" s="9"/>
    </row>
    <row r="191" spans="1:15">
      <c r="A191" s="9"/>
      <c r="B191" s="9"/>
      <c r="C191" s="9"/>
      <c r="D191" s="9"/>
      <c r="E191" s="9"/>
      <c r="F191" s="9"/>
      <c r="G191" s="9"/>
      <c r="H191" s="9"/>
      <c r="I191" s="9"/>
      <c r="J191" s="9"/>
      <c r="K191" s="9"/>
      <c r="L191" s="9"/>
      <c r="M191" s="9"/>
      <c r="N191" s="9"/>
      <c r="O191" s="9"/>
    </row>
    <row r="192" spans="1:15">
      <c r="A192" s="9"/>
      <c r="B192" s="9"/>
      <c r="C192" s="9"/>
      <c r="D192" s="9"/>
      <c r="E192" s="9"/>
      <c r="F192" s="9"/>
      <c r="G192" s="9"/>
      <c r="H192" s="9"/>
      <c r="I192" s="9"/>
      <c r="J192" s="9"/>
      <c r="K192" s="9"/>
      <c r="L192" s="9"/>
      <c r="M192" s="9"/>
      <c r="N192" s="9"/>
      <c r="O192" s="9"/>
    </row>
    <row r="193" spans="1:15">
      <c r="A193" s="9"/>
      <c r="B193" s="9"/>
      <c r="C193" s="9"/>
      <c r="D193" s="9"/>
      <c r="E193" s="9"/>
      <c r="F193" s="9"/>
      <c r="G193" s="9"/>
      <c r="H193" s="9"/>
      <c r="I193" s="9"/>
      <c r="J193" s="9"/>
      <c r="K193" s="9"/>
      <c r="L193" s="9"/>
      <c r="M193" s="9"/>
      <c r="N193" s="9"/>
      <c r="O193" s="9"/>
    </row>
    <row r="194" spans="1:15">
      <c r="A194" s="9"/>
      <c r="B194" s="9"/>
      <c r="C194" s="9"/>
      <c r="D194" s="9"/>
      <c r="E194" s="9"/>
      <c r="F194" s="9"/>
      <c r="G194" s="9"/>
      <c r="H194" s="9"/>
      <c r="I194" s="9"/>
      <c r="J194" s="9"/>
      <c r="K194" s="9"/>
      <c r="L194" s="9"/>
      <c r="M194" s="9"/>
      <c r="N194" s="9"/>
      <c r="O194" s="9"/>
    </row>
    <row r="195" spans="1:15">
      <c r="A195" s="9"/>
      <c r="B195" s="9"/>
      <c r="C195" s="9"/>
      <c r="D195" s="9"/>
      <c r="E195" s="9"/>
      <c r="F195" s="9"/>
      <c r="G195" s="9"/>
      <c r="H195" s="9"/>
      <c r="I195" s="9"/>
      <c r="J195" s="9"/>
      <c r="K195" s="9"/>
      <c r="L195" s="9"/>
      <c r="M195" s="9"/>
      <c r="N195" s="9"/>
      <c r="O195" s="9"/>
    </row>
    <row r="196" spans="1:15">
      <c r="A196" s="9"/>
      <c r="B196" s="9"/>
      <c r="C196" s="9"/>
      <c r="D196" s="9"/>
      <c r="E196" s="9"/>
      <c r="F196" s="9"/>
      <c r="G196" s="9"/>
      <c r="H196" s="9"/>
      <c r="I196" s="9"/>
      <c r="J196" s="9"/>
      <c r="K196" s="9"/>
      <c r="L196" s="9"/>
      <c r="M196" s="9"/>
      <c r="N196" s="9"/>
      <c r="O196" s="9"/>
    </row>
    <row r="197" spans="1:15">
      <c r="A197" s="9"/>
      <c r="B197" s="9"/>
      <c r="C197" s="9"/>
      <c r="D197" s="9"/>
      <c r="E197" s="9"/>
      <c r="F197" s="9"/>
      <c r="G197" s="9"/>
      <c r="H197" s="9"/>
      <c r="I197" s="9"/>
      <c r="J197" s="9"/>
      <c r="K197" s="9"/>
      <c r="L197" s="9"/>
      <c r="M197" s="9"/>
      <c r="N197" s="9"/>
      <c r="O197" s="9"/>
    </row>
    <row r="198" spans="1:15">
      <c r="A198" s="9"/>
      <c r="B198" s="9"/>
      <c r="C198" s="9"/>
      <c r="D198" s="9"/>
      <c r="E198" s="9"/>
      <c r="F198" s="9"/>
      <c r="G198" s="9"/>
      <c r="H198" s="9"/>
      <c r="I198" s="9"/>
      <c r="J198" s="9"/>
      <c r="K198" s="9"/>
      <c r="L198" s="9"/>
      <c r="M198" s="9"/>
      <c r="N198" s="9"/>
      <c r="O198" s="9"/>
    </row>
    <row r="199" spans="1:15">
      <c r="A199" s="9"/>
      <c r="B199" s="9"/>
      <c r="C199" s="9"/>
      <c r="D199" s="9"/>
      <c r="E199" s="9"/>
      <c r="F199" s="9"/>
      <c r="G199" s="9"/>
      <c r="H199" s="9"/>
      <c r="I199" s="9"/>
      <c r="J199" s="9"/>
      <c r="K199" s="9"/>
      <c r="L199" s="9"/>
      <c r="M199" s="9"/>
      <c r="N199" s="9"/>
      <c r="O199" s="9"/>
    </row>
    <row r="200" spans="1:15">
      <c r="A200" s="9"/>
      <c r="B200" s="9"/>
      <c r="C200" s="9"/>
      <c r="D200" s="9"/>
      <c r="E200" s="9"/>
      <c r="F200" s="9"/>
      <c r="G200" s="9"/>
      <c r="H200" s="9"/>
      <c r="I200" s="9"/>
      <c r="J200" s="9"/>
      <c r="K200" s="9"/>
      <c r="L200" s="9"/>
      <c r="M200" s="9"/>
      <c r="N200" s="9"/>
      <c r="O200" s="9"/>
    </row>
    <row r="201" spans="1:15">
      <c r="A201" s="9"/>
      <c r="B201" s="9"/>
      <c r="C201" s="9"/>
      <c r="D201" s="9"/>
      <c r="E201" s="9"/>
      <c r="F201" s="9"/>
      <c r="G201" s="9"/>
      <c r="H201" s="9"/>
      <c r="I201" s="9"/>
      <c r="J201" s="9"/>
      <c r="K201" s="9"/>
      <c r="L201" s="9"/>
      <c r="M201" s="9"/>
      <c r="N201" s="9"/>
      <c r="O201" s="9"/>
    </row>
    <row r="202" spans="1:15">
      <c r="A202" s="9"/>
      <c r="B202" s="13" t="s">
        <v>187</v>
      </c>
      <c r="C202" s="9"/>
      <c r="D202" s="9"/>
      <c r="E202" s="9"/>
      <c r="F202" s="9"/>
      <c r="G202" s="9"/>
      <c r="H202" s="9"/>
      <c r="I202" s="9"/>
      <c r="J202" s="9"/>
      <c r="K202" s="9"/>
      <c r="L202" s="9"/>
      <c r="M202" s="9"/>
      <c r="N202" s="9"/>
      <c r="O202" s="9"/>
    </row>
    <row r="203" spans="1:15">
      <c r="A203" s="9"/>
      <c r="B203" s="9"/>
      <c r="C203" s="9"/>
      <c r="D203" s="9"/>
      <c r="E203" s="9"/>
      <c r="F203" s="9"/>
      <c r="G203" s="9"/>
      <c r="H203" s="9"/>
      <c r="I203" s="9"/>
      <c r="J203" s="9"/>
      <c r="K203" s="9"/>
      <c r="L203" s="9"/>
      <c r="M203" s="9"/>
      <c r="N203" s="9"/>
      <c r="O203" s="9"/>
    </row>
    <row r="204" spans="1:15" ht="27.65" customHeight="1">
      <c r="A204" s="9"/>
      <c r="B204" s="279" t="s">
        <v>188</v>
      </c>
      <c r="C204" s="279"/>
      <c r="D204" s="279"/>
      <c r="E204" s="279"/>
      <c r="F204" s="279"/>
      <c r="G204" s="279"/>
      <c r="H204" s="279"/>
      <c r="I204" s="279"/>
      <c r="J204" s="279"/>
      <c r="K204" s="279"/>
      <c r="L204" s="9"/>
      <c r="M204" s="9"/>
      <c r="N204" s="9"/>
      <c r="O204" s="9"/>
    </row>
    <row r="205" spans="1:15">
      <c r="A205" s="9"/>
      <c r="B205" s="9"/>
      <c r="C205" s="9"/>
      <c r="D205" s="9"/>
      <c r="E205" s="9"/>
      <c r="F205" s="9"/>
      <c r="G205" s="9"/>
      <c r="H205" s="9"/>
      <c r="I205" s="9"/>
      <c r="J205" s="9"/>
      <c r="K205" s="9"/>
      <c r="L205" s="9"/>
      <c r="M205" s="9"/>
      <c r="N205" s="9"/>
      <c r="O205" s="9"/>
    </row>
    <row r="206" spans="1:15">
      <c r="A206" s="9"/>
      <c r="B206" s="11" t="s">
        <v>189</v>
      </c>
      <c r="C206" s="9"/>
      <c r="D206" s="9"/>
      <c r="E206" s="9"/>
      <c r="F206" s="9"/>
      <c r="G206" s="9"/>
      <c r="H206" s="9"/>
      <c r="I206" s="9"/>
      <c r="J206" s="9"/>
      <c r="K206" s="9"/>
      <c r="L206" s="9"/>
      <c r="M206" s="9"/>
      <c r="N206" s="9"/>
      <c r="O206" s="9"/>
    </row>
    <row r="207" spans="1:15">
      <c r="A207" s="9"/>
      <c r="B207" s="9"/>
      <c r="C207" s="9"/>
      <c r="D207" s="9"/>
      <c r="E207" s="9"/>
      <c r="F207" s="9"/>
      <c r="G207" s="9"/>
      <c r="H207" s="9"/>
      <c r="I207" s="9"/>
      <c r="J207" s="9"/>
      <c r="K207" s="9"/>
      <c r="L207" s="9"/>
      <c r="M207" s="9"/>
      <c r="N207" s="9"/>
      <c r="O207" s="9"/>
    </row>
    <row r="208" spans="1:15">
      <c r="A208" s="9"/>
      <c r="B208" s="9"/>
      <c r="C208" s="9"/>
      <c r="D208" s="9"/>
      <c r="E208" s="9"/>
      <c r="F208" s="9"/>
      <c r="G208" s="9"/>
      <c r="H208" s="9"/>
      <c r="I208" s="9"/>
      <c r="J208" s="9"/>
      <c r="K208" s="9"/>
      <c r="L208" s="9"/>
      <c r="M208" s="9"/>
      <c r="N208" s="9"/>
      <c r="O208" s="9"/>
    </row>
    <row r="209" spans="1:15">
      <c r="A209" s="9"/>
      <c r="B209" s="9"/>
      <c r="C209" s="9"/>
      <c r="D209" s="9"/>
      <c r="E209" s="9"/>
      <c r="F209" s="9"/>
      <c r="G209" s="9"/>
      <c r="H209" s="9"/>
      <c r="I209" s="9"/>
      <c r="J209" s="9"/>
      <c r="K209" s="9"/>
      <c r="L209" s="9"/>
      <c r="M209" s="9"/>
      <c r="N209" s="9"/>
      <c r="O209" s="9"/>
    </row>
    <row r="210" spans="1:15">
      <c r="A210" s="9"/>
      <c r="B210" s="9"/>
      <c r="C210" s="9"/>
      <c r="D210" s="9"/>
      <c r="E210" s="9"/>
      <c r="F210" s="9"/>
      <c r="G210" s="9"/>
      <c r="H210" s="9"/>
      <c r="I210" s="9"/>
      <c r="J210" s="9"/>
      <c r="K210" s="9"/>
      <c r="L210" s="9"/>
      <c r="M210" s="9"/>
      <c r="N210" s="9"/>
      <c r="O210" s="9"/>
    </row>
    <row r="211" spans="1:15">
      <c r="A211" s="9"/>
      <c r="B211" s="9"/>
      <c r="C211" s="9"/>
      <c r="D211" s="9"/>
      <c r="E211" s="9"/>
      <c r="F211" s="9"/>
      <c r="G211" s="9"/>
      <c r="H211" s="9"/>
      <c r="I211" s="9"/>
      <c r="J211" s="9"/>
      <c r="K211" s="9"/>
      <c r="L211" s="9"/>
      <c r="M211" s="9"/>
      <c r="N211" s="9"/>
      <c r="O211" s="9"/>
    </row>
    <row r="212" spans="1:15">
      <c r="A212" s="9"/>
      <c r="B212" s="9"/>
      <c r="C212" s="9"/>
      <c r="D212" s="9"/>
      <c r="E212" s="9"/>
      <c r="F212" s="9"/>
      <c r="G212" s="9"/>
      <c r="H212" s="9"/>
      <c r="I212" s="9"/>
      <c r="J212" s="9"/>
      <c r="K212" s="9"/>
      <c r="L212" s="9"/>
      <c r="M212" s="9"/>
      <c r="N212" s="9"/>
      <c r="O212" s="9"/>
    </row>
    <row r="213" spans="1:15">
      <c r="A213" s="9"/>
      <c r="B213" s="9"/>
      <c r="C213" s="9"/>
      <c r="D213" s="9"/>
      <c r="E213" s="9"/>
      <c r="F213" s="9"/>
      <c r="G213" s="9"/>
      <c r="H213" s="9"/>
      <c r="I213" s="9"/>
      <c r="J213" s="9"/>
      <c r="K213" s="9"/>
      <c r="L213" s="9"/>
      <c r="M213" s="9"/>
      <c r="N213" s="9"/>
      <c r="O213" s="9"/>
    </row>
    <row r="214" spans="1:15">
      <c r="A214" s="9"/>
      <c r="B214" s="9"/>
      <c r="C214" s="9"/>
      <c r="D214" s="9"/>
      <c r="E214" s="9"/>
      <c r="F214" s="9"/>
      <c r="G214" s="9"/>
      <c r="H214" s="9"/>
      <c r="I214" s="9"/>
      <c r="J214" s="9"/>
      <c r="K214" s="9"/>
      <c r="L214" s="9"/>
      <c r="M214" s="9"/>
      <c r="N214" s="9"/>
      <c r="O214" s="9"/>
    </row>
    <row r="215" spans="1:15">
      <c r="A215" s="9"/>
      <c r="B215" s="9"/>
      <c r="C215" s="9"/>
      <c r="D215" s="9"/>
      <c r="E215" s="9"/>
      <c r="F215" s="9"/>
      <c r="G215" s="9"/>
      <c r="H215" s="9"/>
      <c r="I215" s="9"/>
      <c r="J215" s="9"/>
      <c r="K215" s="9"/>
      <c r="L215" s="9"/>
      <c r="M215" s="9"/>
      <c r="N215" s="9"/>
      <c r="O215" s="9"/>
    </row>
    <row r="216" spans="1:15">
      <c r="A216" s="9"/>
      <c r="B216" s="9"/>
      <c r="C216" s="9"/>
      <c r="D216" s="9"/>
      <c r="E216" s="9"/>
      <c r="F216" s="9"/>
      <c r="G216" s="9"/>
      <c r="H216" s="9"/>
      <c r="I216" s="9"/>
      <c r="J216" s="9"/>
      <c r="K216" s="9"/>
      <c r="L216" s="9"/>
      <c r="M216" s="9"/>
      <c r="N216" s="9"/>
      <c r="O216" s="9"/>
    </row>
    <row r="217" spans="1:15">
      <c r="A217" s="9"/>
      <c r="B217" s="9"/>
      <c r="C217" s="9"/>
      <c r="D217" s="9"/>
      <c r="E217" s="9"/>
      <c r="F217" s="9"/>
      <c r="G217" s="9"/>
      <c r="H217" s="9"/>
      <c r="I217" s="9"/>
      <c r="J217" s="9"/>
      <c r="K217" s="9"/>
      <c r="L217" s="9"/>
      <c r="M217" s="9"/>
      <c r="N217" s="9"/>
      <c r="O217" s="9"/>
    </row>
    <row r="218" spans="1:15">
      <c r="A218" s="9"/>
      <c r="B218" s="9"/>
      <c r="C218" s="9"/>
      <c r="D218" s="9"/>
      <c r="E218" s="9"/>
      <c r="F218" s="9"/>
      <c r="G218" s="9"/>
      <c r="H218" s="9"/>
      <c r="I218" s="9"/>
      <c r="J218" s="9"/>
      <c r="K218" s="9"/>
      <c r="L218" s="9"/>
      <c r="M218" s="9"/>
      <c r="N218" s="9"/>
      <c r="O218" s="9"/>
    </row>
    <row r="219" spans="1:15">
      <c r="A219" s="9"/>
      <c r="B219" s="9"/>
      <c r="C219" s="9"/>
      <c r="D219" s="9"/>
      <c r="E219" s="9"/>
      <c r="F219" s="9"/>
      <c r="G219" s="9"/>
      <c r="H219" s="9"/>
      <c r="I219" s="9"/>
      <c r="J219" s="9"/>
      <c r="K219" s="9"/>
      <c r="L219" s="9"/>
      <c r="M219" s="9"/>
      <c r="N219" s="9"/>
      <c r="O219" s="9"/>
    </row>
    <row r="220" spans="1:15">
      <c r="A220" s="9"/>
      <c r="B220" s="9"/>
      <c r="C220" s="9"/>
      <c r="D220" s="9"/>
      <c r="E220" s="9"/>
      <c r="F220" s="9"/>
      <c r="G220" s="9"/>
      <c r="H220" s="9"/>
      <c r="I220" s="9"/>
      <c r="J220" s="9"/>
      <c r="K220" s="9"/>
      <c r="L220" s="9"/>
      <c r="M220" s="9"/>
      <c r="N220" s="9"/>
      <c r="O220" s="9"/>
    </row>
    <row r="221" spans="1:15">
      <c r="A221" s="9"/>
      <c r="B221" s="9"/>
      <c r="C221" s="9"/>
      <c r="D221" s="9"/>
      <c r="E221" s="9"/>
      <c r="F221" s="9"/>
      <c r="G221" s="9"/>
      <c r="H221" s="9"/>
      <c r="I221" s="9"/>
      <c r="J221" s="9"/>
      <c r="K221" s="9"/>
      <c r="L221" s="9"/>
      <c r="M221" s="9"/>
      <c r="N221" s="9"/>
      <c r="O221" s="9"/>
    </row>
    <row r="222" spans="1:15">
      <c r="A222" s="9"/>
      <c r="B222" s="9"/>
      <c r="C222" s="9"/>
      <c r="D222" s="9"/>
      <c r="E222" s="9"/>
      <c r="F222" s="9"/>
      <c r="G222" s="9"/>
      <c r="H222" s="9"/>
      <c r="I222" s="9"/>
      <c r="J222" s="9"/>
      <c r="K222" s="9"/>
      <c r="L222" s="9"/>
      <c r="M222" s="9"/>
      <c r="N222" s="9"/>
      <c r="O222" s="9"/>
    </row>
    <row r="223" spans="1:15">
      <c r="A223" s="9"/>
      <c r="B223" s="9"/>
      <c r="C223" s="9"/>
      <c r="D223" s="9"/>
      <c r="E223" s="9"/>
      <c r="F223" s="9"/>
      <c r="G223" s="9"/>
      <c r="H223" s="9"/>
      <c r="I223" s="9"/>
      <c r="J223" s="9"/>
      <c r="K223" s="9"/>
      <c r="L223" s="9"/>
      <c r="M223" s="9"/>
      <c r="N223" s="9"/>
      <c r="O223" s="9"/>
    </row>
    <row r="224" spans="1:15">
      <c r="A224" s="9"/>
      <c r="B224" s="9"/>
      <c r="C224" s="9"/>
      <c r="D224" s="9"/>
      <c r="E224" s="9"/>
      <c r="F224" s="9"/>
      <c r="G224" s="9"/>
      <c r="H224" s="9"/>
      <c r="I224" s="9"/>
      <c r="J224" s="9"/>
      <c r="K224" s="9"/>
      <c r="L224" s="9"/>
      <c r="M224" s="9"/>
      <c r="N224" s="9"/>
      <c r="O224" s="9"/>
    </row>
    <row r="225" spans="1:15">
      <c r="A225" s="9"/>
      <c r="B225" s="9"/>
      <c r="C225" s="9"/>
      <c r="D225" s="9"/>
      <c r="E225" s="9"/>
      <c r="F225" s="9"/>
      <c r="G225" s="9"/>
      <c r="H225" s="9"/>
      <c r="I225" s="9"/>
      <c r="J225" s="9"/>
      <c r="K225" s="9"/>
      <c r="L225" s="9"/>
      <c r="M225" s="9"/>
      <c r="N225" s="9"/>
      <c r="O225" s="9"/>
    </row>
    <row r="226" spans="1:15">
      <c r="A226" s="9"/>
      <c r="B226" s="9"/>
      <c r="C226" s="9"/>
      <c r="D226" s="9"/>
      <c r="E226" s="9"/>
      <c r="F226" s="9"/>
      <c r="G226" s="9"/>
      <c r="H226" s="9"/>
      <c r="I226" s="9"/>
      <c r="J226" s="9"/>
      <c r="K226" s="9"/>
      <c r="L226" s="9"/>
      <c r="M226" s="9"/>
      <c r="N226" s="9"/>
      <c r="O226" s="9"/>
    </row>
    <row r="227" spans="1:15">
      <c r="A227" s="9"/>
      <c r="B227" s="9"/>
      <c r="C227" s="9"/>
      <c r="D227" s="9"/>
      <c r="E227" s="9"/>
      <c r="F227" s="9"/>
      <c r="G227" s="9"/>
      <c r="H227" s="9"/>
      <c r="I227" s="9"/>
      <c r="J227" s="9"/>
      <c r="K227" s="9"/>
      <c r="L227" s="9"/>
      <c r="M227" s="9"/>
      <c r="N227" s="9"/>
      <c r="O227" s="9"/>
    </row>
    <row r="228" spans="1:15">
      <c r="A228" s="9"/>
      <c r="B228" s="9"/>
      <c r="C228" s="9"/>
      <c r="D228" s="9"/>
      <c r="E228" s="9"/>
      <c r="F228" s="9"/>
      <c r="G228" s="9"/>
      <c r="H228" s="9"/>
      <c r="I228" s="9"/>
      <c r="J228" s="9"/>
      <c r="K228" s="9"/>
      <c r="L228" s="9"/>
      <c r="M228" s="9"/>
      <c r="N228" s="9"/>
      <c r="O228" s="9"/>
    </row>
    <row r="229" spans="1:15">
      <c r="A229" s="9"/>
      <c r="B229" s="9"/>
      <c r="C229" s="9"/>
      <c r="D229" s="9"/>
      <c r="E229" s="9"/>
      <c r="F229" s="9"/>
      <c r="G229" s="9"/>
      <c r="H229" s="9"/>
      <c r="I229" s="9"/>
      <c r="J229" s="9"/>
      <c r="K229" s="9"/>
      <c r="L229" s="9"/>
      <c r="M229" s="9"/>
      <c r="N229" s="9"/>
      <c r="O229" s="9"/>
    </row>
    <row r="230" spans="1:15">
      <c r="A230" s="9"/>
      <c r="B230" s="9"/>
      <c r="C230" s="9"/>
      <c r="D230" s="9"/>
      <c r="E230" s="9"/>
      <c r="F230" s="9"/>
      <c r="G230" s="9"/>
      <c r="H230" s="9"/>
      <c r="I230" s="9"/>
      <c r="J230" s="9"/>
      <c r="K230" s="9"/>
      <c r="L230" s="9"/>
      <c r="M230" s="9"/>
      <c r="N230" s="9"/>
      <c r="O230" s="9"/>
    </row>
    <row r="231" spans="1:15">
      <c r="A231" s="9"/>
      <c r="B231" s="9"/>
      <c r="C231" s="9"/>
      <c r="D231" s="9"/>
      <c r="E231" s="9"/>
      <c r="F231" s="9"/>
      <c r="G231" s="9"/>
      <c r="H231" s="9"/>
      <c r="I231" s="9"/>
      <c r="J231" s="9"/>
      <c r="K231" s="9"/>
      <c r="L231" s="9"/>
      <c r="M231" s="9"/>
      <c r="N231" s="9"/>
      <c r="O231" s="9"/>
    </row>
    <row r="232" spans="1:15">
      <c r="A232" s="9"/>
      <c r="B232" s="9"/>
      <c r="C232" s="9"/>
      <c r="D232" s="9"/>
      <c r="E232" s="9"/>
      <c r="F232" s="9"/>
      <c r="G232" s="9"/>
      <c r="H232" s="9"/>
      <c r="I232" s="9"/>
      <c r="J232" s="9"/>
      <c r="K232" s="9"/>
      <c r="L232" s="9"/>
      <c r="M232" s="9"/>
      <c r="N232" s="9"/>
      <c r="O232" s="9"/>
    </row>
    <row r="233" spans="1:15">
      <c r="A233" s="9"/>
      <c r="B233" s="9"/>
      <c r="C233" s="9"/>
      <c r="D233" s="9"/>
      <c r="E233" s="9"/>
      <c r="F233" s="9"/>
      <c r="G233" s="9"/>
      <c r="H233" s="9"/>
      <c r="I233" s="9"/>
      <c r="J233" s="9"/>
      <c r="K233" s="9"/>
      <c r="L233" s="9"/>
      <c r="M233" s="9"/>
      <c r="N233" s="9"/>
      <c r="O233" s="9"/>
    </row>
    <row r="234" spans="1:15">
      <c r="A234" s="9"/>
      <c r="B234" s="9"/>
      <c r="C234" s="9"/>
      <c r="D234" s="9"/>
      <c r="E234" s="9"/>
      <c r="F234" s="9"/>
      <c r="G234" s="9"/>
      <c r="H234" s="9"/>
      <c r="I234" s="9"/>
      <c r="J234" s="9"/>
      <c r="K234" s="9"/>
      <c r="L234" s="9"/>
      <c r="M234" s="9"/>
      <c r="N234" s="9"/>
      <c r="O234" s="9"/>
    </row>
    <row r="235" spans="1:15">
      <c r="A235" s="9"/>
      <c r="B235" s="9"/>
      <c r="C235" s="9"/>
      <c r="D235" s="9"/>
      <c r="E235" s="9"/>
      <c r="F235" s="9"/>
      <c r="G235" s="9"/>
      <c r="H235" s="9"/>
      <c r="I235" s="9"/>
      <c r="J235" s="9"/>
      <c r="K235" s="9"/>
      <c r="L235" s="9"/>
      <c r="M235" s="9"/>
      <c r="N235" s="9"/>
      <c r="O235" s="9"/>
    </row>
    <row r="236" spans="1:15">
      <c r="A236" s="9"/>
      <c r="B236" s="9"/>
      <c r="C236" s="9"/>
      <c r="D236" s="9"/>
      <c r="E236" s="9"/>
      <c r="F236" s="9"/>
      <c r="G236" s="9"/>
      <c r="H236" s="9"/>
      <c r="I236" s="9"/>
      <c r="J236" s="9"/>
      <c r="K236" s="9"/>
      <c r="L236" s="9"/>
      <c r="M236" s="9"/>
      <c r="N236" s="9"/>
      <c r="O236" s="9"/>
    </row>
    <row r="237" spans="1:15">
      <c r="A237" s="9"/>
      <c r="B237" s="9"/>
      <c r="C237" s="9"/>
      <c r="D237" s="9"/>
      <c r="E237" s="9"/>
      <c r="F237" s="9"/>
      <c r="G237" s="9"/>
      <c r="H237" s="9"/>
      <c r="I237" s="9"/>
      <c r="J237" s="9"/>
      <c r="K237" s="9"/>
      <c r="L237" s="9"/>
      <c r="M237" s="9"/>
      <c r="N237" s="9"/>
      <c r="O237" s="9"/>
    </row>
    <row r="238" spans="1:15">
      <c r="A238" s="9"/>
      <c r="B238" s="9"/>
      <c r="C238" s="9"/>
      <c r="D238" s="9"/>
      <c r="E238" s="9"/>
      <c r="F238" s="9"/>
      <c r="G238" s="9"/>
      <c r="H238" s="9"/>
      <c r="I238" s="9"/>
      <c r="J238" s="9"/>
      <c r="K238" s="9"/>
      <c r="L238" s="9"/>
      <c r="M238" s="9"/>
      <c r="N238" s="9"/>
      <c r="O238" s="9"/>
    </row>
    <row r="239" spans="1:15">
      <c r="A239" s="9"/>
      <c r="B239" s="9"/>
      <c r="C239" s="9"/>
      <c r="D239" s="9"/>
      <c r="E239" s="9"/>
      <c r="F239" s="9"/>
      <c r="G239" s="9"/>
      <c r="H239" s="9"/>
      <c r="I239" s="9"/>
      <c r="J239" s="9"/>
      <c r="K239" s="9"/>
      <c r="L239" s="9"/>
      <c r="M239" s="9"/>
      <c r="N239" s="9"/>
      <c r="O239" s="9"/>
    </row>
    <row r="240" spans="1:15">
      <c r="A240" s="9"/>
      <c r="B240" s="9"/>
      <c r="C240" s="9"/>
      <c r="D240" s="9"/>
      <c r="E240" s="9"/>
      <c r="F240" s="9"/>
      <c r="G240" s="9"/>
      <c r="H240" s="9"/>
      <c r="I240" s="9"/>
      <c r="J240" s="9"/>
      <c r="K240" s="9"/>
      <c r="L240" s="9"/>
      <c r="M240" s="9"/>
      <c r="N240" s="9"/>
      <c r="O240" s="9"/>
    </row>
    <row r="241" spans="1:15">
      <c r="A241" s="9"/>
      <c r="B241" s="9"/>
      <c r="C241" s="9"/>
      <c r="D241" s="9"/>
      <c r="E241" s="9"/>
      <c r="F241" s="9"/>
      <c r="G241" s="9"/>
      <c r="H241" s="9"/>
      <c r="I241" s="9"/>
      <c r="J241" s="9"/>
      <c r="K241" s="9"/>
      <c r="L241" s="9"/>
      <c r="M241" s="9"/>
      <c r="N241" s="9"/>
      <c r="O241" s="9"/>
    </row>
    <row r="242" spans="1:15">
      <c r="A242" s="9"/>
      <c r="B242" s="9"/>
      <c r="C242" s="9"/>
      <c r="D242" s="9"/>
      <c r="E242" s="9"/>
      <c r="F242" s="9"/>
      <c r="G242" s="9"/>
      <c r="H242" s="9"/>
      <c r="I242" s="9"/>
      <c r="J242" s="9"/>
      <c r="K242" s="9"/>
      <c r="L242" s="9"/>
      <c r="M242" s="9"/>
      <c r="N242" s="9"/>
      <c r="O242" s="9"/>
    </row>
    <row r="243" spans="1:15">
      <c r="A243" s="9"/>
      <c r="B243" s="9"/>
      <c r="C243" s="9"/>
      <c r="D243" s="9"/>
      <c r="E243" s="9"/>
      <c r="F243" s="9"/>
      <c r="G243" s="9"/>
      <c r="H243" s="9"/>
      <c r="I243" s="9"/>
      <c r="J243" s="9"/>
      <c r="K243" s="9"/>
      <c r="L243" s="9"/>
      <c r="M243" s="9"/>
      <c r="N243" s="9"/>
      <c r="O243" s="9"/>
    </row>
    <row r="244" spans="1:15">
      <c r="A244" s="9"/>
      <c r="B244" s="9"/>
      <c r="C244" s="9"/>
      <c r="D244" s="9"/>
      <c r="E244" s="9"/>
      <c r="F244" s="9"/>
      <c r="G244" s="9"/>
      <c r="H244" s="9"/>
      <c r="I244" s="9"/>
      <c r="J244" s="9"/>
      <c r="K244" s="9"/>
      <c r="L244" s="9"/>
      <c r="M244" s="9"/>
      <c r="N244" s="9"/>
      <c r="O244" s="9"/>
    </row>
    <row r="245" spans="1:15">
      <c r="A245" s="9"/>
      <c r="B245" s="9"/>
      <c r="C245" s="9"/>
      <c r="D245" s="9"/>
      <c r="E245" s="9"/>
      <c r="F245" s="9"/>
      <c r="G245" s="9"/>
      <c r="H245" s="9"/>
      <c r="I245" s="9"/>
      <c r="J245" s="9"/>
      <c r="K245" s="9"/>
      <c r="L245" s="9"/>
      <c r="M245" s="9"/>
      <c r="N245" s="9"/>
      <c r="O245" s="9"/>
    </row>
    <row r="246" spans="1:15">
      <c r="A246" s="9"/>
      <c r="B246" s="9"/>
      <c r="C246" s="9"/>
      <c r="D246" s="9"/>
      <c r="E246" s="9"/>
      <c r="F246" s="9"/>
      <c r="G246" s="9"/>
      <c r="H246" s="9"/>
      <c r="I246" s="9"/>
      <c r="J246" s="9"/>
      <c r="K246" s="9"/>
      <c r="L246" s="9"/>
      <c r="M246" s="9"/>
      <c r="N246" s="9"/>
      <c r="O246" s="9"/>
    </row>
  </sheetData>
  <sheetProtection algorithmName="SHA-512" hashValue="luaK3gfKI/RW/MVL9LcOXWQDsOcoRv4Tr8C7IIWlL3yUSQgcQemTJIqYQ782RoLLtAHzyJljZJlD5qfp8Aslgg==" saltValue="F5K81JKrpGzwPL7Cr4IAYw==" spinCount="100000" sheet="1" sort="0" autoFilter="0" pivotTables="0"/>
  <mergeCells count="7">
    <mergeCell ref="B204:K204"/>
    <mergeCell ref="B3:K3"/>
    <mergeCell ref="B17:K17"/>
    <mergeCell ref="B63:K63"/>
    <mergeCell ref="B69:K69"/>
    <mergeCell ref="B114:K114"/>
    <mergeCell ref="B159:K159"/>
  </mergeCells>
  <pageMargins left="0.70866141732283472" right="0.70866141732283472" top="0.74803149606299213" bottom="0.74803149606299213" header="0.31496062992125984" footer="0.31496062992125984"/>
  <pageSetup paperSize="9" scale="48" fitToHeight="5" orientation="portrait" r:id="rId1"/>
  <rowBreaks count="2" manualBreakCount="2">
    <brk id="59" max="14" man="1"/>
    <brk id="155" max="14"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4F4AE-E711-4856-BBF8-80C7E7483BF1}">
  <sheetPr codeName="Sheet2">
    <pageSetUpPr fitToPage="1"/>
  </sheetPr>
  <dimension ref="A1:H1493"/>
  <sheetViews>
    <sheetView workbookViewId="0">
      <pane ySplit="5" topLeftCell="A6" activePane="bottomLeft" state="frozen"/>
      <selection pane="bottomLeft" activeCell="E16" sqref="E16"/>
    </sheetView>
  </sheetViews>
  <sheetFormatPr defaultColWidth="9.3828125" defaultRowHeight="14.6"/>
  <cols>
    <col min="1" max="1" width="9.84375" style="173" customWidth="1"/>
    <col min="2" max="2" width="6.84375" style="173" customWidth="1"/>
    <col min="3" max="3" width="17.53515625" style="173" bestFit="1" customWidth="1"/>
    <col min="4" max="4" width="48.84375" style="173" bestFit="1" customWidth="1"/>
    <col min="5" max="5" width="36.69140625" style="215" customWidth="1"/>
    <col min="6" max="6" width="21.53515625" style="173" customWidth="1"/>
    <col min="7" max="7" width="47" style="215" customWidth="1"/>
    <col min="8" max="8" width="10.3828125" style="173" customWidth="1"/>
    <col min="9" max="16384" width="9.3828125" style="173"/>
  </cols>
  <sheetData>
    <row r="1" spans="1:8" ht="19.3">
      <c r="A1" s="10" t="str">
        <f>" Change Log"</f>
        <v xml:space="preserve"> Change Log</v>
      </c>
      <c r="B1" s="10"/>
      <c r="C1" s="10"/>
      <c r="D1" s="10"/>
      <c r="E1" s="212"/>
      <c r="F1" s="10"/>
      <c r="G1" s="212"/>
      <c r="H1" s="10"/>
    </row>
    <row r="2" spans="1:8">
      <c r="A2" s="174" t="s">
        <v>190</v>
      </c>
      <c r="B2" s="175"/>
      <c r="C2" s="175"/>
      <c r="D2" s="175"/>
      <c r="E2" s="214"/>
      <c r="F2" s="176"/>
      <c r="G2" s="213"/>
      <c r="H2" s="175"/>
    </row>
    <row r="3" spans="1:8">
      <c r="A3" s="174" t="s">
        <v>191</v>
      </c>
      <c r="B3" s="175"/>
      <c r="C3" s="175"/>
      <c r="D3" s="175"/>
      <c r="E3" s="214"/>
      <c r="F3" s="176"/>
      <c r="G3" s="214"/>
      <c r="H3" s="175"/>
    </row>
    <row r="4" spans="1:8">
      <c r="A4" s="174"/>
      <c r="B4" s="175"/>
      <c r="C4" s="175"/>
      <c r="D4" s="175"/>
      <c r="E4" s="214"/>
      <c r="F4" s="176"/>
      <c r="G4" s="214"/>
      <c r="H4" s="175"/>
    </row>
    <row r="5" spans="1:8" ht="23.15">
      <c r="A5" s="177" t="s">
        <v>192</v>
      </c>
      <c r="B5" s="177" t="s">
        <v>6</v>
      </c>
      <c r="C5" s="177" t="s">
        <v>193</v>
      </c>
      <c r="D5" s="177" t="s">
        <v>194</v>
      </c>
      <c r="E5" s="177" t="s">
        <v>195</v>
      </c>
      <c r="F5" s="177" t="s">
        <v>196</v>
      </c>
      <c r="G5" s="177" t="s">
        <v>197</v>
      </c>
      <c r="H5" s="178" t="s">
        <v>198</v>
      </c>
    </row>
    <row r="6" spans="1:8" customFormat="1">
      <c r="A6" s="216">
        <v>45961</v>
      </c>
      <c r="B6" s="217" t="s">
        <v>7</v>
      </c>
      <c r="C6" s="218" t="s">
        <v>199</v>
      </c>
      <c r="D6" s="219" t="s">
        <v>200</v>
      </c>
      <c r="E6" s="220" t="s">
        <v>201</v>
      </c>
      <c r="F6" s="220"/>
      <c r="G6" s="220" t="s">
        <v>202</v>
      </c>
      <c r="H6" s="216">
        <v>45961</v>
      </c>
    </row>
    <row r="7" spans="1:8" customFormat="1">
      <c r="A7" s="216">
        <v>45961</v>
      </c>
      <c r="B7" s="217" t="s">
        <v>7</v>
      </c>
      <c r="C7" s="218" t="s">
        <v>199</v>
      </c>
      <c r="D7" s="219" t="s">
        <v>203</v>
      </c>
      <c r="E7" s="220" t="s">
        <v>201</v>
      </c>
      <c r="F7" s="220"/>
      <c r="G7" s="220" t="s">
        <v>202</v>
      </c>
      <c r="H7" s="216">
        <v>45961</v>
      </c>
    </row>
    <row r="8" spans="1:8" customFormat="1">
      <c r="A8" s="216">
        <v>45961</v>
      </c>
      <c r="B8" s="217" t="s">
        <v>7</v>
      </c>
      <c r="C8" s="218" t="s">
        <v>199</v>
      </c>
      <c r="D8" s="219" t="s">
        <v>204</v>
      </c>
      <c r="E8" s="220" t="s">
        <v>205</v>
      </c>
      <c r="F8" s="220"/>
      <c r="G8" s="220" t="s">
        <v>206</v>
      </c>
      <c r="H8" s="216">
        <v>45961</v>
      </c>
    </row>
    <row r="9" spans="1:8" customFormat="1">
      <c r="A9" s="216">
        <v>45961</v>
      </c>
      <c r="B9" s="217" t="s">
        <v>7</v>
      </c>
      <c r="C9" s="218" t="s">
        <v>199</v>
      </c>
      <c r="D9" s="219" t="s">
        <v>207</v>
      </c>
      <c r="E9" s="220" t="s">
        <v>208</v>
      </c>
      <c r="F9" s="220" t="s">
        <v>209</v>
      </c>
      <c r="G9" s="220" t="s">
        <v>206</v>
      </c>
      <c r="H9" s="216">
        <v>45961</v>
      </c>
    </row>
    <row r="10" spans="1:8" customFormat="1">
      <c r="A10" s="216">
        <v>45961</v>
      </c>
      <c r="B10" s="217" t="s">
        <v>7</v>
      </c>
      <c r="C10" s="218" t="s">
        <v>199</v>
      </c>
      <c r="D10" s="219" t="s">
        <v>210</v>
      </c>
      <c r="E10" s="220" t="s">
        <v>211</v>
      </c>
      <c r="F10" s="220"/>
      <c r="G10" s="220" t="s">
        <v>212</v>
      </c>
      <c r="H10" s="216">
        <v>45961</v>
      </c>
    </row>
    <row r="11" spans="1:8" customFormat="1">
      <c r="A11" s="216">
        <v>45961</v>
      </c>
      <c r="B11" s="217" t="s">
        <v>7</v>
      </c>
      <c r="C11" s="218" t="s">
        <v>199</v>
      </c>
      <c r="D11" s="219" t="s">
        <v>213</v>
      </c>
      <c r="E11" s="220" t="s">
        <v>214</v>
      </c>
      <c r="F11" s="220" t="s">
        <v>215</v>
      </c>
      <c r="G11" s="220" t="s">
        <v>216</v>
      </c>
      <c r="H11" s="216">
        <v>45961</v>
      </c>
    </row>
    <row r="12" spans="1:8" customFormat="1">
      <c r="A12" s="216">
        <v>45961</v>
      </c>
      <c r="B12" s="217" t="s">
        <v>7</v>
      </c>
      <c r="C12" s="218" t="s">
        <v>199</v>
      </c>
      <c r="D12" s="219" t="s">
        <v>217</v>
      </c>
      <c r="E12" s="220" t="s">
        <v>218</v>
      </c>
      <c r="F12" s="220"/>
      <c r="G12" s="220" t="s">
        <v>219</v>
      </c>
      <c r="H12" s="216">
        <v>45961</v>
      </c>
    </row>
    <row r="13" spans="1:8" customFormat="1">
      <c r="A13" s="216">
        <v>45961</v>
      </c>
      <c r="B13" s="217" t="s">
        <v>7</v>
      </c>
      <c r="C13" s="218" t="s">
        <v>220</v>
      </c>
      <c r="D13" s="219" t="s">
        <v>221</v>
      </c>
      <c r="E13" s="220" t="s">
        <v>222</v>
      </c>
      <c r="F13" s="220"/>
      <c r="G13" s="220" t="s">
        <v>223</v>
      </c>
      <c r="H13" s="216">
        <v>45961</v>
      </c>
    </row>
    <row r="14" spans="1:8" customFormat="1">
      <c r="A14" s="216">
        <v>45961</v>
      </c>
      <c r="B14" s="217" t="s">
        <v>7</v>
      </c>
      <c r="C14" s="218" t="s">
        <v>220</v>
      </c>
      <c r="D14" s="219" t="s">
        <v>224</v>
      </c>
      <c r="E14" s="220" t="s">
        <v>225</v>
      </c>
      <c r="F14" s="220"/>
      <c r="G14" s="220" t="s">
        <v>226</v>
      </c>
      <c r="H14" s="216">
        <v>45961</v>
      </c>
    </row>
    <row r="15" spans="1:8" customFormat="1">
      <c r="A15" s="216">
        <v>45961</v>
      </c>
      <c r="B15" s="217" t="s">
        <v>7</v>
      </c>
      <c r="C15" s="218" t="s">
        <v>220</v>
      </c>
      <c r="D15" s="219" t="s">
        <v>227</v>
      </c>
      <c r="E15" s="220" t="s">
        <v>228</v>
      </c>
      <c r="F15" s="220"/>
      <c r="G15" s="220" t="s">
        <v>226</v>
      </c>
      <c r="H15" s="216">
        <v>45961</v>
      </c>
    </row>
    <row r="16" spans="1:8" customFormat="1">
      <c r="A16" s="216">
        <v>45961</v>
      </c>
      <c r="B16" s="217" t="s">
        <v>7</v>
      </c>
      <c r="C16" s="218" t="s">
        <v>220</v>
      </c>
      <c r="D16" s="219" t="s">
        <v>229</v>
      </c>
      <c r="E16" s="220" t="s">
        <v>230</v>
      </c>
      <c r="F16" s="220" t="s">
        <v>231</v>
      </c>
      <c r="G16" s="220" t="s">
        <v>232</v>
      </c>
      <c r="H16" s="216">
        <v>45961</v>
      </c>
    </row>
    <row r="17" spans="1:8" customFormat="1">
      <c r="A17" s="216">
        <v>45961</v>
      </c>
      <c r="B17" s="217" t="s">
        <v>7</v>
      </c>
      <c r="C17" s="218" t="s">
        <v>220</v>
      </c>
      <c r="D17" s="219" t="s">
        <v>229</v>
      </c>
      <c r="E17" s="220" t="s">
        <v>230</v>
      </c>
      <c r="F17" s="220" t="s">
        <v>233</v>
      </c>
      <c r="G17" s="220" t="s">
        <v>234</v>
      </c>
      <c r="H17" s="216">
        <v>45961</v>
      </c>
    </row>
    <row r="18" spans="1:8" customFormat="1">
      <c r="A18" s="216">
        <v>45961</v>
      </c>
      <c r="B18" s="217" t="s">
        <v>7</v>
      </c>
      <c r="C18" s="218" t="s">
        <v>220</v>
      </c>
      <c r="D18" s="219" t="s">
        <v>235</v>
      </c>
      <c r="E18" s="220" t="s">
        <v>236</v>
      </c>
      <c r="F18" s="220"/>
      <c r="G18" s="220" t="s">
        <v>226</v>
      </c>
      <c r="H18" s="216">
        <v>45961</v>
      </c>
    </row>
    <row r="19" spans="1:8" customFormat="1">
      <c r="A19" s="216">
        <v>45961</v>
      </c>
      <c r="B19" s="217" t="s">
        <v>7</v>
      </c>
      <c r="C19" s="218" t="s">
        <v>220</v>
      </c>
      <c r="D19" s="219" t="s">
        <v>237</v>
      </c>
      <c r="E19" s="220" t="s">
        <v>236</v>
      </c>
      <c r="F19" s="220"/>
      <c r="G19" s="220" t="s">
        <v>226</v>
      </c>
      <c r="H19" s="216">
        <v>45961</v>
      </c>
    </row>
    <row r="20" spans="1:8" customFormat="1">
      <c r="A20" s="216">
        <v>45961</v>
      </c>
      <c r="B20" s="217" t="s">
        <v>7</v>
      </c>
      <c r="C20" s="218" t="s">
        <v>220</v>
      </c>
      <c r="D20" s="219" t="s">
        <v>238</v>
      </c>
      <c r="E20" s="220" t="s">
        <v>239</v>
      </c>
      <c r="F20" s="220"/>
      <c r="G20" s="220" t="s">
        <v>226</v>
      </c>
      <c r="H20" s="216">
        <v>45961</v>
      </c>
    </row>
    <row r="21" spans="1:8" customFormat="1">
      <c r="A21" s="216">
        <v>45961</v>
      </c>
      <c r="B21" s="217" t="s">
        <v>7</v>
      </c>
      <c r="C21" s="218" t="s">
        <v>220</v>
      </c>
      <c r="D21" s="219" t="s">
        <v>240</v>
      </c>
      <c r="E21" s="220" t="s">
        <v>239</v>
      </c>
      <c r="F21" s="220"/>
      <c r="G21" s="220" t="s">
        <v>223</v>
      </c>
      <c r="H21" s="216">
        <v>45961</v>
      </c>
    </row>
    <row r="22" spans="1:8" customFormat="1">
      <c r="A22" s="216">
        <v>45961</v>
      </c>
      <c r="B22" s="217" t="s">
        <v>7</v>
      </c>
      <c r="C22" s="218" t="s">
        <v>220</v>
      </c>
      <c r="D22" s="219" t="s">
        <v>241</v>
      </c>
      <c r="E22" s="220" t="s">
        <v>242</v>
      </c>
      <c r="F22" s="220"/>
      <c r="G22" s="220" t="s">
        <v>226</v>
      </c>
      <c r="H22" s="216">
        <v>45961</v>
      </c>
    </row>
    <row r="23" spans="1:8" customFormat="1" ht="21.9">
      <c r="A23" s="216">
        <v>45961</v>
      </c>
      <c r="B23" s="217" t="s">
        <v>7</v>
      </c>
      <c r="C23" s="218" t="s">
        <v>220</v>
      </c>
      <c r="D23" s="219" t="s">
        <v>243</v>
      </c>
      <c r="E23" s="220" t="s">
        <v>244</v>
      </c>
      <c r="F23" s="220"/>
      <c r="G23" s="220" t="s">
        <v>245</v>
      </c>
      <c r="H23" s="216">
        <v>45961</v>
      </c>
    </row>
    <row r="24" spans="1:8" customFormat="1" ht="21.9">
      <c r="A24" s="216">
        <v>45961</v>
      </c>
      <c r="B24" s="217" t="s">
        <v>7</v>
      </c>
      <c r="C24" s="218" t="s">
        <v>220</v>
      </c>
      <c r="D24" s="219" t="s">
        <v>246</v>
      </c>
      <c r="E24" s="220" t="s">
        <v>244</v>
      </c>
      <c r="F24" s="220"/>
      <c r="G24" s="220" t="s">
        <v>247</v>
      </c>
      <c r="H24" s="216">
        <v>45961</v>
      </c>
    </row>
    <row r="25" spans="1:8" customFormat="1">
      <c r="A25" s="216">
        <v>45961</v>
      </c>
      <c r="B25" s="217" t="s">
        <v>7</v>
      </c>
      <c r="C25" s="218" t="s">
        <v>220</v>
      </c>
      <c r="D25" s="219" t="s">
        <v>248</v>
      </c>
      <c r="E25" s="220" t="s">
        <v>249</v>
      </c>
      <c r="F25" s="220"/>
      <c r="G25" s="220" t="s">
        <v>250</v>
      </c>
      <c r="H25" s="216">
        <v>45961</v>
      </c>
    </row>
    <row r="26" spans="1:8" customFormat="1">
      <c r="A26" s="216">
        <v>45961</v>
      </c>
      <c r="B26" s="217" t="s">
        <v>7</v>
      </c>
      <c r="C26" s="218" t="s">
        <v>220</v>
      </c>
      <c r="D26" s="219" t="s">
        <v>251</v>
      </c>
      <c r="E26" s="220" t="s">
        <v>252</v>
      </c>
      <c r="F26" s="220"/>
      <c r="G26" s="220" t="s">
        <v>226</v>
      </c>
      <c r="H26" s="216">
        <v>45961</v>
      </c>
    </row>
    <row r="27" spans="1:8" customFormat="1">
      <c r="A27" s="216">
        <v>45961</v>
      </c>
      <c r="B27" s="217" t="s">
        <v>7</v>
      </c>
      <c r="C27" s="218" t="s">
        <v>220</v>
      </c>
      <c r="D27" s="219" t="s">
        <v>253</v>
      </c>
      <c r="E27" s="220" t="s">
        <v>254</v>
      </c>
      <c r="F27" s="220"/>
      <c r="G27" s="220" t="s">
        <v>226</v>
      </c>
      <c r="H27" s="216">
        <v>45961</v>
      </c>
    </row>
    <row r="28" spans="1:8" customFormat="1">
      <c r="A28" s="216">
        <v>45961</v>
      </c>
      <c r="B28" s="217" t="s">
        <v>7</v>
      </c>
      <c r="C28" s="218" t="s">
        <v>220</v>
      </c>
      <c r="D28" s="219" t="s">
        <v>257</v>
      </c>
      <c r="E28" s="220" t="s">
        <v>258</v>
      </c>
      <c r="F28" s="220"/>
      <c r="G28" s="220" t="s">
        <v>259</v>
      </c>
      <c r="H28" s="216">
        <v>45961</v>
      </c>
    </row>
    <row r="29" spans="1:8" customFormat="1" ht="21.9">
      <c r="A29" s="216">
        <v>45961</v>
      </c>
      <c r="B29" s="217" t="s">
        <v>7</v>
      </c>
      <c r="C29" s="218" t="s">
        <v>220</v>
      </c>
      <c r="D29" s="219" t="s">
        <v>260</v>
      </c>
      <c r="E29" s="220" t="s">
        <v>261</v>
      </c>
      <c r="F29" s="220" t="s">
        <v>262</v>
      </c>
      <c r="G29" s="220" t="s">
        <v>263</v>
      </c>
      <c r="H29" s="216">
        <v>45961</v>
      </c>
    </row>
    <row r="30" spans="1:8" customFormat="1">
      <c r="A30" s="216">
        <v>45961</v>
      </c>
      <c r="B30" s="217" t="s">
        <v>7</v>
      </c>
      <c r="C30" s="218" t="s">
        <v>220</v>
      </c>
      <c r="D30" s="219" t="s">
        <v>264</v>
      </c>
      <c r="E30" s="220" t="s">
        <v>228</v>
      </c>
      <c r="F30" s="220"/>
      <c r="G30" s="220" t="s">
        <v>226</v>
      </c>
      <c r="H30" s="216">
        <v>45961</v>
      </c>
    </row>
    <row r="31" spans="1:8" customFormat="1">
      <c r="A31" s="216">
        <v>45961</v>
      </c>
      <c r="B31" s="217" t="s">
        <v>7</v>
      </c>
      <c r="C31" s="218" t="s">
        <v>220</v>
      </c>
      <c r="D31" s="219" t="s">
        <v>265</v>
      </c>
      <c r="E31" s="220" t="s">
        <v>266</v>
      </c>
      <c r="F31" s="220"/>
      <c r="G31" s="220" t="s">
        <v>226</v>
      </c>
      <c r="H31" s="216">
        <v>45961</v>
      </c>
    </row>
    <row r="32" spans="1:8" customFormat="1">
      <c r="A32" s="216">
        <v>45961</v>
      </c>
      <c r="B32" s="217" t="s">
        <v>7</v>
      </c>
      <c r="C32" s="218" t="s">
        <v>267</v>
      </c>
      <c r="D32" s="219" t="s">
        <v>268</v>
      </c>
      <c r="E32" s="220" t="s">
        <v>269</v>
      </c>
      <c r="F32" s="220"/>
      <c r="G32" s="220" t="s">
        <v>270</v>
      </c>
      <c r="H32" s="216">
        <v>45961</v>
      </c>
    </row>
    <row r="33" spans="1:8" customFormat="1" ht="21.9">
      <c r="A33" s="216">
        <v>45961</v>
      </c>
      <c r="B33" s="217" t="s">
        <v>7</v>
      </c>
      <c r="C33" s="218" t="s">
        <v>267</v>
      </c>
      <c r="D33" s="219" t="s">
        <v>5413</v>
      </c>
      <c r="E33" s="220" t="s">
        <v>272</v>
      </c>
      <c r="F33" s="220"/>
      <c r="G33" s="220" t="s">
        <v>270</v>
      </c>
      <c r="H33" s="216">
        <v>45961</v>
      </c>
    </row>
    <row r="34" spans="1:8" customFormat="1" ht="21.9">
      <c r="A34" s="216">
        <v>45961</v>
      </c>
      <c r="B34" s="217" t="s">
        <v>7</v>
      </c>
      <c r="C34" s="218" t="s">
        <v>267</v>
      </c>
      <c r="D34" s="219" t="s">
        <v>5412</v>
      </c>
      <c r="E34" s="220" t="s">
        <v>272</v>
      </c>
      <c r="F34" s="220"/>
      <c r="G34" s="220" t="s">
        <v>270</v>
      </c>
      <c r="H34" s="216">
        <v>45961</v>
      </c>
    </row>
    <row r="35" spans="1:8" customFormat="1">
      <c r="A35" s="216">
        <v>45961</v>
      </c>
      <c r="B35" s="217" t="s">
        <v>7</v>
      </c>
      <c r="C35" s="218" t="s">
        <v>267</v>
      </c>
      <c r="D35" s="219" t="s">
        <v>2837</v>
      </c>
      <c r="E35" s="220" t="s">
        <v>2838</v>
      </c>
      <c r="F35" s="220"/>
      <c r="G35" s="220" t="s">
        <v>291</v>
      </c>
      <c r="H35" s="216">
        <v>45961</v>
      </c>
    </row>
    <row r="36" spans="1:8" customFormat="1">
      <c r="A36" s="216">
        <v>45961</v>
      </c>
      <c r="B36" s="217" t="s">
        <v>7</v>
      </c>
      <c r="C36" s="218" t="s">
        <v>267</v>
      </c>
      <c r="D36" s="219" t="s">
        <v>273</v>
      </c>
      <c r="E36" s="220" t="s">
        <v>274</v>
      </c>
      <c r="F36" s="220" t="s">
        <v>275</v>
      </c>
      <c r="G36" s="220" t="s">
        <v>276</v>
      </c>
      <c r="H36" s="216">
        <v>45961</v>
      </c>
    </row>
    <row r="37" spans="1:8" customFormat="1">
      <c r="A37" s="216">
        <v>45961</v>
      </c>
      <c r="B37" s="217" t="s">
        <v>7</v>
      </c>
      <c r="C37" s="218" t="s">
        <v>267</v>
      </c>
      <c r="D37" s="219" t="s">
        <v>277</v>
      </c>
      <c r="E37" s="220" t="s">
        <v>278</v>
      </c>
      <c r="F37" s="220" t="s">
        <v>279</v>
      </c>
      <c r="G37" s="220" t="s">
        <v>276</v>
      </c>
      <c r="H37" s="216">
        <v>45961</v>
      </c>
    </row>
    <row r="38" spans="1:8" customFormat="1" ht="21.9">
      <c r="A38" s="216">
        <v>45961</v>
      </c>
      <c r="B38" s="217" t="s">
        <v>7</v>
      </c>
      <c r="C38" s="218" t="s">
        <v>267</v>
      </c>
      <c r="D38" s="219" t="s">
        <v>494</v>
      </c>
      <c r="E38" s="220" t="s">
        <v>495</v>
      </c>
      <c r="F38" s="220" t="s">
        <v>496</v>
      </c>
      <c r="G38" s="220" t="s">
        <v>288</v>
      </c>
      <c r="H38" s="216">
        <v>45961</v>
      </c>
    </row>
    <row r="39" spans="1:8" customFormat="1">
      <c r="A39" s="216">
        <v>45961</v>
      </c>
      <c r="B39" s="217" t="s">
        <v>7</v>
      </c>
      <c r="C39" s="218" t="s">
        <v>267</v>
      </c>
      <c r="D39" s="219" t="s">
        <v>280</v>
      </c>
      <c r="E39" s="220" t="s">
        <v>281</v>
      </c>
      <c r="F39" s="220" t="s">
        <v>282</v>
      </c>
      <c r="G39" s="220" t="s">
        <v>283</v>
      </c>
      <c r="H39" s="216">
        <v>45961</v>
      </c>
    </row>
    <row r="40" spans="1:8" customFormat="1">
      <c r="A40" s="216">
        <v>45961</v>
      </c>
      <c r="B40" s="217" t="s">
        <v>7</v>
      </c>
      <c r="C40" s="218" t="s">
        <v>267</v>
      </c>
      <c r="D40" s="219" t="s">
        <v>284</v>
      </c>
      <c r="E40" s="220" t="s">
        <v>281</v>
      </c>
      <c r="F40" s="220" t="s">
        <v>282</v>
      </c>
      <c r="G40" s="220" t="s">
        <v>285</v>
      </c>
      <c r="H40" s="216">
        <v>45961</v>
      </c>
    </row>
    <row r="41" spans="1:8" customFormat="1">
      <c r="A41" s="216">
        <v>45961</v>
      </c>
      <c r="B41" s="217" t="s">
        <v>7</v>
      </c>
      <c r="C41" s="218" t="s">
        <v>267</v>
      </c>
      <c r="D41" s="219" t="s">
        <v>286</v>
      </c>
      <c r="E41" s="220" t="s">
        <v>281</v>
      </c>
      <c r="F41" s="220" t="s">
        <v>282</v>
      </c>
      <c r="G41" s="220" t="s">
        <v>377</v>
      </c>
      <c r="H41" s="216">
        <v>45961</v>
      </c>
    </row>
    <row r="42" spans="1:8" customFormat="1">
      <c r="A42" s="216">
        <v>45961</v>
      </c>
      <c r="B42" s="217" t="s">
        <v>7</v>
      </c>
      <c r="C42" s="218" t="s">
        <v>267</v>
      </c>
      <c r="D42" s="219" t="s">
        <v>5411</v>
      </c>
      <c r="E42" s="220" t="s">
        <v>500</v>
      </c>
      <c r="F42" s="220"/>
      <c r="G42" s="220" t="s">
        <v>291</v>
      </c>
      <c r="H42" s="216">
        <v>45961</v>
      </c>
    </row>
    <row r="43" spans="1:8" customFormat="1">
      <c r="A43" s="216">
        <v>45961</v>
      </c>
      <c r="B43" s="217" t="s">
        <v>7</v>
      </c>
      <c r="C43" s="218" t="s">
        <v>267</v>
      </c>
      <c r="D43" s="219" t="s">
        <v>229</v>
      </c>
      <c r="E43" s="220" t="s">
        <v>230</v>
      </c>
      <c r="F43" s="220" t="s">
        <v>231</v>
      </c>
      <c r="G43" s="220" t="s">
        <v>288</v>
      </c>
      <c r="H43" s="216">
        <v>45961</v>
      </c>
    </row>
    <row r="44" spans="1:8" customFormat="1">
      <c r="A44" s="216">
        <v>45961</v>
      </c>
      <c r="B44" s="217" t="s">
        <v>7</v>
      </c>
      <c r="C44" s="218" t="s">
        <v>267</v>
      </c>
      <c r="D44" s="219" t="s">
        <v>229</v>
      </c>
      <c r="E44" s="220" t="s">
        <v>230</v>
      </c>
      <c r="F44" s="220" t="s">
        <v>233</v>
      </c>
      <c r="G44" s="220" t="s">
        <v>288</v>
      </c>
      <c r="H44" s="216">
        <v>45961</v>
      </c>
    </row>
    <row r="45" spans="1:8" customFormat="1" ht="21.9">
      <c r="A45" s="216">
        <v>45961</v>
      </c>
      <c r="B45" s="217" t="s">
        <v>7</v>
      </c>
      <c r="C45" s="218" t="s">
        <v>267</v>
      </c>
      <c r="D45" s="219" t="s">
        <v>289</v>
      </c>
      <c r="E45" s="220" t="s">
        <v>290</v>
      </c>
      <c r="F45" s="220"/>
      <c r="G45" s="220" t="s">
        <v>291</v>
      </c>
      <c r="H45" s="216">
        <v>45961</v>
      </c>
    </row>
    <row r="46" spans="1:8" customFormat="1">
      <c r="A46" s="216">
        <v>45961</v>
      </c>
      <c r="B46" s="217" t="s">
        <v>7</v>
      </c>
      <c r="C46" s="218" t="s">
        <v>267</v>
      </c>
      <c r="D46" s="219" t="s">
        <v>292</v>
      </c>
      <c r="E46" s="220" t="s">
        <v>293</v>
      </c>
      <c r="F46" s="220"/>
      <c r="G46" s="220" t="s">
        <v>294</v>
      </c>
      <c r="H46" s="216">
        <v>45961</v>
      </c>
    </row>
    <row r="47" spans="1:8" customFormat="1" ht="21.9">
      <c r="A47" s="216">
        <v>45961</v>
      </c>
      <c r="B47" s="217" t="s">
        <v>7</v>
      </c>
      <c r="C47" s="218" t="s">
        <v>267</v>
      </c>
      <c r="D47" s="219" t="s">
        <v>255</v>
      </c>
      <c r="E47" s="220" t="s">
        <v>256</v>
      </c>
      <c r="F47" s="220"/>
      <c r="G47" s="220" t="s">
        <v>5416</v>
      </c>
      <c r="H47" s="216">
        <v>45961</v>
      </c>
    </row>
    <row r="48" spans="1:8" customFormat="1">
      <c r="A48" s="216">
        <v>45961</v>
      </c>
      <c r="B48" s="217" t="s">
        <v>7</v>
      </c>
      <c r="C48" s="218" t="s">
        <v>267</v>
      </c>
      <c r="D48" s="219" t="s">
        <v>295</v>
      </c>
      <c r="E48" s="220" t="s">
        <v>296</v>
      </c>
      <c r="F48" s="220"/>
      <c r="G48" s="220" t="s">
        <v>270</v>
      </c>
      <c r="H48" s="216">
        <v>45961</v>
      </c>
    </row>
    <row r="49" spans="1:8" customFormat="1" ht="32.15">
      <c r="A49" s="216">
        <v>45961</v>
      </c>
      <c r="B49" s="217" t="s">
        <v>7</v>
      </c>
      <c r="C49" s="218" t="s">
        <v>267</v>
      </c>
      <c r="D49" s="219" t="s">
        <v>297</v>
      </c>
      <c r="E49" s="220" t="s">
        <v>298</v>
      </c>
      <c r="F49" s="220" t="s">
        <v>299</v>
      </c>
      <c r="G49" s="220" t="s">
        <v>276</v>
      </c>
      <c r="H49" s="216">
        <v>45961</v>
      </c>
    </row>
    <row r="50" spans="1:8" customFormat="1" ht="32.15">
      <c r="A50" s="216">
        <v>45961</v>
      </c>
      <c r="B50" s="217" t="s">
        <v>7</v>
      </c>
      <c r="C50" s="218" t="s">
        <v>267</v>
      </c>
      <c r="D50" s="219" t="s">
        <v>297</v>
      </c>
      <c r="E50" s="220" t="s">
        <v>298</v>
      </c>
      <c r="F50" s="220" t="s">
        <v>300</v>
      </c>
      <c r="G50" s="220" t="s">
        <v>276</v>
      </c>
      <c r="H50" s="216">
        <v>45961</v>
      </c>
    </row>
    <row r="51" spans="1:8" customFormat="1">
      <c r="A51" s="216">
        <v>45961</v>
      </c>
      <c r="B51" s="217" t="s">
        <v>7</v>
      </c>
      <c r="C51" s="218" t="s">
        <v>267</v>
      </c>
      <c r="D51" s="219" t="s">
        <v>301</v>
      </c>
      <c r="E51" s="220" t="s">
        <v>302</v>
      </c>
      <c r="F51" s="220"/>
      <c r="G51" s="220" t="s">
        <v>303</v>
      </c>
      <c r="H51" s="216">
        <v>45961</v>
      </c>
    </row>
    <row r="52" spans="1:8" customFormat="1" ht="21.9">
      <c r="A52" s="216">
        <v>45961</v>
      </c>
      <c r="B52" s="217" t="s">
        <v>7</v>
      </c>
      <c r="C52" s="218" t="s">
        <v>267</v>
      </c>
      <c r="D52" s="219" t="s">
        <v>304</v>
      </c>
      <c r="E52" s="220" t="s">
        <v>305</v>
      </c>
      <c r="F52" s="220" t="s">
        <v>306</v>
      </c>
      <c r="G52" s="220" t="s">
        <v>5410</v>
      </c>
      <c r="H52" s="216">
        <v>45961</v>
      </c>
    </row>
    <row r="53" spans="1:8" customFormat="1">
      <c r="A53" s="216">
        <v>45961</v>
      </c>
      <c r="B53" s="217" t="s">
        <v>7</v>
      </c>
      <c r="C53" s="218" t="s">
        <v>267</v>
      </c>
      <c r="D53" s="219" t="s">
        <v>307</v>
      </c>
      <c r="E53" s="220" t="s">
        <v>308</v>
      </c>
      <c r="F53" s="220"/>
      <c r="G53" s="220" t="s">
        <v>270</v>
      </c>
      <c r="H53" s="216">
        <v>45961</v>
      </c>
    </row>
    <row r="54" spans="1:8" customFormat="1">
      <c r="A54" s="216">
        <v>45961</v>
      </c>
      <c r="B54" s="217" t="s">
        <v>309</v>
      </c>
      <c r="C54" s="218" t="s">
        <v>199</v>
      </c>
      <c r="D54" s="219" t="s">
        <v>310</v>
      </c>
      <c r="E54" s="220" t="s">
        <v>311</v>
      </c>
      <c r="F54" s="220"/>
      <c r="G54" s="220" t="s">
        <v>212</v>
      </c>
      <c r="H54" s="216">
        <v>45961</v>
      </c>
    </row>
    <row r="55" spans="1:8" customFormat="1">
      <c r="A55" s="216">
        <v>45961</v>
      </c>
      <c r="B55" s="217" t="s">
        <v>309</v>
      </c>
      <c r="C55" s="218" t="s">
        <v>199</v>
      </c>
      <c r="D55" s="219" t="s">
        <v>312</v>
      </c>
      <c r="E55" s="220" t="s">
        <v>313</v>
      </c>
      <c r="F55" s="220"/>
      <c r="G55" s="220" t="s">
        <v>314</v>
      </c>
      <c r="H55" s="216">
        <v>45961</v>
      </c>
    </row>
    <row r="56" spans="1:8" customFormat="1" ht="21.9">
      <c r="A56" s="216">
        <v>45961</v>
      </c>
      <c r="B56" s="217" t="s">
        <v>309</v>
      </c>
      <c r="C56" s="218" t="s">
        <v>199</v>
      </c>
      <c r="D56" s="219" t="s">
        <v>315</v>
      </c>
      <c r="E56" s="220" t="s">
        <v>316</v>
      </c>
      <c r="F56" s="220" t="s">
        <v>317</v>
      </c>
      <c r="G56" s="220" t="s">
        <v>5409</v>
      </c>
      <c r="H56" s="216">
        <v>45961</v>
      </c>
    </row>
    <row r="57" spans="1:8" customFormat="1" ht="21.9">
      <c r="A57" s="216">
        <v>45961</v>
      </c>
      <c r="B57" s="217" t="s">
        <v>309</v>
      </c>
      <c r="C57" s="218" t="s">
        <v>199</v>
      </c>
      <c r="D57" s="219" t="s">
        <v>315</v>
      </c>
      <c r="E57" s="220" t="s">
        <v>316</v>
      </c>
      <c r="F57" s="220" t="s">
        <v>318</v>
      </c>
      <c r="G57" s="220" t="s">
        <v>5409</v>
      </c>
      <c r="H57" s="216">
        <v>45961</v>
      </c>
    </row>
    <row r="58" spans="1:8" customFormat="1" ht="21.9">
      <c r="A58" s="216">
        <v>45961</v>
      </c>
      <c r="B58" s="217" t="s">
        <v>309</v>
      </c>
      <c r="C58" s="218" t="s">
        <v>199</v>
      </c>
      <c r="D58" s="219" t="s">
        <v>315</v>
      </c>
      <c r="E58" s="220" t="s">
        <v>316</v>
      </c>
      <c r="F58" s="220" t="s">
        <v>319</v>
      </c>
      <c r="G58" s="220" t="s">
        <v>5409</v>
      </c>
      <c r="H58" s="216">
        <v>45961</v>
      </c>
    </row>
    <row r="59" spans="1:8" customFormat="1" ht="21.9">
      <c r="A59" s="216">
        <v>45961</v>
      </c>
      <c r="B59" s="217" t="s">
        <v>309</v>
      </c>
      <c r="C59" s="218" t="s">
        <v>199</v>
      </c>
      <c r="D59" s="219" t="s">
        <v>315</v>
      </c>
      <c r="E59" s="220" t="s">
        <v>316</v>
      </c>
      <c r="F59" s="220" t="s">
        <v>320</v>
      </c>
      <c r="G59" s="220" t="s">
        <v>5409</v>
      </c>
      <c r="H59" s="216">
        <v>45961</v>
      </c>
    </row>
    <row r="60" spans="1:8" customFormat="1" ht="21.9">
      <c r="A60" s="216">
        <v>45961</v>
      </c>
      <c r="B60" s="217" t="s">
        <v>309</v>
      </c>
      <c r="C60" s="218" t="s">
        <v>199</v>
      </c>
      <c r="D60" s="219" t="s">
        <v>315</v>
      </c>
      <c r="E60" s="220" t="s">
        <v>316</v>
      </c>
      <c r="F60" s="220" t="s">
        <v>321</v>
      </c>
      <c r="G60" s="220" t="s">
        <v>5409</v>
      </c>
      <c r="H60" s="216">
        <v>45961</v>
      </c>
    </row>
    <row r="61" spans="1:8" customFormat="1" ht="21.9">
      <c r="A61" s="216">
        <v>45961</v>
      </c>
      <c r="B61" s="217" t="s">
        <v>309</v>
      </c>
      <c r="C61" s="218" t="s">
        <v>199</v>
      </c>
      <c r="D61" s="219" t="s">
        <v>315</v>
      </c>
      <c r="E61" s="220" t="s">
        <v>316</v>
      </c>
      <c r="F61" s="220" t="s">
        <v>322</v>
      </c>
      <c r="G61" s="220" t="s">
        <v>5409</v>
      </c>
      <c r="H61" s="216">
        <v>45961</v>
      </c>
    </row>
    <row r="62" spans="1:8" customFormat="1">
      <c r="A62" s="221">
        <v>45961</v>
      </c>
      <c r="B62" s="217" t="s">
        <v>309</v>
      </c>
      <c r="C62" s="218" t="s">
        <v>220</v>
      </c>
      <c r="D62" s="219" t="s">
        <v>326</v>
      </c>
      <c r="E62" s="220" t="s">
        <v>327</v>
      </c>
      <c r="F62" s="220"/>
      <c r="G62" s="220" t="s">
        <v>223</v>
      </c>
      <c r="H62" s="221">
        <v>45961</v>
      </c>
    </row>
    <row r="63" spans="1:8" customFormat="1">
      <c r="A63" s="221">
        <v>45961</v>
      </c>
      <c r="B63" s="217" t="s">
        <v>309</v>
      </c>
      <c r="C63" s="218" t="s">
        <v>220</v>
      </c>
      <c r="D63" s="219" t="s">
        <v>328</v>
      </c>
      <c r="E63" s="220" t="s">
        <v>327</v>
      </c>
      <c r="F63" s="220"/>
      <c r="G63" s="220" t="s">
        <v>223</v>
      </c>
      <c r="H63" s="221">
        <v>45961</v>
      </c>
    </row>
    <row r="64" spans="1:8" customFormat="1" ht="21.9">
      <c r="A64" s="221">
        <v>45961</v>
      </c>
      <c r="B64" s="217" t="s">
        <v>309</v>
      </c>
      <c r="C64" s="218" t="s">
        <v>220</v>
      </c>
      <c r="D64" s="219" t="s">
        <v>329</v>
      </c>
      <c r="E64" s="220" t="s">
        <v>330</v>
      </c>
      <c r="F64" s="220"/>
      <c r="G64" s="220" t="s">
        <v>331</v>
      </c>
      <c r="H64" s="221">
        <v>45961</v>
      </c>
    </row>
    <row r="65" spans="1:8" customFormat="1">
      <c r="A65" s="221">
        <v>45961</v>
      </c>
      <c r="B65" s="217" t="s">
        <v>309</v>
      </c>
      <c r="C65" s="218" t="s">
        <v>220</v>
      </c>
      <c r="D65" s="219" t="s">
        <v>332</v>
      </c>
      <c r="E65" s="220" t="s">
        <v>266</v>
      </c>
      <c r="F65" s="220"/>
      <c r="G65" s="220" t="s">
        <v>333</v>
      </c>
      <c r="H65" s="221">
        <v>45961</v>
      </c>
    </row>
    <row r="66" spans="1:8" customFormat="1">
      <c r="A66" s="221">
        <v>45961</v>
      </c>
      <c r="B66" s="217" t="s">
        <v>309</v>
      </c>
      <c r="C66" s="218" t="s">
        <v>220</v>
      </c>
      <c r="D66" s="219" t="s">
        <v>334</v>
      </c>
      <c r="E66" s="220" t="s">
        <v>335</v>
      </c>
      <c r="F66" s="220"/>
      <c r="G66" s="220" t="s">
        <v>223</v>
      </c>
      <c r="H66" s="221">
        <v>45961</v>
      </c>
    </row>
    <row r="67" spans="1:8" customFormat="1">
      <c r="A67" s="221">
        <v>45961</v>
      </c>
      <c r="B67" s="217" t="s">
        <v>309</v>
      </c>
      <c r="C67" s="218" t="s">
        <v>220</v>
      </c>
      <c r="D67" s="219" t="s">
        <v>336</v>
      </c>
      <c r="E67" s="220" t="s">
        <v>337</v>
      </c>
      <c r="F67" s="220"/>
      <c r="G67" s="220" t="s">
        <v>338</v>
      </c>
      <c r="H67" s="221">
        <v>45961</v>
      </c>
    </row>
    <row r="68" spans="1:8" customFormat="1" ht="32.15">
      <c r="A68" s="221">
        <v>45961</v>
      </c>
      <c r="B68" s="217" t="s">
        <v>309</v>
      </c>
      <c r="C68" s="218" t="s">
        <v>220</v>
      </c>
      <c r="D68" s="219" t="s">
        <v>339</v>
      </c>
      <c r="E68" s="220" t="s">
        <v>340</v>
      </c>
      <c r="F68" s="220"/>
      <c r="G68" s="220" t="s">
        <v>341</v>
      </c>
      <c r="H68" s="221">
        <v>45961</v>
      </c>
    </row>
    <row r="69" spans="1:8" customFormat="1">
      <c r="A69" s="221">
        <v>45961</v>
      </c>
      <c r="B69" s="217" t="s">
        <v>309</v>
      </c>
      <c r="C69" s="218" t="s">
        <v>220</v>
      </c>
      <c r="D69" s="219" t="s">
        <v>342</v>
      </c>
      <c r="E69" s="220" t="s">
        <v>343</v>
      </c>
      <c r="F69" s="220"/>
      <c r="G69" s="220" t="s">
        <v>223</v>
      </c>
      <c r="H69" s="221">
        <v>45961</v>
      </c>
    </row>
    <row r="70" spans="1:8" customFormat="1">
      <c r="A70" s="221">
        <v>45961</v>
      </c>
      <c r="B70" s="217" t="s">
        <v>309</v>
      </c>
      <c r="C70" s="218" t="s">
        <v>220</v>
      </c>
      <c r="D70" s="219" t="s">
        <v>344</v>
      </c>
      <c r="E70" s="220" t="s">
        <v>345</v>
      </c>
      <c r="F70" s="220"/>
      <c r="G70" s="220" t="s">
        <v>346</v>
      </c>
      <c r="H70" s="221">
        <v>45961</v>
      </c>
    </row>
    <row r="71" spans="1:8" customFormat="1">
      <c r="A71" s="221">
        <v>45961</v>
      </c>
      <c r="B71" s="217" t="s">
        <v>309</v>
      </c>
      <c r="C71" s="218" t="s">
        <v>220</v>
      </c>
      <c r="D71" s="219" t="s">
        <v>347</v>
      </c>
      <c r="E71" s="220" t="s">
        <v>348</v>
      </c>
      <c r="F71" s="220"/>
      <c r="G71" s="220" t="s">
        <v>226</v>
      </c>
      <c r="H71" s="221">
        <v>45961</v>
      </c>
    </row>
    <row r="72" spans="1:8" customFormat="1">
      <c r="A72" s="221">
        <v>45961</v>
      </c>
      <c r="B72" s="217" t="s">
        <v>309</v>
      </c>
      <c r="C72" s="218" t="s">
        <v>220</v>
      </c>
      <c r="D72" s="219" t="s">
        <v>349</v>
      </c>
      <c r="E72" s="220" t="s">
        <v>350</v>
      </c>
      <c r="F72" s="220" t="s">
        <v>351</v>
      </c>
      <c r="G72" s="220" t="s">
        <v>352</v>
      </c>
      <c r="H72" s="221">
        <v>45961</v>
      </c>
    </row>
    <row r="73" spans="1:8" customFormat="1">
      <c r="A73" s="221">
        <v>45961</v>
      </c>
      <c r="B73" s="217" t="s">
        <v>309</v>
      </c>
      <c r="C73" s="218" t="s">
        <v>220</v>
      </c>
      <c r="D73" s="219" t="s">
        <v>349</v>
      </c>
      <c r="E73" s="220" t="s">
        <v>350</v>
      </c>
      <c r="F73" s="220" t="s">
        <v>351</v>
      </c>
      <c r="G73" s="220" t="s">
        <v>352</v>
      </c>
      <c r="H73" s="221">
        <v>45961</v>
      </c>
    </row>
    <row r="74" spans="1:8" customFormat="1">
      <c r="A74" s="221">
        <v>45961</v>
      </c>
      <c r="B74" s="217" t="s">
        <v>309</v>
      </c>
      <c r="C74" s="218" t="s">
        <v>220</v>
      </c>
      <c r="D74" s="219" t="s">
        <v>353</v>
      </c>
      <c r="E74" s="220" t="s">
        <v>354</v>
      </c>
      <c r="F74" s="220" t="s">
        <v>355</v>
      </c>
      <c r="G74" s="220" t="s">
        <v>352</v>
      </c>
      <c r="H74" s="221">
        <v>45961</v>
      </c>
    </row>
    <row r="75" spans="1:8" customFormat="1" ht="21.9">
      <c r="A75" s="221">
        <v>45961</v>
      </c>
      <c r="B75" s="217" t="s">
        <v>309</v>
      </c>
      <c r="C75" s="218" t="s">
        <v>220</v>
      </c>
      <c r="D75" s="219" t="s">
        <v>356</v>
      </c>
      <c r="E75" s="220" t="s">
        <v>357</v>
      </c>
      <c r="F75" s="220" t="s">
        <v>358</v>
      </c>
      <c r="G75" s="220" t="s">
        <v>359</v>
      </c>
      <c r="H75" s="221">
        <v>45961</v>
      </c>
    </row>
    <row r="76" spans="1:8" customFormat="1" ht="21.9">
      <c r="A76" s="221">
        <v>45961</v>
      </c>
      <c r="B76" s="217" t="s">
        <v>309</v>
      </c>
      <c r="C76" s="218" t="s">
        <v>220</v>
      </c>
      <c r="D76" s="219" t="s">
        <v>360</v>
      </c>
      <c r="E76" s="220" t="s">
        <v>361</v>
      </c>
      <c r="F76" s="220" t="s">
        <v>362</v>
      </c>
      <c r="G76" s="220" t="s">
        <v>363</v>
      </c>
      <c r="H76" s="221">
        <v>45961</v>
      </c>
    </row>
    <row r="77" spans="1:8" customFormat="1" ht="21.9">
      <c r="A77" s="221">
        <v>45961</v>
      </c>
      <c r="B77" s="217" t="s">
        <v>309</v>
      </c>
      <c r="C77" s="218" t="s">
        <v>220</v>
      </c>
      <c r="D77" s="219" t="s">
        <v>364</v>
      </c>
      <c r="E77" s="220" t="s">
        <v>365</v>
      </c>
      <c r="F77" s="220"/>
      <c r="G77" s="220" t="s">
        <v>366</v>
      </c>
      <c r="H77" s="221">
        <v>45961</v>
      </c>
    </row>
    <row r="78" spans="1:8" customFormat="1" ht="21.9">
      <c r="A78" s="221">
        <v>45961</v>
      </c>
      <c r="B78" s="217" t="s">
        <v>309</v>
      </c>
      <c r="C78" s="218" t="s">
        <v>267</v>
      </c>
      <c r="D78" s="219" t="s">
        <v>323</v>
      </c>
      <c r="E78" s="220" t="s">
        <v>324</v>
      </c>
      <c r="F78" s="240"/>
      <c r="G78" s="220" t="s">
        <v>5415</v>
      </c>
      <c r="H78" s="221">
        <v>45961</v>
      </c>
    </row>
    <row r="79" spans="1:8" customFormat="1">
      <c r="A79" s="221">
        <v>45961</v>
      </c>
      <c r="B79" s="217" t="s">
        <v>309</v>
      </c>
      <c r="C79" s="218" t="s">
        <v>267</v>
      </c>
      <c r="D79" s="219" t="s">
        <v>367</v>
      </c>
      <c r="E79" s="220" t="s">
        <v>368</v>
      </c>
      <c r="F79" s="220" t="s">
        <v>325</v>
      </c>
      <c r="G79" s="220" t="s">
        <v>414</v>
      </c>
      <c r="H79" s="221">
        <v>45961</v>
      </c>
    </row>
    <row r="80" spans="1:8" customFormat="1" ht="32.15">
      <c r="A80" s="221">
        <v>45961</v>
      </c>
      <c r="B80" s="217" t="s">
        <v>309</v>
      </c>
      <c r="C80" s="218" t="s">
        <v>267</v>
      </c>
      <c r="D80" s="219" t="s">
        <v>369</v>
      </c>
      <c r="E80" s="220" t="s">
        <v>370</v>
      </c>
      <c r="F80" s="220"/>
      <c r="G80" s="220" t="s">
        <v>291</v>
      </c>
      <c r="H80" s="221">
        <v>45961</v>
      </c>
    </row>
    <row r="81" spans="1:8" customFormat="1">
      <c r="A81" s="221">
        <v>45961</v>
      </c>
      <c r="B81" s="217" t="s">
        <v>309</v>
      </c>
      <c r="C81" s="218" t="s">
        <v>267</v>
      </c>
      <c r="D81" s="219" t="s">
        <v>371</v>
      </c>
      <c r="E81" s="220" t="s">
        <v>372</v>
      </c>
      <c r="F81" s="220" t="s">
        <v>373</v>
      </c>
      <c r="G81" s="220" t="s">
        <v>276</v>
      </c>
      <c r="H81" s="221">
        <v>45961</v>
      </c>
    </row>
    <row r="82" spans="1:8" customFormat="1" ht="21.9">
      <c r="A82" s="221">
        <v>45961</v>
      </c>
      <c r="B82" s="217" t="s">
        <v>309</v>
      </c>
      <c r="C82" s="218" t="s">
        <v>267</v>
      </c>
      <c r="D82" s="219" t="s">
        <v>374</v>
      </c>
      <c r="E82" s="220" t="s">
        <v>375</v>
      </c>
      <c r="F82" s="220" t="s">
        <v>376</v>
      </c>
      <c r="G82" s="220" t="s">
        <v>377</v>
      </c>
      <c r="H82" s="221">
        <v>45961</v>
      </c>
    </row>
    <row r="83" spans="1:8" customFormat="1">
      <c r="A83" s="221">
        <v>45961</v>
      </c>
      <c r="B83" s="217" t="s">
        <v>309</v>
      </c>
      <c r="C83" s="218" t="s">
        <v>267</v>
      </c>
      <c r="D83" s="219" t="s">
        <v>378</v>
      </c>
      <c r="E83" s="220" t="s">
        <v>379</v>
      </c>
      <c r="F83" s="220"/>
      <c r="G83" s="220" t="s">
        <v>270</v>
      </c>
      <c r="H83" s="221">
        <v>45961</v>
      </c>
    </row>
    <row r="84" spans="1:8" customFormat="1">
      <c r="A84" s="216">
        <v>45961</v>
      </c>
      <c r="B84" s="217" t="s">
        <v>380</v>
      </c>
      <c r="C84" s="218" t="s">
        <v>199</v>
      </c>
      <c r="D84" s="219" t="s">
        <v>381</v>
      </c>
      <c r="E84" s="220" t="s">
        <v>382</v>
      </c>
      <c r="F84" s="220" t="s">
        <v>383</v>
      </c>
      <c r="G84" s="220" t="s">
        <v>206</v>
      </c>
      <c r="H84" s="216">
        <v>45961</v>
      </c>
    </row>
    <row r="85" spans="1:8" customFormat="1">
      <c r="A85" s="216">
        <v>45961</v>
      </c>
      <c r="B85" s="217" t="s">
        <v>380</v>
      </c>
      <c r="C85" s="218" t="s">
        <v>199</v>
      </c>
      <c r="D85" s="219" t="s">
        <v>384</v>
      </c>
      <c r="E85" s="220" t="s">
        <v>385</v>
      </c>
      <c r="F85" s="220"/>
      <c r="G85" s="220" t="s">
        <v>206</v>
      </c>
      <c r="H85" s="216">
        <v>45961</v>
      </c>
    </row>
    <row r="86" spans="1:8" customFormat="1">
      <c r="A86" s="216">
        <v>45961</v>
      </c>
      <c r="B86" s="217" t="s">
        <v>380</v>
      </c>
      <c r="C86" s="218" t="s">
        <v>199</v>
      </c>
      <c r="D86" s="219" t="s">
        <v>386</v>
      </c>
      <c r="E86" s="220" t="s">
        <v>387</v>
      </c>
      <c r="F86" s="220" t="s">
        <v>388</v>
      </c>
      <c r="G86" s="220" t="s">
        <v>389</v>
      </c>
      <c r="H86" s="216">
        <v>45961</v>
      </c>
    </row>
    <row r="87" spans="1:8" customFormat="1">
      <c r="A87" s="216">
        <v>45961</v>
      </c>
      <c r="B87" s="217" t="s">
        <v>380</v>
      </c>
      <c r="C87" s="218" t="s">
        <v>199</v>
      </c>
      <c r="D87" s="219" t="s">
        <v>390</v>
      </c>
      <c r="E87" s="220" t="s">
        <v>391</v>
      </c>
      <c r="F87" s="220" t="s">
        <v>392</v>
      </c>
      <c r="G87" s="220" t="s">
        <v>393</v>
      </c>
      <c r="H87" s="216">
        <v>45961</v>
      </c>
    </row>
    <row r="88" spans="1:8" customFormat="1">
      <c r="A88" s="216">
        <v>45961</v>
      </c>
      <c r="B88" s="217" t="s">
        <v>380</v>
      </c>
      <c r="C88" s="218" t="s">
        <v>199</v>
      </c>
      <c r="D88" s="219" t="s">
        <v>390</v>
      </c>
      <c r="E88" s="220" t="s">
        <v>391</v>
      </c>
      <c r="F88" s="220" t="s">
        <v>394</v>
      </c>
      <c r="G88" s="220" t="s">
        <v>393</v>
      </c>
      <c r="H88" s="216">
        <v>45961</v>
      </c>
    </row>
    <row r="89" spans="1:8" customFormat="1">
      <c r="A89" s="216">
        <v>45961</v>
      </c>
      <c r="B89" s="217" t="s">
        <v>380</v>
      </c>
      <c r="C89" s="218" t="s">
        <v>199</v>
      </c>
      <c r="D89" s="219" t="s">
        <v>390</v>
      </c>
      <c r="E89" s="220" t="s">
        <v>391</v>
      </c>
      <c r="F89" s="220" t="s">
        <v>395</v>
      </c>
      <c r="G89" s="220" t="s">
        <v>393</v>
      </c>
      <c r="H89" s="216">
        <v>45961</v>
      </c>
    </row>
    <row r="90" spans="1:8" customFormat="1" ht="21.9">
      <c r="A90" s="216">
        <v>45961</v>
      </c>
      <c r="B90" s="217" t="s">
        <v>380</v>
      </c>
      <c r="C90" s="218" t="s">
        <v>220</v>
      </c>
      <c r="D90" s="219" t="s">
        <v>396</v>
      </c>
      <c r="E90" s="220" t="s">
        <v>397</v>
      </c>
      <c r="F90" s="220"/>
      <c r="G90" s="220" t="s">
        <v>398</v>
      </c>
      <c r="H90" s="216">
        <v>45961</v>
      </c>
    </row>
    <row r="91" spans="1:8" customFormat="1">
      <c r="A91" s="216">
        <v>45961</v>
      </c>
      <c r="B91" s="217" t="s">
        <v>380</v>
      </c>
      <c r="C91" s="218" t="s">
        <v>267</v>
      </c>
      <c r="D91" s="219" t="s">
        <v>399</v>
      </c>
      <c r="E91" s="220" t="s">
        <v>400</v>
      </c>
      <c r="F91" s="220" t="s">
        <v>401</v>
      </c>
      <c r="G91" s="220" t="s">
        <v>276</v>
      </c>
      <c r="H91" s="216">
        <v>45961</v>
      </c>
    </row>
    <row r="92" spans="1:8" customFormat="1">
      <c r="A92" s="216">
        <v>45961</v>
      </c>
      <c r="B92" s="217" t="s">
        <v>380</v>
      </c>
      <c r="C92" s="218" t="s">
        <v>267</v>
      </c>
      <c r="D92" s="219" t="s">
        <v>399</v>
      </c>
      <c r="E92" s="220" t="s">
        <v>400</v>
      </c>
      <c r="F92" s="220" t="s">
        <v>402</v>
      </c>
      <c r="G92" s="220" t="s">
        <v>276</v>
      </c>
      <c r="H92" s="216">
        <v>45961</v>
      </c>
    </row>
    <row r="93" spans="1:8" customFormat="1">
      <c r="A93" s="216">
        <v>45961</v>
      </c>
      <c r="B93" s="217" t="s">
        <v>380</v>
      </c>
      <c r="C93" s="218" t="s">
        <v>267</v>
      </c>
      <c r="D93" s="219" t="s">
        <v>403</v>
      </c>
      <c r="E93" s="220" t="s">
        <v>404</v>
      </c>
      <c r="F93" s="220"/>
      <c r="G93" s="220" t="s">
        <v>270</v>
      </c>
      <c r="H93" s="216">
        <v>45961</v>
      </c>
    </row>
    <row r="94" spans="1:8" customFormat="1" ht="21.9">
      <c r="A94" s="216">
        <v>45961</v>
      </c>
      <c r="B94" s="217" t="s">
        <v>380</v>
      </c>
      <c r="C94" s="218" t="s">
        <v>267</v>
      </c>
      <c r="D94" s="219" t="s">
        <v>405</v>
      </c>
      <c r="E94" s="220" t="s">
        <v>406</v>
      </c>
      <c r="F94" s="220" t="s">
        <v>407</v>
      </c>
      <c r="G94" s="220" t="s">
        <v>276</v>
      </c>
      <c r="H94" s="216">
        <v>45961</v>
      </c>
    </row>
    <row r="95" spans="1:8" customFormat="1" ht="21.9">
      <c r="A95" s="216">
        <v>45961</v>
      </c>
      <c r="B95" s="217" t="s">
        <v>380</v>
      </c>
      <c r="C95" s="218" t="s">
        <v>267</v>
      </c>
      <c r="D95" s="219" t="s">
        <v>408</v>
      </c>
      <c r="E95" s="220" t="s">
        <v>409</v>
      </c>
      <c r="F95" s="220" t="s">
        <v>410</v>
      </c>
      <c r="G95" s="220" t="s">
        <v>276</v>
      </c>
      <c r="H95" s="216">
        <v>45961</v>
      </c>
    </row>
    <row r="96" spans="1:8" customFormat="1" ht="21.9">
      <c r="A96" s="216">
        <v>45961</v>
      </c>
      <c r="B96" s="217" t="s">
        <v>380</v>
      </c>
      <c r="C96" s="218" t="s">
        <v>267</v>
      </c>
      <c r="D96" s="219" t="s">
        <v>411</v>
      </c>
      <c r="E96" s="220" t="s">
        <v>412</v>
      </c>
      <c r="F96" s="220" t="s">
        <v>413</v>
      </c>
      <c r="G96" s="220" t="s">
        <v>414</v>
      </c>
      <c r="H96" s="216">
        <v>45961</v>
      </c>
    </row>
    <row r="97" spans="1:8" customFormat="1">
      <c r="A97" s="216">
        <v>45961</v>
      </c>
      <c r="B97" s="217" t="s">
        <v>380</v>
      </c>
      <c r="C97" s="218" t="s">
        <v>267</v>
      </c>
      <c r="D97" s="219" t="s">
        <v>415</v>
      </c>
      <c r="E97" s="220" t="s">
        <v>416</v>
      </c>
      <c r="F97" s="220"/>
      <c r="G97" s="220" t="s">
        <v>270</v>
      </c>
      <c r="H97" s="216">
        <v>45961</v>
      </c>
    </row>
    <row r="98" spans="1:8" customFormat="1">
      <c r="A98" s="216">
        <v>45961</v>
      </c>
      <c r="B98" s="217" t="s">
        <v>380</v>
      </c>
      <c r="C98" s="218" t="s">
        <v>267</v>
      </c>
      <c r="D98" s="219" t="s">
        <v>417</v>
      </c>
      <c r="E98" s="220" t="s">
        <v>418</v>
      </c>
      <c r="F98" s="220"/>
      <c r="G98" s="220" t="s">
        <v>270</v>
      </c>
      <c r="H98" s="216">
        <v>45961</v>
      </c>
    </row>
    <row r="99" spans="1:8" customFormat="1">
      <c r="A99" s="216">
        <v>45961</v>
      </c>
      <c r="B99" s="217" t="s">
        <v>380</v>
      </c>
      <c r="C99" s="218" t="s">
        <v>267</v>
      </c>
      <c r="D99" s="219" t="s">
        <v>419</v>
      </c>
      <c r="E99" s="220" t="s">
        <v>269</v>
      </c>
      <c r="F99" s="220" t="s">
        <v>420</v>
      </c>
      <c r="G99" s="220" t="s">
        <v>288</v>
      </c>
      <c r="H99" s="216">
        <v>45961</v>
      </c>
    </row>
    <row r="100" spans="1:8" customFormat="1">
      <c r="A100" s="216">
        <v>45961</v>
      </c>
      <c r="B100" s="217" t="s">
        <v>380</v>
      </c>
      <c r="C100" s="218" t="s">
        <v>267</v>
      </c>
      <c r="D100" s="219" t="s">
        <v>421</v>
      </c>
      <c r="E100" s="220" t="s">
        <v>422</v>
      </c>
      <c r="F100" s="220"/>
      <c r="G100" s="220" t="s">
        <v>270</v>
      </c>
      <c r="H100" s="216">
        <v>45961</v>
      </c>
    </row>
    <row r="101" spans="1:8" customFormat="1">
      <c r="A101" s="216">
        <v>45961</v>
      </c>
      <c r="B101" s="217" t="s">
        <v>423</v>
      </c>
      <c r="C101" s="218" t="s">
        <v>199</v>
      </c>
      <c r="D101" s="219" t="s">
        <v>424</v>
      </c>
      <c r="E101" s="220" t="s">
        <v>254</v>
      </c>
      <c r="F101" s="220" t="s">
        <v>425</v>
      </c>
      <c r="G101" s="220" t="s">
        <v>426</v>
      </c>
      <c r="H101" s="216">
        <v>45961</v>
      </c>
    </row>
    <row r="102" spans="1:8" customFormat="1">
      <c r="A102" s="216">
        <v>45961</v>
      </c>
      <c r="B102" s="217" t="s">
        <v>423</v>
      </c>
      <c r="C102" s="218" t="s">
        <v>199</v>
      </c>
      <c r="D102" s="219" t="s">
        <v>427</v>
      </c>
      <c r="E102" s="220" t="s">
        <v>428</v>
      </c>
      <c r="F102" s="220"/>
      <c r="G102" s="220" t="s">
        <v>212</v>
      </c>
      <c r="H102" s="216">
        <v>45961</v>
      </c>
    </row>
    <row r="103" spans="1:8" customFormat="1">
      <c r="A103" s="216">
        <v>45961</v>
      </c>
      <c r="B103" s="217" t="s">
        <v>423</v>
      </c>
      <c r="C103" s="218" t="s">
        <v>199</v>
      </c>
      <c r="D103" s="219" t="s">
        <v>429</v>
      </c>
      <c r="E103" s="220" t="s">
        <v>430</v>
      </c>
      <c r="F103" s="220" t="s">
        <v>431</v>
      </c>
      <c r="G103" s="220" t="s">
        <v>314</v>
      </c>
      <c r="H103" s="216">
        <v>45961</v>
      </c>
    </row>
    <row r="104" spans="1:8" customFormat="1">
      <c r="A104" s="216">
        <v>45961</v>
      </c>
      <c r="B104" s="217" t="s">
        <v>423</v>
      </c>
      <c r="C104" s="218" t="s">
        <v>199</v>
      </c>
      <c r="D104" s="219" t="s">
        <v>432</v>
      </c>
      <c r="E104" s="220" t="s">
        <v>236</v>
      </c>
      <c r="F104" s="220" t="s">
        <v>433</v>
      </c>
      <c r="G104" s="220" t="s">
        <v>434</v>
      </c>
      <c r="H104" s="216">
        <v>45961</v>
      </c>
    </row>
    <row r="105" spans="1:8" customFormat="1" ht="21.9">
      <c r="A105" s="216">
        <v>45961</v>
      </c>
      <c r="B105" s="217" t="s">
        <v>423</v>
      </c>
      <c r="C105" s="218" t="s">
        <v>199</v>
      </c>
      <c r="D105" s="219" t="s">
        <v>435</v>
      </c>
      <c r="E105" s="220" t="s">
        <v>436</v>
      </c>
      <c r="F105" s="220"/>
      <c r="G105" s="220" t="s">
        <v>206</v>
      </c>
      <c r="H105" s="216">
        <v>45961</v>
      </c>
    </row>
    <row r="106" spans="1:8" customFormat="1">
      <c r="A106" s="216">
        <v>45961</v>
      </c>
      <c r="B106" s="217" t="s">
        <v>423</v>
      </c>
      <c r="C106" s="218" t="s">
        <v>220</v>
      </c>
      <c r="D106" s="219" t="s">
        <v>437</v>
      </c>
      <c r="E106" s="220" t="s">
        <v>252</v>
      </c>
      <c r="F106" s="220"/>
      <c r="G106" s="220" t="s">
        <v>438</v>
      </c>
      <c r="H106" s="216">
        <v>45961</v>
      </c>
    </row>
    <row r="107" spans="1:8" customFormat="1">
      <c r="A107" s="216">
        <v>45961</v>
      </c>
      <c r="B107" s="217" t="s">
        <v>423</v>
      </c>
      <c r="C107" s="218" t="s">
        <v>220</v>
      </c>
      <c r="D107" s="219" t="s">
        <v>439</v>
      </c>
      <c r="E107" s="220" t="s">
        <v>440</v>
      </c>
      <c r="F107" s="220"/>
      <c r="G107" s="220" t="s">
        <v>226</v>
      </c>
      <c r="H107" s="216">
        <v>45961</v>
      </c>
    </row>
    <row r="108" spans="1:8" customFormat="1" ht="21.9">
      <c r="A108" s="216">
        <v>45961</v>
      </c>
      <c r="B108" s="217" t="s">
        <v>423</v>
      </c>
      <c r="C108" s="218" t="s">
        <v>220</v>
      </c>
      <c r="D108" s="219" t="s">
        <v>443</v>
      </c>
      <c r="E108" s="220" t="s">
        <v>444</v>
      </c>
      <c r="F108" s="220"/>
      <c r="G108" s="220" t="s">
        <v>445</v>
      </c>
      <c r="H108" s="216">
        <v>45961</v>
      </c>
    </row>
    <row r="109" spans="1:8" customFormat="1">
      <c r="A109" s="216">
        <v>45961</v>
      </c>
      <c r="B109" s="217" t="s">
        <v>423</v>
      </c>
      <c r="C109" s="218" t="s">
        <v>220</v>
      </c>
      <c r="D109" s="219" t="s">
        <v>446</v>
      </c>
      <c r="E109" s="220" t="s">
        <v>252</v>
      </c>
      <c r="F109" s="220"/>
      <c r="G109" s="220" t="s">
        <v>226</v>
      </c>
      <c r="H109" s="216">
        <v>45961</v>
      </c>
    </row>
    <row r="110" spans="1:8" customFormat="1">
      <c r="A110" s="216">
        <v>45961</v>
      </c>
      <c r="B110" s="217" t="s">
        <v>423</v>
      </c>
      <c r="C110" s="218" t="s">
        <v>220</v>
      </c>
      <c r="D110" s="219" t="s">
        <v>447</v>
      </c>
      <c r="E110" s="220" t="s">
        <v>448</v>
      </c>
      <c r="F110" s="220"/>
      <c r="G110" s="220" t="s">
        <v>226</v>
      </c>
      <c r="H110" s="216">
        <v>45961</v>
      </c>
    </row>
    <row r="111" spans="1:8" customFormat="1" ht="21.9">
      <c r="A111" s="216">
        <v>45961</v>
      </c>
      <c r="B111" s="217" t="s">
        <v>423</v>
      </c>
      <c r="C111" s="218" t="s">
        <v>220</v>
      </c>
      <c r="D111" s="219" t="s">
        <v>449</v>
      </c>
      <c r="E111" s="220" t="s">
        <v>450</v>
      </c>
      <c r="F111" s="220"/>
      <c r="G111" s="220" t="s">
        <v>451</v>
      </c>
      <c r="H111" s="216">
        <v>45961</v>
      </c>
    </row>
    <row r="112" spans="1:8" customFormat="1">
      <c r="A112" s="216">
        <v>45961</v>
      </c>
      <c r="B112" s="217" t="s">
        <v>423</v>
      </c>
      <c r="C112" s="218" t="s">
        <v>220</v>
      </c>
      <c r="D112" s="219" t="s">
        <v>452</v>
      </c>
      <c r="E112" s="220" t="s">
        <v>252</v>
      </c>
      <c r="F112" s="220"/>
      <c r="G112" s="220" t="s">
        <v>226</v>
      </c>
      <c r="H112" s="216">
        <v>45961</v>
      </c>
    </row>
    <row r="113" spans="1:8" customFormat="1" ht="21.9">
      <c r="A113" s="216">
        <v>45961</v>
      </c>
      <c r="B113" s="217" t="s">
        <v>423</v>
      </c>
      <c r="C113" s="218" t="s">
        <v>267</v>
      </c>
      <c r="D113" s="219" t="s">
        <v>455</v>
      </c>
      <c r="E113" s="220" t="s">
        <v>456</v>
      </c>
      <c r="F113" s="220" t="s">
        <v>457</v>
      </c>
      <c r="G113" s="220" t="s">
        <v>276</v>
      </c>
      <c r="H113" s="216">
        <v>45961</v>
      </c>
    </row>
    <row r="114" spans="1:8" customFormat="1" ht="21.9">
      <c r="A114" s="216">
        <v>45961</v>
      </c>
      <c r="B114" s="217" t="s">
        <v>423</v>
      </c>
      <c r="C114" s="218" t="s">
        <v>267</v>
      </c>
      <c r="D114" s="219" t="s">
        <v>441</v>
      </c>
      <c r="E114" s="220" t="s">
        <v>442</v>
      </c>
      <c r="F114" s="220"/>
      <c r="G114" s="220" t="s">
        <v>5415</v>
      </c>
      <c r="H114" s="216">
        <v>45961</v>
      </c>
    </row>
    <row r="115" spans="1:8" customFormat="1">
      <c r="A115" s="216">
        <v>45961</v>
      </c>
      <c r="B115" s="217" t="s">
        <v>423</v>
      </c>
      <c r="C115" s="218" t="s">
        <v>267</v>
      </c>
      <c r="D115" s="219" t="s">
        <v>458</v>
      </c>
      <c r="E115" s="220" t="s">
        <v>459</v>
      </c>
      <c r="F115" s="220"/>
      <c r="G115" s="220" t="s">
        <v>291</v>
      </c>
      <c r="H115" s="216">
        <v>45961</v>
      </c>
    </row>
    <row r="116" spans="1:8" customFormat="1" ht="21.9">
      <c r="A116" s="216">
        <v>45961</v>
      </c>
      <c r="B116" s="217" t="s">
        <v>423</v>
      </c>
      <c r="C116" s="218" t="s">
        <v>267</v>
      </c>
      <c r="D116" s="219" t="s">
        <v>460</v>
      </c>
      <c r="E116" s="220" t="s">
        <v>461</v>
      </c>
      <c r="F116" s="220"/>
      <c r="G116" s="220" t="s">
        <v>276</v>
      </c>
      <c r="H116" s="216">
        <v>45961</v>
      </c>
    </row>
    <row r="117" spans="1:8" customFormat="1">
      <c r="A117" s="216">
        <v>45961</v>
      </c>
      <c r="B117" s="217" t="s">
        <v>423</v>
      </c>
      <c r="C117" s="218" t="s">
        <v>267</v>
      </c>
      <c r="D117" s="219" t="s">
        <v>462</v>
      </c>
      <c r="E117" s="220" t="s">
        <v>463</v>
      </c>
      <c r="F117" s="220" t="s">
        <v>464</v>
      </c>
      <c r="G117" s="220" t="s">
        <v>285</v>
      </c>
      <c r="H117" s="216">
        <v>45961</v>
      </c>
    </row>
    <row r="118" spans="1:8" customFormat="1">
      <c r="A118" s="216">
        <v>45961</v>
      </c>
      <c r="B118" s="217" t="s">
        <v>423</v>
      </c>
      <c r="C118" s="218" t="s">
        <v>267</v>
      </c>
      <c r="D118" s="219" t="s">
        <v>3710</v>
      </c>
      <c r="E118" s="220" t="s">
        <v>473</v>
      </c>
      <c r="F118" s="220"/>
      <c r="G118" s="220" t="s">
        <v>270</v>
      </c>
      <c r="H118" s="216">
        <v>45961</v>
      </c>
    </row>
    <row r="119" spans="1:8" customFormat="1">
      <c r="A119" s="216">
        <v>45961</v>
      </c>
      <c r="B119" s="217" t="s">
        <v>423</v>
      </c>
      <c r="C119" s="218" t="s">
        <v>267</v>
      </c>
      <c r="D119" s="219" t="s">
        <v>465</v>
      </c>
      <c r="E119" s="220" t="s">
        <v>466</v>
      </c>
      <c r="F119" s="220" t="s">
        <v>467</v>
      </c>
      <c r="G119" s="220" t="s">
        <v>468</v>
      </c>
      <c r="H119" s="216">
        <v>45961</v>
      </c>
    </row>
    <row r="120" spans="1:8" customFormat="1">
      <c r="A120" s="216">
        <v>45961</v>
      </c>
      <c r="B120" s="217" t="s">
        <v>423</v>
      </c>
      <c r="C120" s="218" t="s">
        <v>267</v>
      </c>
      <c r="D120" s="219" t="s">
        <v>429</v>
      </c>
      <c r="E120" s="220" t="s">
        <v>430</v>
      </c>
      <c r="F120" s="220" t="s">
        <v>431</v>
      </c>
      <c r="G120" s="220" t="s">
        <v>471</v>
      </c>
      <c r="H120" s="216">
        <v>45961</v>
      </c>
    </row>
    <row r="121" spans="1:8" customFormat="1" ht="21.9">
      <c r="A121" s="216">
        <v>45961</v>
      </c>
      <c r="B121" s="217" t="s">
        <v>423</v>
      </c>
      <c r="C121" s="218" t="s">
        <v>267</v>
      </c>
      <c r="D121" s="219" t="s">
        <v>469</v>
      </c>
      <c r="E121" s="220" t="s">
        <v>470</v>
      </c>
      <c r="F121" s="220"/>
      <c r="G121" s="220" t="s">
        <v>285</v>
      </c>
      <c r="H121" s="216">
        <v>45961</v>
      </c>
    </row>
    <row r="122" spans="1:8" customFormat="1">
      <c r="A122" s="216">
        <v>45961</v>
      </c>
      <c r="B122" s="217" t="s">
        <v>423</v>
      </c>
      <c r="C122" s="218" t="s">
        <v>267</v>
      </c>
      <c r="D122" s="219" t="s">
        <v>432</v>
      </c>
      <c r="E122" s="220" t="s">
        <v>236</v>
      </c>
      <c r="F122" s="220" t="s">
        <v>433</v>
      </c>
      <c r="G122" s="220" t="s">
        <v>471</v>
      </c>
      <c r="H122" s="216">
        <v>45961</v>
      </c>
    </row>
    <row r="123" spans="1:8" customFormat="1">
      <c r="A123" s="216">
        <v>45961</v>
      </c>
      <c r="B123" s="217" t="s">
        <v>423</v>
      </c>
      <c r="C123" s="218" t="s">
        <v>267</v>
      </c>
      <c r="D123" s="219" t="s">
        <v>472</v>
      </c>
      <c r="E123" s="220" t="s">
        <v>473</v>
      </c>
      <c r="F123" s="220"/>
      <c r="G123" s="220" t="s">
        <v>270</v>
      </c>
      <c r="H123" s="216">
        <v>45961</v>
      </c>
    </row>
    <row r="124" spans="1:8" customFormat="1" ht="42.45">
      <c r="A124" s="216">
        <v>45961</v>
      </c>
      <c r="B124" s="217" t="s">
        <v>423</v>
      </c>
      <c r="C124" s="218" t="s">
        <v>267</v>
      </c>
      <c r="D124" s="219" t="s">
        <v>474</v>
      </c>
      <c r="E124" s="220" t="s">
        <v>475</v>
      </c>
      <c r="F124" s="220" t="s">
        <v>476</v>
      </c>
      <c r="G124" s="220" t="s">
        <v>471</v>
      </c>
      <c r="H124" s="216">
        <v>45961</v>
      </c>
    </row>
    <row r="125" spans="1:8" customFormat="1" ht="42.45">
      <c r="A125" s="216">
        <v>45961</v>
      </c>
      <c r="B125" s="217" t="s">
        <v>423</v>
      </c>
      <c r="C125" s="218" t="s">
        <v>267</v>
      </c>
      <c r="D125" s="219" t="s">
        <v>477</v>
      </c>
      <c r="E125" s="220" t="s">
        <v>478</v>
      </c>
      <c r="F125" s="220" t="s">
        <v>479</v>
      </c>
      <c r="G125" s="220" t="s">
        <v>471</v>
      </c>
      <c r="H125" s="216">
        <v>45961</v>
      </c>
    </row>
    <row r="126" spans="1:8" customFormat="1" ht="42.45">
      <c r="A126" s="216">
        <v>45961</v>
      </c>
      <c r="B126" s="217" t="s">
        <v>423</v>
      </c>
      <c r="C126" s="218" t="s">
        <v>267</v>
      </c>
      <c r="D126" s="219" t="s">
        <v>480</v>
      </c>
      <c r="E126" s="220" t="s">
        <v>481</v>
      </c>
      <c r="F126" s="220" t="s">
        <v>482</v>
      </c>
      <c r="G126" s="220" t="s">
        <v>471</v>
      </c>
      <c r="H126" s="216">
        <v>45961</v>
      </c>
    </row>
    <row r="127" spans="1:8" customFormat="1">
      <c r="A127" s="216">
        <v>45961</v>
      </c>
      <c r="B127" s="217" t="s">
        <v>423</v>
      </c>
      <c r="C127" s="218" t="s">
        <v>267</v>
      </c>
      <c r="D127" s="219" t="s">
        <v>483</v>
      </c>
      <c r="E127" s="220" t="s">
        <v>484</v>
      </c>
      <c r="F127" s="220" t="s">
        <v>485</v>
      </c>
      <c r="G127" s="220" t="s">
        <v>276</v>
      </c>
      <c r="H127" s="216">
        <v>45961</v>
      </c>
    </row>
    <row r="128" spans="1:8" customFormat="1">
      <c r="A128" s="216">
        <v>45961</v>
      </c>
      <c r="B128" s="217" t="s">
        <v>423</v>
      </c>
      <c r="C128" s="218" t="s">
        <v>267</v>
      </c>
      <c r="D128" s="219" t="s">
        <v>486</v>
      </c>
      <c r="E128" s="220" t="s">
        <v>487</v>
      </c>
      <c r="F128" s="220" t="s">
        <v>488</v>
      </c>
      <c r="G128" s="220" t="s">
        <v>276</v>
      </c>
      <c r="H128" s="216">
        <v>45961</v>
      </c>
    </row>
    <row r="129" spans="1:8" customFormat="1" ht="21.9">
      <c r="A129" s="216">
        <v>45961</v>
      </c>
      <c r="B129" s="217" t="s">
        <v>423</v>
      </c>
      <c r="C129" s="218" t="s">
        <v>267</v>
      </c>
      <c r="D129" s="219" t="s">
        <v>489</v>
      </c>
      <c r="E129" s="220" t="s">
        <v>490</v>
      </c>
      <c r="F129" s="220"/>
      <c r="G129" s="220" t="s">
        <v>270</v>
      </c>
      <c r="H129" s="216">
        <v>45961</v>
      </c>
    </row>
    <row r="130" spans="1:8" customFormat="1" ht="21.9">
      <c r="A130" s="216">
        <v>45961</v>
      </c>
      <c r="B130" s="217" t="s">
        <v>423</v>
      </c>
      <c r="C130" s="218" t="s">
        <v>267</v>
      </c>
      <c r="D130" s="219" t="s">
        <v>453</v>
      </c>
      <c r="E130" s="220" t="s">
        <v>454</v>
      </c>
      <c r="F130" s="220"/>
      <c r="G130" s="220" t="s">
        <v>5415</v>
      </c>
      <c r="H130" s="216">
        <v>45961</v>
      </c>
    </row>
    <row r="131" spans="1:8" customFormat="1">
      <c r="A131" s="216">
        <v>45853</v>
      </c>
      <c r="B131" s="217" t="s">
        <v>7</v>
      </c>
      <c r="C131" s="218" t="s">
        <v>220</v>
      </c>
      <c r="D131" s="219" t="s">
        <v>491</v>
      </c>
      <c r="E131" s="220" t="s">
        <v>492</v>
      </c>
      <c r="F131" s="220"/>
      <c r="G131" s="220" t="s">
        <v>493</v>
      </c>
      <c r="H131" s="216">
        <v>45853</v>
      </c>
    </row>
    <row r="132" spans="1:8" customFormat="1" ht="21.9">
      <c r="A132" s="216">
        <v>45853</v>
      </c>
      <c r="B132" s="217" t="s">
        <v>7</v>
      </c>
      <c r="C132" s="218" t="s">
        <v>220</v>
      </c>
      <c r="D132" s="219" t="s">
        <v>494</v>
      </c>
      <c r="E132" s="220" t="s">
        <v>495</v>
      </c>
      <c r="F132" s="220" t="s">
        <v>496</v>
      </c>
      <c r="G132" s="220" t="s">
        <v>497</v>
      </c>
      <c r="H132" s="216">
        <v>45853</v>
      </c>
    </row>
    <row r="133" spans="1:8" customFormat="1" ht="21.9">
      <c r="A133" s="216">
        <v>45853</v>
      </c>
      <c r="B133" s="217" t="s">
        <v>7</v>
      </c>
      <c r="C133" s="218" t="s">
        <v>220</v>
      </c>
      <c r="D133" s="219" t="s">
        <v>494</v>
      </c>
      <c r="E133" s="220" t="s">
        <v>495</v>
      </c>
      <c r="F133" s="220" t="s">
        <v>496</v>
      </c>
      <c r="G133" s="220" t="s">
        <v>498</v>
      </c>
      <c r="H133" s="216">
        <v>45853</v>
      </c>
    </row>
    <row r="134" spans="1:8" customFormat="1">
      <c r="A134" s="216">
        <v>45853</v>
      </c>
      <c r="B134" s="217" t="s">
        <v>7</v>
      </c>
      <c r="C134" s="218" t="s">
        <v>220</v>
      </c>
      <c r="D134" s="219" t="s">
        <v>499</v>
      </c>
      <c r="E134" s="220" t="s">
        <v>500</v>
      </c>
      <c r="F134" s="220"/>
      <c r="G134" s="220" t="s">
        <v>501</v>
      </c>
      <c r="H134" s="216">
        <v>45853</v>
      </c>
    </row>
    <row r="135" spans="1:8" customFormat="1" ht="21.9">
      <c r="A135" s="216">
        <v>45853</v>
      </c>
      <c r="B135" s="217" t="s">
        <v>7</v>
      </c>
      <c r="C135" s="218" t="s">
        <v>220</v>
      </c>
      <c r="D135" s="219" t="s">
        <v>502</v>
      </c>
      <c r="E135" s="220" t="s">
        <v>503</v>
      </c>
      <c r="F135" s="220"/>
      <c r="G135" s="220" t="s">
        <v>226</v>
      </c>
      <c r="H135" s="216">
        <v>45853</v>
      </c>
    </row>
    <row r="136" spans="1:8" customFormat="1" ht="21.9">
      <c r="A136" s="216">
        <v>45853</v>
      </c>
      <c r="B136" s="217" t="s">
        <v>7</v>
      </c>
      <c r="C136" s="218" t="s">
        <v>220</v>
      </c>
      <c r="D136" s="219" t="s">
        <v>504</v>
      </c>
      <c r="E136" s="220" t="s">
        <v>503</v>
      </c>
      <c r="F136" s="220"/>
      <c r="G136" s="220" t="s">
        <v>226</v>
      </c>
      <c r="H136" s="216">
        <v>45853</v>
      </c>
    </row>
    <row r="137" spans="1:8" customFormat="1">
      <c r="A137" s="216">
        <v>45853</v>
      </c>
      <c r="B137" s="217" t="s">
        <v>7</v>
      </c>
      <c r="C137" s="218" t="s">
        <v>220</v>
      </c>
      <c r="D137" s="219" t="s">
        <v>229</v>
      </c>
      <c r="E137" s="220" t="s">
        <v>230</v>
      </c>
      <c r="F137" s="220" t="s">
        <v>231</v>
      </c>
      <c r="G137" s="220" t="s">
        <v>505</v>
      </c>
      <c r="H137" s="216">
        <v>45853</v>
      </c>
    </row>
    <row r="138" spans="1:8" customFormat="1">
      <c r="A138" s="216">
        <v>45853</v>
      </c>
      <c r="B138" s="217" t="s">
        <v>7</v>
      </c>
      <c r="C138" s="218" t="s">
        <v>220</v>
      </c>
      <c r="D138" s="219" t="s">
        <v>229</v>
      </c>
      <c r="E138" s="220" t="s">
        <v>230</v>
      </c>
      <c r="F138" s="220" t="s">
        <v>233</v>
      </c>
      <c r="G138" s="220" t="s">
        <v>506</v>
      </c>
      <c r="H138" s="216">
        <v>45853</v>
      </c>
    </row>
    <row r="139" spans="1:8" customFormat="1">
      <c r="A139" s="216">
        <v>45853</v>
      </c>
      <c r="B139" s="217" t="s">
        <v>7</v>
      </c>
      <c r="C139" s="218" t="s">
        <v>220</v>
      </c>
      <c r="D139" s="219" t="s">
        <v>507</v>
      </c>
      <c r="E139" s="220" t="s">
        <v>508</v>
      </c>
      <c r="F139" s="220"/>
      <c r="G139" s="220" t="s">
        <v>509</v>
      </c>
      <c r="H139" s="216">
        <v>45853</v>
      </c>
    </row>
    <row r="140" spans="1:8" customFormat="1">
      <c r="A140" s="216">
        <v>45853</v>
      </c>
      <c r="B140" s="217" t="s">
        <v>7</v>
      </c>
      <c r="C140" s="218" t="s">
        <v>220</v>
      </c>
      <c r="D140" s="219" t="s">
        <v>510</v>
      </c>
      <c r="E140" s="220" t="s">
        <v>508</v>
      </c>
      <c r="F140" s="220"/>
      <c r="G140" s="220" t="s">
        <v>509</v>
      </c>
      <c r="H140" s="216">
        <v>45853</v>
      </c>
    </row>
    <row r="141" spans="1:8" customFormat="1">
      <c r="A141" s="216">
        <v>45853</v>
      </c>
      <c r="B141" s="217" t="s">
        <v>7</v>
      </c>
      <c r="C141" s="218" t="s">
        <v>220</v>
      </c>
      <c r="D141" s="219" t="s">
        <v>511</v>
      </c>
      <c r="E141" s="220" t="s">
        <v>512</v>
      </c>
      <c r="F141" s="220" t="s">
        <v>513</v>
      </c>
      <c r="G141" s="220" t="s">
        <v>514</v>
      </c>
      <c r="H141" s="216">
        <v>45853</v>
      </c>
    </row>
    <row r="142" spans="1:8" customFormat="1">
      <c r="A142" s="216">
        <v>45853</v>
      </c>
      <c r="B142" s="217" t="s">
        <v>7</v>
      </c>
      <c r="C142" s="218" t="s">
        <v>220</v>
      </c>
      <c r="D142" s="219" t="s">
        <v>511</v>
      </c>
      <c r="E142" s="220" t="s">
        <v>512</v>
      </c>
      <c r="F142" s="220" t="s">
        <v>513</v>
      </c>
      <c r="G142" s="220" t="s">
        <v>515</v>
      </c>
      <c r="H142" s="216">
        <v>45853</v>
      </c>
    </row>
    <row r="143" spans="1:8" customFormat="1">
      <c r="A143" s="216">
        <v>45853</v>
      </c>
      <c r="B143" s="217" t="s">
        <v>7</v>
      </c>
      <c r="C143" s="218" t="s">
        <v>220</v>
      </c>
      <c r="D143" s="222" t="s">
        <v>516</v>
      </c>
      <c r="E143" s="220" t="s">
        <v>517</v>
      </c>
      <c r="F143" s="220"/>
      <c r="G143" s="220" t="s">
        <v>518</v>
      </c>
      <c r="H143" s="216">
        <v>45853</v>
      </c>
    </row>
    <row r="144" spans="1:8" customFormat="1">
      <c r="A144" s="216">
        <v>45853</v>
      </c>
      <c r="B144" s="217" t="s">
        <v>7</v>
      </c>
      <c r="C144" s="218" t="s">
        <v>220</v>
      </c>
      <c r="D144" s="222" t="s">
        <v>519</v>
      </c>
      <c r="E144" s="220" t="s">
        <v>520</v>
      </c>
      <c r="F144" s="220"/>
      <c r="G144" s="220" t="s">
        <v>521</v>
      </c>
      <c r="H144" s="216">
        <v>45853</v>
      </c>
    </row>
    <row r="145" spans="1:8" customFormat="1">
      <c r="A145" s="216">
        <v>45853</v>
      </c>
      <c r="B145" s="217" t="s">
        <v>7</v>
      </c>
      <c r="C145" s="218" t="s">
        <v>220</v>
      </c>
      <c r="D145" s="219" t="s">
        <v>522</v>
      </c>
      <c r="E145" s="220" t="s">
        <v>523</v>
      </c>
      <c r="F145" s="220" t="s">
        <v>524</v>
      </c>
      <c r="G145" s="220" t="s">
        <v>525</v>
      </c>
      <c r="H145" s="216">
        <v>45853</v>
      </c>
    </row>
    <row r="146" spans="1:8" customFormat="1">
      <c r="A146" s="216">
        <v>45853</v>
      </c>
      <c r="B146" s="217" t="s">
        <v>7</v>
      </c>
      <c r="C146" s="218" t="s">
        <v>220</v>
      </c>
      <c r="D146" s="219" t="s">
        <v>255</v>
      </c>
      <c r="E146" s="220" t="s">
        <v>526</v>
      </c>
      <c r="F146" s="220"/>
      <c r="G146" s="220" t="s">
        <v>527</v>
      </c>
      <c r="H146" s="216">
        <v>45853</v>
      </c>
    </row>
    <row r="147" spans="1:8" customFormat="1">
      <c r="A147" s="216">
        <v>45853</v>
      </c>
      <c r="B147" s="217" t="s">
        <v>7</v>
      </c>
      <c r="C147" s="218" t="s">
        <v>220</v>
      </c>
      <c r="D147" s="219" t="s">
        <v>260</v>
      </c>
      <c r="E147" s="220" t="s">
        <v>261</v>
      </c>
      <c r="F147" s="220" t="s">
        <v>262</v>
      </c>
      <c r="G147" s="220" t="s">
        <v>528</v>
      </c>
      <c r="H147" s="216">
        <v>45853</v>
      </c>
    </row>
    <row r="148" spans="1:8" customFormat="1">
      <c r="A148" s="216">
        <v>45853</v>
      </c>
      <c r="B148" s="217" t="s">
        <v>7</v>
      </c>
      <c r="C148" s="218" t="s">
        <v>267</v>
      </c>
      <c r="D148" s="219" t="s">
        <v>529</v>
      </c>
      <c r="E148" s="220" t="s">
        <v>530</v>
      </c>
      <c r="F148" s="220"/>
      <c r="G148" s="220" t="s">
        <v>531</v>
      </c>
      <c r="H148" s="216">
        <v>45853</v>
      </c>
    </row>
    <row r="149" spans="1:8" customFormat="1" ht="21.9">
      <c r="A149" s="216">
        <v>45853</v>
      </c>
      <c r="B149" s="217" t="s">
        <v>7</v>
      </c>
      <c r="C149" s="218" t="s">
        <v>267</v>
      </c>
      <c r="D149" s="219" t="s">
        <v>200</v>
      </c>
      <c r="E149" s="220" t="s">
        <v>532</v>
      </c>
      <c r="F149" s="220"/>
      <c r="G149" s="220" t="s">
        <v>285</v>
      </c>
      <c r="H149" s="216">
        <v>45853</v>
      </c>
    </row>
    <row r="150" spans="1:8" customFormat="1" ht="21.9">
      <c r="A150" s="216">
        <v>45853</v>
      </c>
      <c r="B150" s="217" t="s">
        <v>7</v>
      </c>
      <c r="C150" s="218" t="s">
        <v>267</v>
      </c>
      <c r="D150" s="219" t="s">
        <v>203</v>
      </c>
      <c r="E150" s="220" t="s">
        <v>532</v>
      </c>
      <c r="F150" s="220"/>
      <c r="G150" s="220" t="s">
        <v>285</v>
      </c>
      <c r="H150" s="216">
        <v>45853</v>
      </c>
    </row>
    <row r="151" spans="1:8" customFormat="1">
      <c r="A151" s="216">
        <v>45853</v>
      </c>
      <c r="B151" s="217" t="s">
        <v>7</v>
      </c>
      <c r="C151" s="218" t="s">
        <v>267</v>
      </c>
      <c r="D151" s="219" t="s">
        <v>210</v>
      </c>
      <c r="E151" s="220" t="s">
        <v>211</v>
      </c>
      <c r="F151" s="220"/>
      <c r="G151" s="220" t="s">
        <v>285</v>
      </c>
      <c r="H151" s="216">
        <v>45853</v>
      </c>
    </row>
    <row r="152" spans="1:8" customFormat="1">
      <c r="A152" s="216">
        <v>45853</v>
      </c>
      <c r="B152" s="217" t="s">
        <v>309</v>
      </c>
      <c r="C152" s="218" t="s">
        <v>220</v>
      </c>
      <c r="D152" s="219" t="s">
        <v>533</v>
      </c>
      <c r="E152" s="220" t="s">
        <v>534</v>
      </c>
      <c r="F152" s="220"/>
      <c r="G152" s="220" t="s">
        <v>226</v>
      </c>
      <c r="H152" s="216">
        <v>45853</v>
      </c>
    </row>
    <row r="153" spans="1:8" customFormat="1">
      <c r="A153" s="216">
        <v>45853</v>
      </c>
      <c r="B153" s="217" t="s">
        <v>309</v>
      </c>
      <c r="C153" s="218" t="s">
        <v>220</v>
      </c>
      <c r="D153" s="219" t="s">
        <v>535</v>
      </c>
      <c r="E153" s="220" t="s">
        <v>536</v>
      </c>
      <c r="F153" s="220"/>
      <c r="G153" s="220" t="s">
        <v>226</v>
      </c>
      <c r="H153" s="216">
        <v>45853</v>
      </c>
    </row>
    <row r="154" spans="1:8" customFormat="1">
      <c r="A154" s="216">
        <v>45853</v>
      </c>
      <c r="B154" s="217" t="s">
        <v>309</v>
      </c>
      <c r="C154" s="218" t="s">
        <v>220</v>
      </c>
      <c r="D154" s="219" t="s">
        <v>537</v>
      </c>
      <c r="E154" s="220" t="s">
        <v>538</v>
      </c>
      <c r="F154" s="220"/>
      <c r="G154" s="220" t="s">
        <v>226</v>
      </c>
      <c r="H154" s="216">
        <v>45853</v>
      </c>
    </row>
    <row r="155" spans="1:8" customFormat="1" ht="21.9">
      <c r="A155" s="216">
        <v>45853</v>
      </c>
      <c r="B155" s="217" t="s">
        <v>309</v>
      </c>
      <c r="C155" s="218" t="s">
        <v>220</v>
      </c>
      <c r="D155" s="222" t="s">
        <v>539</v>
      </c>
      <c r="E155" s="220" t="s">
        <v>540</v>
      </c>
      <c r="F155" s="220"/>
      <c r="G155" s="220" t="s">
        <v>541</v>
      </c>
      <c r="H155" s="223"/>
    </row>
    <row r="156" spans="1:8" customFormat="1" ht="21.9">
      <c r="A156" s="216">
        <v>45853</v>
      </c>
      <c r="B156" s="217" t="s">
        <v>309</v>
      </c>
      <c r="C156" s="218" t="s">
        <v>220</v>
      </c>
      <c r="D156" s="219" t="s">
        <v>542</v>
      </c>
      <c r="E156" s="220" t="s">
        <v>543</v>
      </c>
      <c r="F156" s="220" t="s">
        <v>544</v>
      </c>
      <c r="G156" s="220" t="s">
        <v>545</v>
      </c>
      <c r="H156" s="216">
        <v>45853</v>
      </c>
    </row>
    <row r="157" spans="1:8" customFormat="1" ht="21.9">
      <c r="A157" s="216">
        <v>45853</v>
      </c>
      <c r="B157" s="217" t="s">
        <v>309</v>
      </c>
      <c r="C157" s="218" t="s">
        <v>220</v>
      </c>
      <c r="D157" s="219" t="s">
        <v>542</v>
      </c>
      <c r="E157" s="220" t="s">
        <v>543</v>
      </c>
      <c r="F157" s="220" t="s">
        <v>546</v>
      </c>
      <c r="G157" s="220" t="s">
        <v>547</v>
      </c>
      <c r="H157" s="216">
        <v>45853</v>
      </c>
    </row>
    <row r="158" spans="1:8" customFormat="1">
      <c r="A158" s="216">
        <v>45853</v>
      </c>
      <c r="B158" s="217" t="s">
        <v>309</v>
      </c>
      <c r="C158" s="218" t="s">
        <v>220</v>
      </c>
      <c r="D158" s="219" t="s">
        <v>356</v>
      </c>
      <c r="E158" s="220" t="s">
        <v>357</v>
      </c>
      <c r="F158" s="220"/>
      <c r="G158" s="220" t="s">
        <v>548</v>
      </c>
      <c r="H158" s="216">
        <v>45853</v>
      </c>
    </row>
    <row r="159" spans="1:8" customFormat="1" ht="21.9">
      <c r="A159" s="216">
        <v>45853</v>
      </c>
      <c r="B159" s="217" t="s">
        <v>309</v>
      </c>
      <c r="C159" s="218" t="s">
        <v>220</v>
      </c>
      <c r="D159" s="219" t="s">
        <v>364</v>
      </c>
      <c r="E159" s="220" t="s">
        <v>365</v>
      </c>
      <c r="F159" s="220"/>
      <c r="G159" s="220" t="s">
        <v>547</v>
      </c>
      <c r="H159" s="221">
        <v>45853</v>
      </c>
    </row>
    <row r="160" spans="1:8" customFormat="1">
      <c r="A160" s="216">
        <v>45853</v>
      </c>
      <c r="B160" s="217" t="s">
        <v>309</v>
      </c>
      <c r="C160" s="218" t="s">
        <v>220</v>
      </c>
      <c r="D160" s="219" t="s">
        <v>549</v>
      </c>
      <c r="E160" s="220" t="s">
        <v>550</v>
      </c>
      <c r="F160" s="220"/>
      <c r="G160" s="220" t="s">
        <v>226</v>
      </c>
      <c r="H160" s="216">
        <v>45853</v>
      </c>
    </row>
    <row r="161" spans="1:8" customFormat="1">
      <c r="A161" s="216">
        <v>45853</v>
      </c>
      <c r="B161" s="217" t="s">
        <v>309</v>
      </c>
      <c r="C161" s="218" t="s">
        <v>267</v>
      </c>
      <c r="D161" s="219" t="s">
        <v>551</v>
      </c>
      <c r="E161" s="220" t="s">
        <v>552</v>
      </c>
      <c r="F161" s="220"/>
      <c r="G161" s="220" t="s">
        <v>531</v>
      </c>
      <c r="H161" s="216">
        <v>45853</v>
      </c>
    </row>
    <row r="162" spans="1:8" customFormat="1">
      <c r="A162" s="216">
        <v>45853</v>
      </c>
      <c r="B162" s="217" t="s">
        <v>309</v>
      </c>
      <c r="C162" s="218" t="s">
        <v>267</v>
      </c>
      <c r="D162" s="219" t="s">
        <v>551</v>
      </c>
      <c r="E162" s="220" t="s">
        <v>552</v>
      </c>
      <c r="F162" s="220"/>
      <c r="G162" s="220" t="s">
        <v>531</v>
      </c>
      <c r="H162" s="216">
        <v>45853</v>
      </c>
    </row>
    <row r="163" spans="1:8" customFormat="1">
      <c r="A163" s="216">
        <v>45853</v>
      </c>
      <c r="B163" s="217" t="s">
        <v>380</v>
      </c>
      <c r="C163" s="218" t="s">
        <v>220</v>
      </c>
      <c r="D163" s="219" t="s">
        <v>397</v>
      </c>
      <c r="E163" s="220" t="s">
        <v>553</v>
      </c>
      <c r="F163" s="220"/>
      <c r="G163" s="220" t="s">
        <v>554</v>
      </c>
      <c r="H163" s="216">
        <v>45853</v>
      </c>
    </row>
    <row r="164" spans="1:8" customFormat="1" ht="32.15">
      <c r="A164" s="216">
        <v>45853</v>
      </c>
      <c r="B164" s="217" t="s">
        <v>380</v>
      </c>
      <c r="C164" s="218" t="s">
        <v>220</v>
      </c>
      <c r="D164" s="219" t="s">
        <v>555</v>
      </c>
      <c r="E164" s="220" t="s">
        <v>556</v>
      </c>
      <c r="F164" s="220" t="s">
        <v>557</v>
      </c>
      <c r="G164" s="220" t="s">
        <v>558</v>
      </c>
      <c r="H164" s="216">
        <v>45853</v>
      </c>
    </row>
    <row r="165" spans="1:8" customFormat="1" ht="21.9">
      <c r="A165" s="216">
        <v>45853</v>
      </c>
      <c r="B165" s="217" t="s">
        <v>380</v>
      </c>
      <c r="C165" s="218" t="s">
        <v>220</v>
      </c>
      <c r="D165" s="222" t="s">
        <v>559</v>
      </c>
      <c r="E165" s="220" t="s">
        <v>560</v>
      </c>
      <c r="F165" s="220"/>
      <c r="G165" s="220" t="s">
        <v>561</v>
      </c>
      <c r="H165" s="216">
        <v>45853</v>
      </c>
    </row>
    <row r="166" spans="1:8" customFormat="1">
      <c r="A166" s="216">
        <v>45853</v>
      </c>
      <c r="B166" s="217" t="s">
        <v>380</v>
      </c>
      <c r="C166" s="218" t="s">
        <v>220</v>
      </c>
      <c r="D166" s="219" t="s">
        <v>562</v>
      </c>
      <c r="E166" s="220" t="s">
        <v>269</v>
      </c>
      <c r="F166" s="220" t="s">
        <v>563</v>
      </c>
      <c r="G166" s="220" t="s">
        <v>564</v>
      </c>
      <c r="H166" s="216">
        <v>45853</v>
      </c>
    </row>
    <row r="167" spans="1:8" customFormat="1">
      <c r="A167" s="216">
        <v>45853</v>
      </c>
      <c r="B167" s="217" t="s">
        <v>565</v>
      </c>
      <c r="C167" s="218" t="s">
        <v>220</v>
      </c>
      <c r="D167" s="219" t="s">
        <v>566</v>
      </c>
      <c r="E167" s="220" t="s">
        <v>567</v>
      </c>
      <c r="F167" s="220"/>
      <c r="G167" s="220" t="s">
        <v>568</v>
      </c>
      <c r="H167" s="216">
        <v>45853</v>
      </c>
    </row>
    <row r="168" spans="1:8" customFormat="1">
      <c r="A168" s="216">
        <v>45853</v>
      </c>
      <c r="B168" s="217" t="s">
        <v>423</v>
      </c>
      <c r="C168" s="218" t="s">
        <v>220</v>
      </c>
      <c r="D168" s="219" t="s">
        <v>569</v>
      </c>
      <c r="E168" s="220" t="s">
        <v>523</v>
      </c>
      <c r="F168" s="220" t="s">
        <v>570</v>
      </c>
      <c r="G168" s="220" t="s">
        <v>571</v>
      </c>
      <c r="H168" s="216">
        <v>45853</v>
      </c>
    </row>
    <row r="169" spans="1:8" customFormat="1" ht="21.9">
      <c r="A169" s="216">
        <v>45853</v>
      </c>
      <c r="B169" s="217" t="s">
        <v>423</v>
      </c>
      <c r="C169" s="218" t="s">
        <v>220</v>
      </c>
      <c r="D169" s="219" t="s">
        <v>572</v>
      </c>
      <c r="E169" s="220" t="s">
        <v>444</v>
      </c>
      <c r="F169" s="220"/>
      <c r="G169" s="220" t="s">
        <v>573</v>
      </c>
      <c r="H169" s="216">
        <v>45853</v>
      </c>
    </row>
    <row r="170" spans="1:8" customFormat="1" ht="21.9">
      <c r="A170" s="216">
        <v>45853</v>
      </c>
      <c r="B170" s="217" t="s">
        <v>423</v>
      </c>
      <c r="C170" s="218" t="s">
        <v>220</v>
      </c>
      <c r="D170" s="219" t="s">
        <v>574</v>
      </c>
      <c r="E170" s="220" t="s">
        <v>575</v>
      </c>
      <c r="F170" s="220"/>
      <c r="G170" s="220" t="s">
        <v>226</v>
      </c>
      <c r="H170" s="216">
        <v>45853</v>
      </c>
    </row>
    <row r="171" spans="1:8" customFormat="1">
      <c r="A171" s="216">
        <v>45853</v>
      </c>
      <c r="B171" s="217" t="s">
        <v>423</v>
      </c>
      <c r="C171" s="218" t="s">
        <v>220</v>
      </c>
      <c r="D171" s="219" t="s">
        <v>429</v>
      </c>
      <c r="E171" s="220" t="s">
        <v>430</v>
      </c>
      <c r="F171" s="220"/>
      <c r="G171" s="220" t="s">
        <v>576</v>
      </c>
      <c r="H171" s="216">
        <v>45853</v>
      </c>
    </row>
    <row r="172" spans="1:8" customFormat="1">
      <c r="A172" s="216">
        <v>45853</v>
      </c>
      <c r="B172" s="217" t="s">
        <v>423</v>
      </c>
      <c r="C172" s="218" t="s">
        <v>220</v>
      </c>
      <c r="D172" s="222" t="s">
        <v>577</v>
      </c>
      <c r="E172" s="220" t="s">
        <v>578</v>
      </c>
      <c r="F172" s="220"/>
      <c r="G172" s="220" t="s">
        <v>226</v>
      </c>
      <c r="H172" s="216">
        <v>45853</v>
      </c>
    </row>
    <row r="173" spans="1:8" customFormat="1">
      <c r="A173" s="216">
        <v>45853</v>
      </c>
      <c r="B173" s="217" t="s">
        <v>423</v>
      </c>
      <c r="C173" s="218" t="s">
        <v>220</v>
      </c>
      <c r="D173" s="219" t="s">
        <v>579</v>
      </c>
      <c r="E173" s="220" t="s">
        <v>523</v>
      </c>
      <c r="F173" s="220" t="s">
        <v>580</v>
      </c>
      <c r="G173" s="220" t="s">
        <v>571</v>
      </c>
      <c r="H173" s="216">
        <v>45853</v>
      </c>
    </row>
    <row r="174" spans="1:8" customFormat="1" ht="32.15">
      <c r="A174" s="216">
        <v>45853</v>
      </c>
      <c r="B174" s="217" t="s">
        <v>423</v>
      </c>
      <c r="C174" s="218" t="s">
        <v>267</v>
      </c>
      <c r="D174" s="219" t="s">
        <v>581</v>
      </c>
      <c r="E174" s="220" t="s">
        <v>582</v>
      </c>
      <c r="F174" s="220"/>
      <c r="G174" s="220" t="s">
        <v>531</v>
      </c>
      <c r="H174" s="216">
        <v>45853</v>
      </c>
    </row>
    <row r="175" spans="1:8" customFormat="1" ht="21.9">
      <c r="A175" s="216">
        <v>45853</v>
      </c>
      <c r="B175" s="217" t="s">
        <v>423</v>
      </c>
      <c r="C175" s="218" t="s">
        <v>267</v>
      </c>
      <c r="D175" s="219" t="s">
        <v>469</v>
      </c>
      <c r="E175" s="220" t="s">
        <v>470</v>
      </c>
      <c r="F175" s="220"/>
      <c r="G175" s="220" t="s">
        <v>531</v>
      </c>
      <c r="H175" s="216">
        <v>45853</v>
      </c>
    </row>
    <row r="176" spans="1:8" customFormat="1" ht="21.9">
      <c r="A176" s="216">
        <v>45853</v>
      </c>
      <c r="B176" s="217" t="s">
        <v>423</v>
      </c>
      <c r="C176" s="218" t="s">
        <v>267</v>
      </c>
      <c r="D176" s="219" t="s">
        <v>435</v>
      </c>
      <c r="E176" s="220" t="s">
        <v>436</v>
      </c>
      <c r="F176" s="220"/>
      <c r="G176" s="220" t="s">
        <v>531</v>
      </c>
      <c r="H176" s="216">
        <v>45853</v>
      </c>
    </row>
    <row r="177" spans="1:8" customFormat="1">
      <c r="A177" s="216">
        <v>45853</v>
      </c>
      <c r="B177" s="217" t="s">
        <v>423</v>
      </c>
      <c r="C177" s="218" t="s">
        <v>267</v>
      </c>
      <c r="D177" s="219" t="s">
        <v>449</v>
      </c>
      <c r="E177" s="220" t="s">
        <v>450</v>
      </c>
      <c r="F177" s="220"/>
      <c r="G177" s="220" t="s">
        <v>285</v>
      </c>
      <c r="H177" s="216">
        <v>45853</v>
      </c>
    </row>
    <row r="178" spans="1:8" customFormat="1">
      <c r="A178" s="216">
        <v>45853</v>
      </c>
      <c r="B178" s="217" t="s">
        <v>423</v>
      </c>
      <c r="C178" s="218" t="s">
        <v>267</v>
      </c>
      <c r="D178" s="219" t="s">
        <v>583</v>
      </c>
      <c r="E178" s="220" t="s">
        <v>584</v>
      </c>
      <c r="F178" s="220"/>
      <c r="G178" s="220" t="s">
        <v>531</v>
      </c>
      <c r="H178" s="216">
        <v>45853</v>
      </c>
    </row>
    <row r="179" spans="1:8" customFormat="1">
      <c r="A179" s="216">
        <v>45853</v>
      </c>
      <c r="B179" s="217" t="s">
        <v>423</v>
      </c>
      <c r="C179" s="218" t="s">
        <v>267</v>
      </c>
      <c r="D179" s="219" t="s">
        <v>585</v>
      </c>
      <c r="E179" s="220" t="s">
        <v>586</v>
      </c>
      <c r="F179" s="220"/>
      <c r="G179" s="220" t="s">
        <v>587</v>
      </c>
      <c r="H179" s="216">
        <v>45853</v>
      </c>
    </row>
    <row r="180" spans="1:8" customFormat="1">
      <c r="A180" s="216">
        <v>45762</v>
      </c>
      <c r="B180" s="217" t="s">
        <v>7</v>
      </c>
      <c r="C180" s="218" t="s">
        <v>220</v>
      </c>
      <c r="D180" s="219" t="s">
        <v>588</v>
      </c>
      <c r="E180" s="220" t="s">
        <v>589</v>
      </c>
      <c r="F180" s="220"/>
      <c r="G180" s="220" t="s">
        <v>590</v>
      </c>
      <c r="H180" s="216">
        <v>45762</v>
      </c>
    </row>
    <row r="181" spans="1:8" customFormat="1">
      <c r="A181" s="216">
        <v>45762</v>
      </c>
      <c r="B181" s="217" t="s">
        <v>7</v>
      </c>
      <c r="C181" s="218" t="s">
        <v>220</v>
      </c>
      <c r="D181" s="219" t="s">
        <v>591</v>
      </c>
      <c r="E181" s="220" t="s">
        <v>592</v>
      </c>
      <c r="F181" s="220"/>
      <c r="G181" s="220" t="s">
        <v>226</v>
      </c>
      <c r="H181" s="216">
        <v>45762</v>
      </c>
    </row>
    <row r="182" spans="1:8" customFormat="1">
      <c r="A182" s="216">
        <v>45762</v>
      </c>
      <c r="B182" s="217" t="s">
        <v>7</v>
      </c>
      <c r="C182" s="218" t="s">
        <v>220</v>
      </c>
      <c r="D182" s="219" t="s">
        <v>593</v>
      </c>
      <c r="E182" s="220" t="s">
        <v>592</v>
      </c>
      <c r="F182" s="220"/>
      <c r="G182" s="220" t="s">
        <v>226</v>
      </c>
      <c r="H182" s="216">
        <v>45762</v>
      </c>
    </row>
    <row r="183" spans="1:8" customFormat="1">
      <c r="A183" s="216">
        <v>45762</v>
      </c>
      <c r="B183" s="217" t="s">
        <v>7</v>
      </c>
      <c r="C183" s="218" t="s">
        <v>220</v>
      </c>
      <c r="D183" s="219" t="s">
        <v>594</v>
      </c>
      <c r="E183" s="220" t="s">
        <v>595</v>
      </c>
      <c r="F183" s="220"/>
      <c r="G183" s="220" t="s">
        <v>226</v>
      </c>
      <c r="H183" s="216">
        <v>45762</v>
      </c>
    </row>
    <row r="184" spans="1:8" customFormat="1">
      <c r="A184" s="216">
        <v>45762</v>
      </c>
      <c r="B184" s="217" t="s">
        <v>7</v>
      </c>
      <c r="C184" s="218" t="s">
        <v>220</v>
      </c>
      <c r="D184" s="219" t="s">
        <v>596</v>
      </c>
      <c r="E184" s="220" t="s">
        <v>597</v>
      </c>
      <c r="F184" s="220"/>
      <c r="G184" s="220" t="s">
        <v>226</v>
      </c>
      <c r="H184" s="216">
        <v>45762</v>
      </c>
    </row>
    <row r="185" spans="1:8" customFormat="1">
      <c r="A185" s="216">
        <v>45762</v>
      </c>
      <c r="B185" s="217" t="s">
        <v>7</v>
      </c>
      <c r="C185" s="218" t="s">
        <v>220</v>
      </c>
      <c r="D185" s="219" t="s">
        <v>598</v>
      </c>
      <c r="E185" s="220" t="s">
        <v>599</v>
      </c>
      <c r="F185" s="220"/>
      <c r="G185" s="220" t="s">
        <v>226</v>
      </c>
      <c r="H185" s="216">
        <v>45762</v>
      </c>
    </row>
    <row r="186" spans="1:8" customFormat="1">
      <c r="A186" s="216">
        <v>45762</v>
      </c>
      <c r="B186" s="217" t="s">
        <v>7</v>
      </c>
      <c r="C186" s="218" t="s">
        <v>220</v>
      </c>
      <c r="D186" s="219" t="s">
        <v>600</v>
      </c>
      <c r="E186" s="220" t="s">
        <v>281</v>
      </c>
      <c r="F186" s="220"/>
      <c r="G186" s="220" t="s">
        <v>434</v>
      </c>
      <c r="H186" s="216">
        <v>45762</v>
      </c>
    </row>
    <row r="187" spans="1:8" customFormat="1">
      <c r="A187" s="216">
        <v>45762</v>
      </c>
      <c r="B187" s="217" t="s">
        <v>7</v>
      </c>
      <c r="C187" s="218" t="s">
        <v>220</v>
      </c>
      <c r="D187" s="219" t="s">
        <v>601</v>
      </c>
      <c r="E187" s="220" t="s">
        <v>602</v>
      </c>
      <c r="F187" s="220"/>
      <c r="G187" s="220" t="s">
        <v>226</v>
      </c>
      <c r="H187" s="216">
        <v>45762</v>
      </c>
    </row>
    <row r="188" spans="1:8" customFormat="1">
      <c r="A188" s="216">
        <v>45762</v>
      </c>
      <c r="B188" s="217" t="s">
        <v>7</v>
      </c>
      <c r="C188" s="218" t="s">
        <v>220</v>
      </c>
      <c r="D188" s="219" t="s">
        <v>603</v>
      </c>
      <c r="E188" s="220" t="s">
        <v>604</v>
      </c>
      <c r="F188" s="220"/>
      <c r="G188" s="220" t="s">
        <v>226</v>
      </c>
      <c r="H188" s="216">
        <v>45762</v>
      </c>
    </row>
    <row r="189" spans="1:8" customFormat="1">
      <c r="A189" s="216">
        <v>45762</v>
      </c>
      <c r="B189" s="217" t="s">
        <v>7</v>
      </c>
      <c r="C189" s="218" t="s">
        <v>220</v>
      </c>
      <c r="D189" s="219" t="s">
        <v>605</v>
      </c>
      <c r="E189" s="220" t="s">
        <v>604</v>
      </c>
      <c r="F189" s="220"/>
      <c r="G189" s="220" t="s">
        <v>226</v>
      </c>
      <c r="H189" s="216">
        <v>45762</v>
      </c>
    </row>
    <row r="190" spans="1:8" customFormat="1">
      <c r="A190" s="216">
        <v>45762</v>
      </c>
      <c r="B190" s="217" t="s">
        <v>7</v>
      </c>
      <c r="C190" s="218" t="s">
        <v>220</v>
      </c>
      <c r="D190" s="219" t="s">
        <v>606</v>
      </c>
      <c r="E190" s="220" t="s">
        <v>607</v>
      </c>
      <c r="F190" s="220"/>
      <c r="G190" s="220" t="s">
        <v>608</v>
      </c>
      <c r="H190" s="216">
        <v>45762</v>
      </c>
    </row>
    <row r="191" spans="1:8" customFormat="1">
      <c r="A191" s="216">
        <v>45762</v>
      </c>
      <c r="B191" s="217" t="s">
        <v>7</v>
      </c>
      <c r="C191" s="218" t="s">
        <v>220</v>
      </c>
      <c r="D191" s="219" t="s">
        <v>609</v>
      </c>
      <c r="E191" s="220" t="s">
        <v>610</v>
      </c>
      <c r="F191" s="220"/>
      <c r="G191" s="220" t="s">
        <v>226</v>
      </c>
      <c r="H191" s="216">
        <v>45762</v>
      </c>
    </row>
    <row r="192" spans="1:8" customFormat="1">
      <c r="A192" s="216">
        <v>45762</v>
      </c>
      <c r="B192" s="217" t="s">
        <v>7</v>
      </c>
      <c r="C192" s="218" t="s">
        <v>220</v>
      </c>
      <c r="D192" s="219" t="s">
        <v>611</v>
      </c>
      <c r="E192" s="220" t="s">
        <v>249</v>
      </c>
      <c r="F192" s="220"/>
      <c r="G192" s="220" t="s">
        <v>612</v>
      </c>
      <c r="H192" s="216">
        <v>45762</v>
      </c>
    </row>
    <row r="193" spans="1:8" customFormat="1">
      <c r="A193" s="216">
        <v>45762</v>
      </c>
      <c r="B193" s="217" t="s">
        <v>7</v>
      </c>
      <c r="C193" s="218" t="s">
        <v>220</v>
      </c>
      <c r="D193" s="219" t="s">
        <v>613</v>
      </c>
      <c r="E193" s="220" t="s">
        <v>614</v>
      </c>
      <c r="F193" s="220"/>
      <c r="G193" s="220" t="s">
        <v>226</v>
      </c>
      <c r="H193" s="216">
        <v>45762</v>
      </c>
    </row>
    <row r="194" spans="1:8" customFormat="1">
      <c r="A194" s="216">
        <v>45762</v>
      </c>
      <c r="B194" s="217" t="s">
        <v>7</v>
      </c>
      <c r="C194" s="218" t="s">
        <v>220</v>
      </c>
      <c r="D194" s="219" t="s">
        <v>615</v>
      </c>
      <c r="E194" s="220" t="s">
        <v>616</v>
      </c>
      <c r="F194" s="220"/>
      <c r="G194" s="220" t="s">
        <v>226</v>
      </c>
      <c r="H194" s="216">
        <v>45762</v>
      </c>
    </row>
    <row r="195" spans="1:8" customFormat="1">
      <c r="A195" s="216">
        <v>45762</v>
      </c>
      <c r="B195" s="217" t="s">
        <v>7</v>
      </c>
      <c r="C195" s="218" t="s">
        <v>220</v>
      </c>
      <c r="D195" s="219" t="s">
        <v>617</v>
      </c>
      <c r="E195" s="220" t="s">
        <v>618</v>
      </c>
      <c r="F195" s="220"/>
      <c r="G195" s="220" t="s">
        <v>608</v>
      </c>
      <c r="H195" s="216">
        <v>45762</v>
      </c>
    </row>
    <row r="196" spans="1:8" customFormat="1">
      <c r="A196" s="216">
        <v>45762</v>
      </c>
      <c r="B196" s="217" t="s">
        <v>7</v>
      </c>
      <c r="C196" s="218" t="s">
        <v>220</v>
      </c>
      <c r="D196" s="219" t="s">
        <v>619</v>
      </c>
      <c r="E196" s="220" t="s">
        <v>620</v>
      </c>
      <c r="F196" s="220"/>
      <c r="G196" s="220" t="s">
        <v>226</v>
      </c>
      <c r="H196" s="216">
        <v>45762</v>
      </c>
    </row>
    <row r="197" spans="1:8" customFormat="1">
      <c r="A197" s="216">
        <v>45762</v>
      </c>
      <c r="B197" s="217" t="s">
        <v>7</v>
      </c>
      <c r="C197" s="218" t="s">
        <v>220</v>
      </c>
      <c r="D197" s="219" t="s">
        <v>621</v>
      </c>
      <c r="E197" s="220" t="s">
        <v>622</v>
      </c>
      <c r="F197" s="220"/>
      <c r="G197" s="220" t="s">
        <v>608</v>
      </c>
      <c r="H197" s="216">
        <v>45762</v>
      </c>
    </row>
    <row r="198" spans="1:8" customFormat="1">
      <c r="A198" s="216">
        <v>45762</v>
      </c>
      <c r="B198" s="217" t="s">
        <v>7</v>
      </c>
      <c r="C198" s="218" t="s">
        <v>220</v>
      </c>
      <c r="D198" s="219" t="s">
        <v>623</v>
      </c>
      <c r="E198" s="220" t="s">
        <v>620</v>
      </c>
      <c r="F198" s="220"/>
      <c r="G198" s="220" t="s">
        <v>226</v>
      </c>
      <c r="H198" s="216">
        <v>45762</v>
      </c>
    </row>
    <row r="199" spans="1:8" customFormat="1">
      <c r="A199" s="216">
        <v>45762</v>
      </c>
      <c r="B199" s="217" t="s">
        <v>7</v>
      </c>
      <c r="C199" s="218" t="s">
        <v>220</v>
      </c>
      <c r="D199" s="219" t="s">
        <v>624</v>
      </c>
      <c r="E199" s="220" t="s">
        <v>625</v>
      </c>
      <c r="F199" s="220"/>
      <c r="G199" s="220" t="s">
        <v>226</v>
      </c>
      <c r="H199" s="216">
        <v>45762</v>
      </c>
    </row>
    <row r="200" spans="1:8" customFormat="1">
      <c r="A200" s="216">
        <v>45762</v>
      </c>
      <c r="B200" s="217" t="s">
        <v>7</v>
      </c>
      <c r="C200" s="218" t="s">
        <v>220</v>
      </c>
      <c r="D200" s="219" t="s">
        <v>626</v>
      </c>
      <c r="E200" s="220" t="s">
        <v>627</v>
      </c>
      <c r="F200" s="220"/>
      <c r="G200" s="220" t="s">
        <v>226</v>
      </c>
      <c r="H200" s="216">
        <v>45762</v>
      </c>
    </row>
    <row r="201" spans="1:8" customFormat="1">
      <c r="A201" s="216">
        <v>45762</v>
      </c>
      <c r="B201" s="217" t="s">
        <v>7</v>
      </c>
      <c r="C201" s="218" t="s">
        <v>220</v>
      </c>
      <c r="D201" s="219" t="s">
        <v>628</v>
      </c>
      <c r="E201" s="220" t="s">
        <v>628</v>
      </c>
      <c r="F201" s="220"/>
      <c r="G201" s="220" t="s">
        <v>608</v>
      </c>
      <c r="H201" s="216">
        <v>45762</v>
      </c>
    </row>
    <row r="202" spans="1:8" customFormat="1">
      <c r="A202" s="216">
        <v>45762</v>
      </c>
      <c r="B202" s="217" t="s">
        <v>7</v>
      </c>
      <c r="C202" s="218" t="s">
        <v>220</v>
      </c>
      <c r="D202" s="219" t="s">
        <v>629</v>
      </c>
      <c r="E202" s="220" t="s">
        <v>630</v>
      </c>
      <c r="F202" s="220"/>
      <c r="G202" s="220" t="s">
        <v>608</v>
      </c>
      <c r="H202" s="216">
        <v>45762</v>
      </c>
    </row>
    <row r="203" spans="1:8" customFormat="1">
      <c r="A203" s="216">
        <v>45762</v>
      </c>
      <c r="B203" s="217" t="s">
        <v>7</v>
      </c>
      <c r="C203" s="218" t="s">
        <v>220</v>
      </c>
      <c r="D203" s="219" t="s">
        <v>631</v>
      </c>
      <c r="E203" s="220" t="s">
        <v>632</v>
      </c>
      <c r="F203" s="220"/>
      <c r="G203" s="220" t="s">
        <v>226</v>
      </c>
      <c r="H203" s="216">
        <v>45762</v>
      </c>
    </row>
    <row r="204" spans="1:8" customFormat="1">
      <c r="A204" s="216">
        <v>45762</v>
      </c>
      <c r="B204" s="217" t="s">
        <v>7</v>
      </c>
      <c r="C204" s="218" t="s">
        <v>220</v>
      </c>
      <c r="D204" s="219" t="s">
        <v>633</v>
      </c>
      <c r="E204" s="220" t="s">
        <v>634</v>
      </c>
      <c r="F204" s="220"/>
      <c r="G204" s="220" t="s">
        <v>608</v>
      </c>
      <c r="H204" s="216">
        <v>45762</v>
      </c>
    </row>
    <row r="205" spans="1:8" customFormat="1">
      <c r="A205" s="216">
        <v>45762</v>
      </c>
      <c r="B205" s="217" t="s">
        <v>7</v>
      </c>
      <c r="C205" s="218" t="s">
        <v>220</v>
      </c>
      <c r="D205" s="219" t="s">
        <v>635</v>
      </c>
      <c r="E205" s="220" t="s">
        <v>636</v>
      </c>
      <c r="F205" s="220"/>
      <c r="G205" s="220" t="s">
        <v>590</v>
      </c>
      <c r="H205" s="216">
        <v>45762</v>
      </c>
    </row>
    <row r="206" spans="1:8" customFormat="1">
      <c r="A206" s="216">
        <v>45762</v>
      </c>
      <c r="B206" s="217" t="s">
        <v>7</v>
      </c>
      <c r="C206" s="218" t="s">
        <v>220</v>
      </c>
      <c r="D206" s="219" t="s">
        <v>637</v>
      </c>
      <c r="E206" s="220" t="s">
        <v>610</v>
      </c>
      <c r="F206" s="220"/>
      <c r="G206" s="220" t="s">
        <v>590</v>
      </c>
      <c r="H206" s="216">
        <v>45762</v>
      </c>
    </row>
    <row r="207" spans="1:8" customFormat="1">
      <c r="A207" s="216">
        <v>45762</v>
      </c>
      <c r="B207" s="217" t="s">
        <v>7</v>
      </c>
      <c r="C207" s="218" t="s">
        <v>220</v>
      </c>
      <c r="D207" s="219" t="s">
        <v>638</v>
      </c>
      <c r="E207" s="220" t="s">
        <v>639</v>
      </c>
      <c r="F207" s="220"/>
      <c r="G207" s="220" t="s">
        <v>608</v>
      </c>
      <c r="H207" s="216">
        <v>45762</v>
      </c>
    </row>
    <row r="208" spans="1:8" customFormat="1">
      <c r="A208" s="216">
        <v>45762</v>
      </c>
      <c r="B208" s="217" t="s">
        <v>7</v>
      </c>
      <c r="C208" s="218" t="s">
        <v>220</v>
      </c>
      <c r="D208" s="219" t="s">
        <v>640</v>
      </c>
      <c r="E208" s="220" t="s">
        <v>641</v>
      </c>
      <c r="F208" s="220"/>
      <c r="G208" s="220" t="s">
        <v>226</v>
      </c>
      <c r="H208" s="216">
        <v>45762</v>
      </c>
    </row>
    <row r="209" spans="1:8" customFormat="1">
      <c r="A209" s="216">
        <v>45762</v>
      </c>
      <c r="B209" s="217" t="s">
        <v>7</v>
      </c>
      <c r="C209" s="218" t="s">
        <v>220</v>
      </c>
      <c r="D209" s="219" t="s">
        <v>642</v>
      </c>
      <c r="E209" s="220" t="s">
        <v>643</v>
      </c>
      <c r="F209" s="220"/>
      <c r="G209" s="220" t="s">
        <v>226</v>
      </c>
      <c r="H209" s="216">
        <v>45762</v>
      </c>
    </row>
    <row r="210" spans="1:8" customFormat="1">
      <c r="A210" s="216">
        <v>45762</v>
      </c>
      <c r="B210" s="217" t="s">
        <v>7</v>
      </c>
      <c r="C210" s="218" t="s">
        <v>220</v>
      </c>
      <c r="D210" s="219" t="s">
        <v>644</v>
      </c>
      <c r="E210" s="220" t="s">
        <v>645</v>
      </c>
      <c r="F210" s="220"/>
      <c r="G210" s="220" t="s">
        <v>226</v>
      </c>
      <c r="H210" s="216">
        <v>45762</v>
      </c>
    </row>
    <row r="211" spans="1:8" customFormat="1">
      <c r="A211" s="216">
        <v>45762</v>
      </c>
      <c r="B211" s="217" t="s">
        <v>7</v>
      </c>
      <c r="C211" s="218" t="s">
        <v>220</v>
      </c>
      <c r="D211" s="219" t="s">
        <v>646</v>
      </c>
      <c r="E211" s="220" t="s">
        <v>647</v>
      </c>
      <c r="F211" s="220"/>
      <c r="G211" s="220" t="s">
        <v>226</v>
      </c>
      <c r="H211" s="216">
        <v>45762</v>
      </c>
    </row>
    <row r="212" spans="1:8" customFormat="1">
      <c r="A212" s="216">
        <v>45762</v>
      </c>
      <c r="B212" s="217" t="s">
        <v>7</v>
      </c>
      <c r="C212" s="218" t="s">
        <v>267</v>
      </c>
      <c r="D212" s="219" t="s">
        <v>499</v>
      </c>
      <c r="E212" s="220" t="s">
        <v>500</v>
      </c>
      <c r="F212" s="220"/>
      <c r="G212" s="220" t="s">
        <v>285</v>
      </c>
      <c r="H212" s="216">
        <v>45762</v>
      </c>
    </row>
    <row r="213" spans="1:8" customFormat="1">
      <c r="A213" s="216">
        <v>45762</v>
      </c>
      <c r="B213" s="217" t="s">
        <v>7</v>
      </c>
      <c r="C213" s="218" t="s">
        <v>267</v>
      </c>
      <c r="D213" s="219" t="s">
        <v>648</v>
      </c>
      <c r="E213" s="220" t="s">
        <v>649</v>
      </c>
      <c r="F213" s="220"/>
      <c r="G213" s="220" t="s">
        <v>270</v>
      </c>
      <c r="H213" s="216">
        <v>45762</v>
      </c>
    </row>
    <row r="214" spans="1:8" customFormat="1">
      <c r="A214" s="216">
        <v>45762</v>
      </c>
      <c r="B214" s="217" t="s">
        <v>7</v>
      </c>
      <c r="C214" s="218" t="s">
        <v>267</v>
      </c>
      <c r="D214" s="219" t="s">
        <v>650</v>
      </c>
      <c r="E214" s="220" t="s">
        <v>651</v>
      </c>
      <c r="F214" s="220"/>
      <c r="G214" s="220" t="s">
        <v>652</v>
      </c>
      <c r="H214" s="216">
        <v>45762</v>
      </c>
    </row>
    <row r="215" spans="1:8" customFormat="1">
      <c r="A215" s="216">
        <v>45762</v>
      </c>
      <c r="B215" s="217" t="s">
        <v>7</v>
      </c>
      <c r="C215" s="218" t="s">
        <v>267</v>
      </c>
      <c r="D215" s="219" t="s">
        <v>213</v>
      </c>
      <c r="E215" s="220" t="s">
        <v>214</v>
      </c>
      <c r="F215" s="220"/>
      <c r="G215" s="220" t="s">
        <v>285</v>
      </c>
      <c r="H215" s="216">
        <v>45762</v>
      </c>
    </row>
    <row r="216" spans="1:8" customFormat="1">
      <c r="A216" s="216">
        <v>45762</v>
      </c>
      <c r="B216" s="217" t="s">
        <v>7</v>
      </c>
      <c r="C216" s="218" t="s">
        <v>267</v>
      </c>
      <c r="D216" s="219" t="s">
        <v>653</v>
      </c>
      <c r="E216" s="220" t="s">
        <v>654</v>
      </c>
      <c r="F216" s="220" t="s">
        <v>655</v>
      </c>
      <c r="G216" s="220" t="s">
        <v>288</v>
      </c>
      <c r="H216" s="216">
        <v>45762</v>
      </c>
    </row>
    <row r="217" spans="1:8" customFormat="1" ht="21.9">
      <c r="A217" s="216">
        <v>45762</v>
      </c>
      <c r="B217" s="217" t="s">
        <v>7</v>
      </c>
      <c r="C217" s="218" t="s">
        <v>267</v>
      </c>
      <c r="D217" s="219" t="s">
        <v>656</v>
      </c>
      <c r="E217" s="220" t="s">
        <v>657</v>
      </c>
      <c r="F217" s="220" t="s">
        <v>658</v>
      </c>
      <c r="G217" s="220" t="s">
        <v>276</v>
      </c>
      <c r="H217" s="216">
        <v>45762</v>
      </c>
    </row>
    <row r="218" spans="1:8" customFormat="1">
      <c r="A218" s="216">
        <v>45762</v>
      </c>
      <c r="B218" s="217" t="s">
        <v>309</v>
      </c>
      <c r="C218" s="218" t="s">
        <v>220</v>
      </c>
      <c r="D218" s="219" t="s">
        <v>659</v>
      </c>
      <c r="E218" s="220" t="s">
        <v>660</v>
      </c>
      <c r="F218" s="220"/>
      <c r="G218" s="220" t="s">
        <v>590</v>
      </c>
      <c r="H218" s="216">
        <v>45762</v>
      </c>
    </row>
    <row r="219" spans="1:8" customFormat="1">
      <c r="A219" s="216">
        <v>45762</v>
      </c>
      <c r="B219" s="217" t="s">
        <v>309</v>
      </c>
      <c r="C219" s="218" t="s">
        <v>220</v>
      </c>
      <c r="D219" s="219" t="s">
        <v>661</v>
      </c>
      <c r="E219" s="220" t="s">
        <v>662</v>
      </c>
      <c r="F219" s="220"/>
      <c r="G219" s="220" t="s">
        <v>608</v>
      </c>
      <c r="H219" s="216">
        <v>45762</v>
      </c>
    </row>
    <row r="220" spans="1:8" customFormat="1">
      <c r="A220" s="216">
        <v>45762</v>
      </c>
      <c r="B220" s="217" t="s">
        <v>309</v>
      </c>
      <c r="C220" s="218" t="s">
        <v>220</v>
      </c>
      <c r="D220" s="219" t="s">
        <v>663</v>
      </c>
      <c r="E220" s="220" t="s">
        <v>664</v>
      </c>
      <c r="F220" s="220"/>
      <c r="G220" s="220" t="s">
        <v>608</v>
      </c>
      <c r="H220" s="216">
        <v>45762</v>
      </c>
    </row>
    <row r="221" spans="1:8" customFormat="1">
      <c r="A221" s="216">
        <v>45762</v>
      </c>
      <c r="B221" s="217" t="s">
        <v>309</v>
      </c>
      <c r="C221" s="218" t="s">
        <v>220</v>
      </c>
      <c r="D221" s="219" t="s">
        <v>665</v>
      </c>
      <c r="E221" s="220" t="s">
        <v>666</v>
      </c>
      <c r="F221" s="220"/>
      <c r="G221" s="220" t="s">
        <v>226</v>
      </c>
      <c r="H221" s="216">
        <v>45762</v>
      </c>
    </row>
    <row r="222" spans="1:8" customFormat="1">
      <c r="A222" s="216">
        <v>45762</v>
      </c>
      <c r="B222" s="217" t="s">
        <v>309</v>
      </c>
      <c r="C222" s="218" t="s">
        <v>220</v>
      </c>
      <c r="D222" s="219" t="s">
        <v>667</v>
      </c>
      <c r="E222" s="220" t="s">
        <v>668</v>
      </c>
      <c r="F222" s="220"/>
      <c r="G222" s="220" t="s">
        <v>590</v>
      </c>
      <c r="H222" s="216">
        <v>45762</v>
      </c>
    </row>
    <row r="223" spans="1:8" customFormat="1">
      <c r="A223" s="216">
        <v>45762</v>
      </c>
      <c r="B223" s="217" t="s">
        <v>309</v>
      </c>
      <c r="C223" s="218" t="s">
        <v>220</v>
      </c>
      <c r="D223" s="219" t="s">
        <v>669</v>
      </c>
      <c r="E223" s="220" t="s">
        <v>668</v>
      </c>
      <c r="F223" s="220"/>
      <c r="G223" s="220" t="s">
        <v>590</v>
      </c>
      <c r="H223" s="216">
        <v>45762</v>
      </c>
    </row>
    <row r="224" spans="1:8" customFormat="1" ht="21.9">
      <c r="A224" s="216">
        <v>45762</v>
      </c>
      <c r="B224" s="217" t="s">
        <v>309</v>
      </c>
      <c r="C224" s="218" t="s">
        <v>220</v>
      </c>
      <c r="D224" s="219" t="s">
        <v>670</v>
      </c>
      <c r="E224" s="220" t="s">
        <v>671</v>
      </c>
      <c r="F224" s="220"/>
      <c r="G224" s="220" t="s">
        <v>672</v>
      </c>
      <c r="H224" s="216">
        <v>45762</v>
      </c>
    </row>
    <row r="225" spans="1:8" customFormat="1">
      <c r="A225" s="216">
        <v>45762</v>
      </c>
      <c r="B225" s="217" t="s">
        <v>309</v>
      </c>
      <c r="C225" s="218" t="s">
        <v>220</v>
      </c>
      <c r="D225" s="219" t="s">
        <v>673</v>
      </c>
      <c r="E225" s="220" t="s">
        <v>674</v>
      </c>
      <c r="F225" s="220"/>
      <c r="G225" s="220" t="s">
        <v>675</v>
      </c>
      <c r="H225" s="216">
        <v>45762</v>
      </c>
    </row>
    <row r="226" spans="1:8" customFormat="1">
      <c r="A226" s="216">
        <v>45762</v>
      </c>
      <c r="B226" s="217" t="s">
        <v>309</v>
      </c>
      <c r="C226" s="218" t="s">
        <v>220</v>
      </c>
      <c r="D226" s="219" t="s">
        <v>676</v>
      </c>
      <c r="E226" s="220" t="s">
        <v>677</v>
      </c>
      <c r="F226" s="220"/>
      <c r="G226" s="220" t="s">
        <v>678</v>
      </c>
      <c r="H226" s="216">
        <v>45762</v>
      </c>
    </row>
    <row r="227" spans="1:8" customFormat="1">
      <c r="A227" s="216">
        <v>45762</v>
      </c>
      <c r="B227" s="217" t="s">
        <v>309</v>
      </c>
      <c r="C227" s="218" t="s">
        <v>220</v>
      </c>
      <c r="D227" s="219" t="s">
        <v>679</v>
      </c>
      <c r="E227" s="220" t="s">
        <v>680</v>
      </c>
      <c r="F227" s="220"/>
      <c r="G227" s="220" t="s">
        <v>226</v>
      </c>
      <c r="H227" s="216">
        <v>45762</v>
      </c>
    </row>
    <row r="228" spans="1:8" customFormat="1">
      <c r="A228" s="216">
        <v>45762</v>
      </c>
      <c r="B228" s="217" t="s">
        <v>309</v>
      </c>
      <c r="C228" s="218" t="s">
        <v>220</v>
      </c>
      <c r="D228" s="219" t="s">
        <v>681</v>
      </c>
      <c r="E228" s="220" t="s">
        <v>682</v>
      </c>
      <c r="F228" s="220"/>
      <c r="G228" s="220" t="s">
        <v>590</v>
      </c>
      <c r="H228" s="216">
        <v>45762</v>
      </c>
    </row>
    <row r="229" spans="1:8" customFormat="1">
      <c r="A229" s="216">
        <v>45762</v>
      </c>
      <c r="B229" s="217" t="s">
        <v>309</v>
      </c>
      <c r="C229" s="218" t="s">
        <v>220</v>
      </c>
      <c r="D229" s="219" t="s">
        <v>683</v>
      </c>
      <c r="E229" s="220" t="s">
        <v>236</v>
      </c>
      <c r="F229" s="220"/>
      <c r="G229" s="220" t="s">
        <v>226</v>
      </c>
      <c r="H229" s="216">
        <v>45762</v>
      </c>
    </row>
    <row r="230" spans="1:8" customFormat="1">
      <c r="A230" s="216">
        <v>45762</v>
      </c>
      <c r="B230" s="217" t="s">
        <v>309</v>
      </c>
      <c r="C230" s="218" t="s">
        <v>220</v>
      </c>
      <c r="D230" s="219" t="s">
        <v>684</v>
      </c>
      <c r="E230" s="220" t="s">
        <v>685</v>
      </c>
      <c r="F230" s="220"/>
      <c r="G230" s="220" t="s">
        <v>509</v>
      </c>
      <c r="H230" s="216">
        <v>45762</v>
      </c>
    </row>
    <row r="231" spans="1:8" customFormat="1">
      <c r="A231" s="216">
        <v>45762</v>
      </c>
      <c r="B231" s="217" t="s">
        <v>309</v>
      </c>
      <c r="C231" s="218" t="s">
        <v>220</v>
      </c>
      <c r="D231" s="219" t="s">
        <v>686</v>
      </c>
      <c r="E231" s="220" t="s">
        <v>687</v>
      </c>
      <c r="F231" s="220"/>
      <c r="G231" s="220" t="s">
        <v>608</v>
      </c>
      <c r="H231" s="216">
        <v>45762</v>
      </c>
    </row>
    <row r="232" spans="1:8" customFormat="1">
      <c r="A232" s="216">
        <v>45762</v>
      </c>
      <c r="B232" s="217" t="s">
        <v>309</v>
      </c>
      <c r="C232" s="218" t="s">
        <v>220</v>
      </c>
      <c r="D232" s="219" t="s">
        <v>688</v>
      </c>
      <c r="E232" s="220" t="s">
        <v>687</v>
      </c>
      <c r="F232" s="220"/>
      <c r="G232" s="220" t="s">
        <v>608</v>
      </c>
      <c r="H232" s="216">
        <v>45762</v>
      </c>
    </row>
    <row r="233" spans="1:8" customFormat="1">
      <c r="A233" s="216">
        <v>45762</v>
      </c>
      <c r="B233" s="217" t="s">
        <v>309</v>
      </c>
      <c r="C233" s="218" t="s">
        <v>220</v>
      </c>
      <c r="D233" s="219" t="s">
        <v>689</v>
      </c>
      <c r="E233" s="220" t="s">
        <v>690</v>
      </c>
      <c r="F233" s="220"/>
      <c r="G233" s="220" t="s">
        <v>226</v>
      </c>
      <c r="H233" s="216">
        <v>45762</v>
      </c>
    </row>
    <row r="234" spans="1:8" customFormat="1">
      <c r="A234" s="216">
        <v>45762</v>
      </c>
      <c r="B234" s="217" t="s">
        <v>309</v>
      </c>
      <c r="C234" s="218" t="s">
        <v>220</v>
      </c>
      <c r="D234" s="219" t="s">
        <v>691</v>
      </c>
      <c r="E234" s="220" t="s">
        <v>692</v>
      </c>
      <c r="F234" s="220"/>
      <c r="G234" s="220" t="s">
        <v>608</v>
      </c>
      <c r="H234" s="216">
        <v>45762</v>
      </c>
    </row>
    <row r="235" spans="1:8" customFormat="1">
      <c r="A235" s="216">
        <v>45762</v>
      </c>
      <c r="B235" s="217" t="s">
        <v>309</v>
      </c>
      <c r="C235" s="218" t="s">
        <v>220</v>
      </c>
      <c r="D235" s="219" t="s">
        <v>693</v>
      </c>
      <c r="E235" s="220" t="s">
        <v>694</v>
      </c>
      <c r="F235" s="220"/>
      <c r="G235" s="220" t="s">
        <v>590</v>
      </c>
      <c r="H235" s="216">
        <v>45762</v>
      </c>
    </row>
    <row r="236" spans="1:8" customFormat="1">
      <c r="A236" s="216">
        <v>45762</v>
      </c>
      <c r="B236" s="217" t="s">
        <v>309</v>
      </c>
      <c r="C236" s="218" t="s">
        <v>220</v>
      </c>
      <c r="D236" s="219" t="s">
        <v>695</v>
      </c>
      <c r="E236" s="220" t="s">
        <v>266</v>
      </c>
      <c r="F236" s="220"/>
      <c r="G236" s="220" t="s">
        <v>590</v>
      </c>
      <c r="H236" s="216">
        <v>45762</v>
      </c>
    </row>
    <row r="237" spans="1:8" customFormat="1">
      <c r="A237" s="216">
        <v>45762</v>
      </c>
      <c r="B237" s="217" t="s">
        <v>309</v>
      </c>
      <c r="C237" s="218" t="s">
        <v>220</v>
      </c>
      <c r="D237" s="219" t="s">
        <v>696</v>
      </c>
      <c r="E237" s="220" t="s">
        <v>697</v>
      </c>
      <c r="F237" s="220"/>
      <c r="G237" s="220" t="s">
        <v>608</v>
      </c>
      <c r="H237" s="216">
        <v>45762</v>
      </c>
    </row>
    <row r="238" spans="1:8" customFormat="1">
      <c r="A238" s="216">
        <v>45762</v>
      </c>
      <c r="B238" s="217" t="s">
        <v>309</v>
      </c>
      <c r="C238" s="218" t="s">
        <v>220</v>
      </c>
      <c r="D238" s="219" t="s">
        <v>698</v>
      </c>
      <c r="E238" s="220" t="s">
        <v>699</v>
      </c>
      <c r="F238" s="220"/>
      <c r="G238" s="220" t="s">
        <v>226</v>
      </c>
      <c r="H238" s="216">
        <v>45762</v>
      </c>
    </row>
    <row r="239" spans="1:8" customFormat="1">
      <c r="A239" s="216">
        <v>45762</v>
      </c>
      <c r="B239" s="217" t="s">
        <v>309</v>
      </c>
      <c r="C239" s="218" t="s">
        <v>220</v>
      </c>
      <c r="D239" s="219" t="s">
        <v>700</v>
      </c>
      <c r="E239" s="220" t="s">
        <v>699</v>
      </c>
      <c r="F239" s="220"/>
      <c r="G239" s="220" t="s">
        <v>226</v>
      </c>
      <c r="H239" s="216">
        <v>45762</v>
      </c>
    </row>
    <row r="240" spans="1:8" customFormat="1">
      <c r="A240" s="216">
        <v>45762</v>
      </c>
      <c r="B240" s="217" t="s">
        <v>309</v>
      </c>
      <c r="C240" s="218" t="s">
        <v>220</v>
      </c>
      <c r="D240" s="219" t="s">
        <v>701</v>
      </c>
      <c r="E240" s="220" t="s">
        <v>592</v>
      </c>
      <c r="F240" s="220"/>
      <c r="G240" s="220" t="s">
        <v>226</v>
      </c>
      <c r="H240" s="216">
        <v>45762</v>
      </c>
    </row>
    <row r="241" spans="1:8" customFormat="1">
      <c r="A241" s="216">
        <v>45762</v>
      </c>
      <c r="B241" s="217" t="s">
        <v>309</v>
      </c>
      <c r="C241" s="218" t="s">
        <v>220</v>
      </c>
      <c r="D241" s="219" t="s">
        <v>702</v>
      </c>
      <c r="E241" s="220" t="s">
        <v>703</v>
      </c>
      <c r="F241" s="220"/>
      <c r="G241" s="220" t="s">
        <v>608</v>
      </c>
      <c r="H241" s="216">
        <v>45762</v>
      </c>
    </row>
    <row r="242" spans="1:8" customFormat="1">
      <c r="A242" s="216">
        <v>45762</v>
      </c>
      <c r="B242" s="217" t="s">
        <v>309</v>
      </c>
      <c r="C242" s="218" t="s">
        <v>220</v>
      </c>
      <c r="D242" s="219" t="s">
        <v>704</v>
      </c>
      <c r="E242" s="220" t="s">
        <v>699</v>
      </c>
      <c r="F242" s="220"/>
      <c r="G242" s="220" t="s">
        <v>226</v>
      </c>
      <c r="H242" s="216">
        <v>45762</v>
      </c>
    </row>
    <row r="243" spans="1:8" customFormat="1">
      <c r="A243" s="216">
        <v>45762</v>
      </c>
      <c r="B243" s="217" t="s">
        <v>309</v>
      </c>
      <c r="C243" s="218" t="s">
        <v>220</v>
      </c>
      <c r="D243" s="219" t="s">
        <v>705</v>
      </c>
      <c r="E243" s="220" t="s">
        <v>699</v>
      </c>
      <c r="F243" s="220"/>
      <c r="G243" s="220" t="s">
        <v>226</v>
      </c>
      <c r="H243" s="216">
        <v>45762</v>
      </c>
    </row>
    <row r="244" spans="1:8" customFormat="1">
      <c r="A244" s="216">
        <v>45762</v>
      </c>
      <c r="B244" s="217" t="s">
        <v>309</v>
      </c>
      <c r="C244" s="218" t="s">
        <v>220</v>
      </c>
      <c r="D244" s="219" t="s">
        <v>511</v>
      </c>
      <c r="E244" s="220" t="s">
        <v>512</v>
      </c>
      <c r="F244" s="220"/>
      <c r="G244" s="220" t="s">
        <v>706</v>
      </c>
      <c r="H244" s="216">
        <v>45762</v>
      </c>
    </row>
    <row r="245" spans="1:8" customFormat="1">
      <c r="A245" s="216">
        <v>45762</v>
      </c>
      <c r="B245" s="217" t="s">
        <v>309</v>
      </c>
      <c r="C245" s="218" t="s">
        <v>220</v>
      </c>
      <c r="D245" s="219" t="s">
        <v>707</v>
      </c>
      <c r="E245" s="220" t="s">
        <v>592</v>
      </c>
      <c r="F245" s="220"/>
      <c r="G245" s="220" t="s">
        <v>226</v>
      </c>
      <c r="H245" s="216">
        <v>45762</v>
      </c>
    </row>
    <row r="246" spans="1:8" customFormat="1">
      <c r="A246" s="216">
        <v>45762</v>
      </c>
      <c r="B246" s="217" t="s">
        <v>309</v>
      </c>
      <c r="C246" s="218" t="s">
        <v>220</v>
      </c>
      <c r="D246" s="219" t="s">
        <v>708</v>
      </c>
      <c r="E246" s="220" t="s">
        <v>660</v>
      </c>
      <c r="F246" s="220"/>
      <c r="G246" s="220" t="s">
        <v>226</v>
      </c>
      <c r="H246" s="216">
        <v>45762</v>
      </c>
    </row>
    <row r="247" spans="1:8" customFormat="1">
      <c r="A247" s="216">
        <v>45762</v>
      </c>
      <c r="B247" s="217" t="s">
        <v>309</v>
      </c>
      <c r="C247" s="218" t="s">
        <v>220</v>
      </c>
      <c r="D247" s="219" t="s">
        <v>709</v>
      </c>
      <c r="E247" s="220" t="s">
        <v>710</v>
      </c>
      <c r="F247" s="220"/>
      <c r="G247" s="220" t="s">
        <v>226</v>
      </c>
      <c r="H247" s="216">
        <v>45762</v>
      </c>
    </row>
    <row r="248" spans="1:8" customFormat="1">
      <c r="A248" s="216">
        <v>45762</v>
      </c>
      <c r="B248" s="217" t="s">
        <v>309</v>
      </c>
      <c r="C248" s="218" t="s">
        <v>220</v>
      </c>
      <c r="D248" s="219" t="s">
        <v>711</v>
      </c>
      <c r="E248" s="220" t="s">
        <v>712</v>
      </c>
      <c r="F248" s="220"/>
      <c r="G248" s="220" t="s">
        <v>713</v>
      </c>
      <c r="H248" s="216">
        <v>45762</v>
      </c>
    </row>
    <row r="249" spans="1:8" customFormat="1">
      <c r="A249" s="216">
        <v>45762</v>
      </c>
      <c r="B249" s="217" t="s">
        <v>309</v>
      </c>
      <c r="C249" s="218" t="s">
        <v>220</v>
      </c>
      <c r="D249" s="219" t="s">
        <v>549</v>
      </c>
      <c r="E249" s="220" t="s">
        <v>550</v>
      </c>
      <c r="F249" s="220"/>
      <c r="G249" s="220" t="s">
        <v>714</v>
      </c>
      <c r="H249" s="216">
        <v>45762</v>
      </c>
    </row>
    <row r="250" spans="1:8" customFormat="1" ht="21.9">
      <c r="A250" s="216">
        <v>45762</v>
      </c>
      <c r="B250" s="217" t="s">
        <v>309</v>
      </c>
      <c r="C250" s="218" t="s">
        <v>267</v>
      </c>
      <c r="D250" s="219" t="s">
        <v>715</v>
      </c>
      <c r="E250" s="220" t="s">
        <v>716</v>
      </c>
      <c r="F250" s="220"/>
      <c r="G250" s="220" t="s">
        <v>270</v>
      </c>
      <c r="H250" s="216">
        <v>45762</v>
      </c>
    </row>
    <row r="251" spans="1:8" customFormat="1">
      <c r="A251" s="216">
        <v>45762</v>
      </c>
      <c r="B251" s="217" t="s">
        <v>309</v>
      </c>
      <c r="C251" s="218" t="s">
        <v>267</v>
      </c>
      <c r="D251" s="219" t="s">
        <v>717</v>
      </c>
      <c r="E251" s="220" t="s">
        <v>718</v>
      </c>
      <c r="F251" s="220"/>
      <c r="G251" s="220" t="s">
        <v>270</v>
      </c>
      <c r="H251" s="216">
        <v>45762</v>
      </c>
    </row>
    <row r="252" spans="1:8" customFormat="1">
      <c r="A252" s="216">
        <v>45762</v>
      </c>
      <c r="B252" s="217" t="s">
        <v>309</v>
      </c>
      <c r="C252" s="218" t="s">
        <v>267</v>
      </c>
      <c r="D252" s="219" t="s">
        <v>719</v>
      </c>
      <c r="E252" s="220" t="s">
        <v>690</v>
      </c>
      <c r="F252" s="220" t="s">
        <v>720</v>
      </c>
      <c r="G252" s="220" t="s">
        <v>288</v>
      </c>
      <c r="H252" s="216">
        <v>45762</v>
      </c>
    </row>
    <row r="253" spans="1:8" customFormat="1">
      <c r="A253" s="216">
        <v>45762</v>
      </c>
      <c r="B253" s="217" t="s">
        <v>309</v>
      </c>
      <c r="C253" s="218" t="s">
        <v>267</v>
      </c>
      <c r="D253" s="219" t="s">
        <v>721</v>
      </c>
      <c r="E253" s="220" t="s">
        <v>722</v>
      </c>
      <c r="F253" s="220" t="s">
        <v>723</v>
      </c>
      <c r="G253" s="220" t="s">
        <v>288</v>
      </c>
      <c r="H253" s="216">
        <v>45762</v>
      </c>
    </row>
    <row r="254" spans="1:8" customFormat="1" ht="21.9">
      <c r="A254" s="216">
        <v>45762</v>
      </c>
      <c r="B254" s="217" t="s">
        <v>309</v>
      </c>
      <c r="C254" s="218" t="s">
        <v>267</v>
      </c>
      <c r="D254" s="219" t="s">
        <v>724</v>
      </c>
      <c r="E254" s="220" t="s">
        <v>725</v>
      </c>
      <c r="F254" s="220" t="s">
        <v>726</v>
      </c>
      <c r="G254" s="220" t="s">
        <v>276</v>
      </c>
      <c r="H254" s="216">
        <v>45762</v>
      </c>
    </row>
    <row r="255" spans="1:8" customFormat="1">
      <c r="A255" s="216">
        <v>45762</v>
      </c>
      <c r="B255" s="217" t="s">
        <v>309</v>
      </c>
      <c r="C255" s="218" t="s">
        <v>267</v>
      </c>
      <c r="D255" s="219" t="s">
        <v>727</v>
      </c>
      <c r="E255" s="220" t="s">
        <v>728</v>
      </c>
      <c r="F255" s="220"/>
      <c r="G255" s="220" t="s">
        <v>270</v>
      </c>
      <c r="H255" s="216">
        <v>45762</v>
      </c>
    </row>
    <row r="256" spans="1:8" customFormat="1">
      <c r="A256" s="216">
        <v>45762</v>
      </c>
      <c r="B256" s="217" t="s">
        <v>309</v>
      </c>
      <c r="C256" s="218" t="s">
        <v>267</v>
      </c>
      <c r="D256" s="219" t="s">
        <v>729</v>
      </c>
      <c r="E256" s="220" t="s">
        <v>730</v>
      </c>
      <c r="F256" s="220"/>
      <c r="G256" s="220" t="s">
        <v>731</v>
      </c>
      <c r="H256" s="216">
        <v>45762</v>
      </c>
    </row>
    <row r="257" spans="1:8" customFormat="1" ht="21.9">
      <c r="A257" s="216">
        <v>45762</v>
      </c>
      <c r="B257" s="217" t="s">
        <v>309</v>
      </c>
      <c r="C257" s="218" t="s">
        <v>267</v>
      </c>
      <c r="D257" s="219" t="s">
        <v>732</v>
      </c>
      <c r="E257" s="220" t="s">
        <v>733</v>
      </c>
      <c r="F257" s="220"/>
      <c r="G257" s="220" t="s">
        <v>285</v>
      </c>
      <c r="H257" s="216">
        <v>45762</v>
      </c>
    </row>
    <row r="258" spans="1:8" customFormat="1" ht="21.9">
      <c r="A258" s="216">
        <v>45762</v>
      </c>
      <c r="B258" s="217" t="s">
        <v>309</v>
      </c>
      <c r="C258" s="218" t="s">
        <v>267</v>
      </c>
      <c r="D258" s="219" t="s">
        <v>542</v>
      </c>
      <c r="E258" s="220" t="s">
        <v>543</v>
      </c>
      <c r="F258" s="220" t="s">
        <v>734</v>
      </c>
      <c r="G258" s="220" t="s">
        <v>291</v>
      </c>
      <c r="H258" s="216">
        <v>45762</v>
      </c>
    </row>
    <row r="259" spans="1:8" customFormat="1">
      <c r="A259" s="216">
        <v>45762</v>
      </c>
      <c r="B259" s="217" t="s">
        <v>380</v>
      </c>
      <c r="C259" s="218" t="s">
        <v>220</v>
      </c>
      <c r="D259" s="219" t="s">
        <v>735</v>
      </c>
      <c r="E259" s="220" t="s">
        <v>736</v>
      </c>
      <c r="F259" s="220"/>
      <c r="G259" s="220" t="s">
        <v>590</v>
      </c>
      <c r="H259" s="216">
        <v>45762</v>
      </c>
    </row>
    <row r="260" spans="1:8" customFormat="1">
      <c r="A260" s="216">
        <v>45762</v>
      </c>
      <c r="B260" s="217" t="s">
        <v>380</v>
      </c>
      <c r="C260" s="218" t="s">
        <v>220</v>
      </c>
      <c r="D260" s="219" t="s">
        <v>737</v>
      </c>
      <c r="E260" s="220" t="s">
        <v>738</v>
      </c>
      <c r="F260" s="220"/>
      <c r="G260" s="220" t="s">
        <v>226</v>
      </c>
      <c r="H260" s="216">
        <v>45762</v>
      </c>
    </row>
    <row r="261" spans="1:8" customFormat="1">
      <c r="A261" s="216">
        <v>45762</v>
      </c>
      <c r="B261" s="217" t="s">
        <v>380</v>
      </c>
      <c r="C261" s="218" t="s">
        <v>220</v>
      </c>
      <c r="D261" s="219" t="s">
        <v>739</v>
      </c>
      <c r="E261" s="220" t="s">
        <v>740</v>
      </c>
      <c r="F261" s="220"/>
      <c r="G261" s="220" t="s">
        <v>226</v>
      </c>
      <c r="H261" s="216">
        <v>45762</v>
      </c>
    </row>
    <row r="262" spans="1:8" customFormat="1">
      <c r="A262" s="216">
        <v>45762</v>
      </c>
      <c r="B262" s="217" t="s">
        <v>380</v>
      </c>
      <c r="C262" s="218" t="s">
        <v>220</v>
      </c>
      <c r="D262" s="219" t="s">
        <v>741</v>
      </c>
      <c r="E262" s="220" t="s">
        <v>742</v>
      </c>
      <c r="F262" s="220"/>
      <c r="G262" s="220" t="s">
        <v>226</v>
      </c>
      <c r="H262" s="216">
        <v>45762</v>
      </c>
    </row>
    <row r="263" spans="1:8" customFormat="1">
      <c r="A263" s="216">
        <v>45762</v>
      </c>
      <c r="B263" s="217" t="s">
        <v>380</v>
      </c>
      <c r="C263" s="218" t="s">
        <v>220</v>
      </c>
      <c r="D263" s="219" t="s">
        <v>743</v>
      </c>
      <c r="E263" s="220" t="s">
        <v>744</v>
      </c>
      <c r="F263" s="220"/>
      <c r="G263" s="220" t="s">
        <v>608</v>
      </c>
      <c r="H263" s="216">
        <v>45762</v>
      </c>
    </row>
    <row r="264" spans="1:8" customFormat="1">
      <c r="A264" s="216">
        <v>45762</v>
      </c>
      <c r="B264" s="217" t="s">
        <v>380</v>
      </c>
      <c r="C264" s="218" t="s">
        <v>220</v>
      </c>
      <c r="D264" s="219" t="s">
        <v>745</v>
      </c>
      <c r="E264" s="220" t="s">
        <v>746</v>
      </c>
      <c r="F264" s="220"/>
      <c r="G264" s="220" t="s">
        <v>226</v>
      </c>
      <c r="H264" s="216">
        <v>45762</v>
      </c>
    </row>
    <row r="265" spans="1:8" customFormat="1">
      <c r="A265" s="216">
        <v>45762</v>
      </c>
      <c r="B265" s="217" t="s">
        <v>380</v>
      </c>
      <c r="C265" s="218" t="s">
        <v>220</v>
      </c>
      <c r="D265" s="219" t="s">
        <v>747</v>
      </c>
      <c r="E265" s="220" t="s">
        <v>748</v>
      </c>
      <c r="F265" s="220"/>
      <c r="G265" s="220" t="s">
        <v>612</v>
      </c>
      <c r="H265" s="216">
        <v>45762</v>
      </c>
    </row>
    <row r="266" spans="1:8" customFormat="1">
      <c r="A266" s="216">
        <v>45762</v>
      </c>
      <c r="B266" s="217" t="s">
        <v>380</v>
      </c>
      <c r="C266" s="218" t="s">
        <v>220</v>
      </c>
      <c r="D266" s="219" t="s">
        <v>749</v>
      </c>
      <c r="E266" s="220" t="s">
        <v>750</v>
      </c>
      <c r="F266" s="220"/>
      <c r="G266" s="220" t="s">
        <v>751</v>
      </c>
      <c r="H266" s="216">
        <v>45762</v>
      </c>
    </row>
    <row r="267" spans="1:8" customFormat="1" ht="21.9">
      <c r="A267" s="216">
        <v>45762</v>
      </c>
      <c r="B267" s="217" t="s">
        <v>380</v>
      </c>
      <c r="C267" s="218" t="s">
        <v>220</v>
      </c>
      <c r="D267" s="219" t="s">
        <v>752</v>
      </c>
      <c r="E267" s="220" t="s">
        <v>753</v>
      </c>
      <c r="F267" s="220" t="s">
        <v>754</v>
      </c>
      <c r="G267" s="220" t="s">
        <v>755</v>
      </c>
      <c r="H267" s="216">
        <v>45762</v>
      </c>
    </row>
    <row r="268" spans="1:8" customFormat="1">
      <c r="A268" s="216">
        <v>45762</v>
      </c>
      <c r="B268" s="217" t="s">
        <v>380</v>
      </c>
      <c r="C268" s="218" t="s">
        <v>220</v>
      </c>
      <c r="D268" s="219" t="s">
        <v>756</v>
      </c>
      <c r="E268" s="220" t="s">
        <v>616</v>
      </c>
      <c r="F268" s="220"/>
      <c r="G268" s="220" t="s">
        <v>226</v>
      </c>
      <c r="H268" s="216">
        <v>45762</v>
      </c>
    </row>
    <row r="269" spans="1:8" customFormat="1">
      <c r="A269" s="216">
        <v>45762</v>
      </c>
      <c r="B269" s="217" t="s">
        <v>380</v>
      </c>
      <c r="C269" s="218" t="s">
        <v>220</v>
      </c>
      <c r="D269" s="219" t="s">
        <v>757</v>
      </c>
      <c r="E269" s="220" t="s">
        <v>758</v>
      </c>
      <c r="F269" s="220"/>
      <c r="G269" s="220" t="s">
        <v>608</v>
      </c>
      <c r="H269" s="216">
        <v>45762</v>
      </c>
    </row>
    <row r="270" spans="1:8" customFormat="1">
      <c r="A270" s="216">
        <v>45762</v>
      </c>
      <c r="B270" s="217" t="s">
        <v>380</v>
      </c>
      <c r="C270" s="218" t="s">
        <v>220</v>
      </c>
      <c r="D270" s="219" t="s">
        <v>759</v>
      </c>
      <c r="E270" s="220" t="s">
        <v>643</v>
      </c>
      <c r="F270" s="220"/>
      <c r="G270" s="220" t="s">
        <v>226</v>
      </c>
      <c r="H270" s="216">
        <v>45762</v>
      </c>
    </row>
    <row r="271" spans="1:8" customFormat="1">
      <c r="A271" s="216">
        <v>45762</v>
      </c>
      <c r="B271" s="217" t="s">
        <v>380</v>
      </c>
      <c r="C271" s="218" t="s">
        <v>220</v>
      </c>
      <c r="D271" s="219" t="s">
        <v>760</v>
      </c>
      <c r="E271" s="220" t="s">
        <v>761</v>
      </c>
      <c r="F271" s="220"/>
      <c r="G271" s="220" t="s">
        <v>608</v>
      </c>
      <c r="H271" s="216">
        <v>45762</v>
      </c>
    </row>
    <row r="272" spans="1:8" customFormat="1">
      <c r="A272" s="216">
        <v>45762</v>
      </c>
      <c r="B272" s="217" t="s">
        <v>380</v>
      </c>
      <c r="C272" s="218" t="s">
        <v>220</v>
      </c>
      <c r="D272" s="219" t="s">
        <v>762</v>
      </c>
      <c r="E272" s="220" t="s">
        <v>249</v>
      </c>
      <c r="F272" s="220"/>
      <c r="G272" s="220" t="s">
        <v>226</v>
      </c>
      <c r="H272" s="216">
        <v>45762</v>
      </c>
    </row>
    <row r="273" spans="1:8" customFormat="1">
      <c r="A273" s="216">
        <v>45762</v>
      </c>
      <c r="B273" s="217" t="s">
        <v>380</v>
      </c>
      <c r="C273" s="218" t="s">
        <v>220</v>
      </c>
      <c r="D273" s="219" t="s">
        <v>763</v>
      </c>
      <c r="E273" s="220" t="s">
        <v>249</v>
      </c>
      <c r="F273" s="220"/>
      <c r="G273" s="220" t="s">
        <v>226</v>
      </c>
      <c r="H273" s="216">
        <v>45762</v>
      </c>
    </row>
    <row r="274" spans="1:8" customFormat="1">
      <c r="A274" s="216">
        <v>45762</v>
      </c>
      <c r="B274" s="217" t="s">
        <v>380</v>
      </c>
      <c r="C274" s="218" t="s">
        <v>220</v>
      </c>
      <c r="D274" s="219" t="s">
        <v>764</v>
      </c>
      <c r="E274" s="220" t="s">
        <v>765</v>
      </c>
      <c r="F274" s="220"/>
      <c r="G274" s="220" t="s">
        <v>608</v>
      </c>
      <c r="H274" s="216">
        <v>45762</v>
      </c>
    </row>
    <row r="275" spans="1:8" customFormat="1" ht="21.9">
      <c r="A275" s="216">
        <v>45762</v>
      </c>
      <c r="B275" s="217" t="s">
        <v>380</v>
      </c>
      <c r="C275" s="218" t="s">
        <v>267</v>
      </c>
      <c r="D275" s="219" t="s">
        <v>766</v>
      </c>
      <c r="E275" s="220" t="s">
        <v>400</v>
      </c>
      <c r="F275" s="220" t="s">
        <v>767</v>
      </c>
      <c r="G275" s="220" t="s">
        <v>276</v>
      </c>
      <c r="H275" s="216">
        <v>45762</v>
      </c>
    </row>
    <row r="276" spans="1:8" customFormat="1">
      <c r="A276" s="216">
        <v>45762</v>
      </c>
      <c r="B276" s="217" t="s">
        <v>380</v>
      </c>
      <c r="C276" s="218" t="s">
        <v>267</v>
      </c>
      <c r="D276" s="219" t="s">
        <v>381</v>
      </c>
      <c r="E276" s="220" t="s">
        <v>382</v>
      </c>
      <c r="F276" s="220" t="s">
        <v>383</v>
      </c>
      <c r="G276" s="220" t="s">
        <v>276</v>
      </c>
      <c r="H276" s="216">
        <v>45762</v>
      </c>
    </row>
    <row r="277" spans="1:8" customFormat="1">
      <c r="A277" s="216">
        <v>45762</v>
      </c>
      <c r="B277" s="217" t="s">
        <v>380</v>
      </c>
      <c r="C277" s="218" t="s">
        <v>267</v>
      </c>
      <c r="D277" s="219" t="s">
        <v>397</v>
      </c>
      <c r="E277" s="220" t="s">
        <v>553</v>
      </c>
      <c r="F277" s="220"/>
      <c r="G277" s="220" t="s">
        <v>291</v>
      </c>
      <c r="H277" s="216">
        <v>45762</v>
      </c>
    </row>
    <row r="278" spans="1:8" customFormat="1" ht="21.9">
      <c r="A278" s="216">
        <v>45762</v>
      </c>
      <c r="B278" s="217" t="s">
        <v>380</v>
      </c>
      <c r="C278" s="218" t="s">
        <v>267</v>
      </c>
      <c r="D278" s="219" t="s">
        <v>408</v>
      </c>
      <c r="E278" s="220" t="s">
        <v>409</v>
      </c>
      <c r="F278" s="220" t="s">
        <v>410</v>
      </c>
      <c r="G278" s="220" t="s">
        <v>288</v>
      </c>
      <c r="H278" s="216">
        <v>45762</v>
      </c>
    </row>
    <row r="279" spans="1:8" customFormat="1">
      <c r="A279" s="216">
        <v>45762</v>
      </c>
      <c r="B279" s="217" t="s">
        <v>380</v>
      </c>
      <c r="C279" s="218" t="s">
        <v>267</v>
      </c>
      <c r="D279" s="219" t="s">
        <v>768</v>
      </c>
      <c r="E279" s="220" t="s">
        <v>769</v>
      </c>
      <c r="F279" s="220"/>
      <c r="G279" s="220" t="s">
        <v>770</v>
      </c>
      <c r="H279" s="216">
        <v>45762</v>
      </c>
    </row>
    <row r="280" spans="1:8" customFormat="1">
      <c r="A280" s="216">
        <v>45762</v>
      </c>
      <c r="B280" s="217" t="s">
        <v>565</v>
      </c>
      <c r="C280" s="218" t="s">
        <v>220</v>
      </c>
      <c r="D280" s="219" t="s">
        <v>771</v>
      </c>
      <c r="E280" s="220" t="s">
        <v>710</v>
      </c>
      <c r="F280" s="220"/>
      <c r="G280" s="220" t="s">
        <v>590</v>
      </c>
      <c r="H280" s="216">
        <v>45762</v>
      </c>
    </row>
    <row r="281" spans="1:8" customFormat="1">
      <c r="A281" s="216">
        <v>45762</v>
      </c>
      <c r="B281" s="217" t="s">
        <v>565</v>
      </c>
      <c r="C281" s="218" t="s">
        <v>267</v>
      </c>
      <c r="D281" s="219" t="s">
        <v>772</v>
      </c>
      <c r="E281" s="220" t="s">
        <v>773</v>
      </c>
      <c r="F281" s="220"/>
      <c r="G281" s="220" t="s">
        <v>270</v>
      </c>
      <c r="H281" s="216">
        <v>45762</v>
      </c>
    </row>
    <row r="282" spans="1:8" customFormat="1">
      <c r="A282" s="216">
        <v>45762</v>
      </c>
      <c r="B282" s="217" t="s">
        <v>423</v>
      </c>
      <c r="C282" s="218" t="s">
        <v>220</v>
      </c>
      <c r="D282" s="219" t="s">
        <v>774</v>
      </c>
      <c r="E282" s="220" t="s">
        <v>775</v>
      </c>
      <c r="F282" s="220"/>
      <c r="G282" s="220" t="s">
        <v>608</v>
      </c>
      <c r="H282" s="216">
        <v>45762</v>
      </c>
    </row>
    <row r="283" spans="1:8" customFormat="1">
      <c r="A283" s="216">
        <v>45762</v>
      </c>
      <c r="B283" s="217" t="s">
        <v>423</v>
      </c>
      <c r="C283" s="218" t="s">
        <v>220</v>
      </c>
      <c r="D283" s="219" t="s">
        <v>776</v>
      </c>
      <c r="E283" s="220" t="s">
        <v>324</v>
      </c>
      <c r="F283" s="220"/>
      <c r="G283" s="220" t="s">
        <v>226</v>
      </c>
      <c r="H283" s="216">
        <v>45762</v>
      </c>
    </row>
    <row r="284" spans="1:8" customFormat="1">
      <c r="A284" s="216">
        <v>45762</v>
      </c>
      <c r="B284" s="217" t="s">
        <v>423</v>
      </c>
      <c r="C284" s="218" t="s">
        <v>220</v>
      </c>
      <c r="D284" s="219" t="s">
        <v>777</v>
      </c>
      <c r="E284" s="220" t="s">
        <v>738</v>
      </c>
      <c r="F284" s="220"/>
      <c r="G284" s="220" t="s">
        <v>226</v>
      </c>
      <c r="H284" s="216">
        <v>45762</v>
      </c>
    </row>
    <row r="285" spans="1:8" customFormat="1">
      <c r="A285" s="216">
        <v>45762</v>
      </c>
      <c r="B285" s="217" t="s">
        <v>423</v>
      </c>
      <c r="C285" s="218" t="s">
        <v>220</v>
      </c>
      <c r="D285" s="219" t="s">
        <v>778</v>
      </c>
      <c r="E285" s="220" t="s">
        <v>738</v>
      </c>
      <c r="F285" s="220"/>
      <c r="G285" s="220" t="s">
        <v>226</v>
      </c>
      <c r="H285" s="216">
        <v>45762</v>
      </c>
    </row>
    <row r="286" spans="1:8" customFormat="1">
      <c r="A286" s="216">
        <v>45762</v>
      </c>
      <c r="B286" s="217" t="s">
        <v>423</v>
      </c>
      <c r="C286" s="218" t="s">
        <v>220</v>
      </c>
      <c r="D286" s="219" t="s">
        <v>779</v>
      </c>
      <c r="E286" s="220" t="s">
        <v>780</v>
      </c>
      <c r="F286" s="220"/>
      <c r="G286" s="220" t="s">
        <v>226</v>
      </c>
      <c r="H286" s="216">
        <v>45762</v>
      </c>
    </row>
    <row r="287" spans="1:8" customFormat="1">
      <c r="A287" s="216">
        <v>45762</v>
      </c>
      <c r="B287" s="217" t="s">
        <v>423</v>
      </c>
      <c r="C287" s="218" t="s">
        <v>220</v>
      </c>
      <c r="D287" s="219" t="s">
        <v>781</v>
      </c>
      <c r="E287" s="220" t="s">
        <v>782</v>
      </c>
      <c r="F287" s="220"/>
      <c r="G287" s="220" t="s">
        <v>608</v>
      </c>
      <c r="H287" s="216">
        <v>45762</v>
      </c>
    </row>
    <row r="288" spans="1:8" customFormat="1">
      <c r="A288" s="216">
        <v>45762</v>
      </c>
      <c r="B288" s="217" t="s">
        <v>423</v>
      </c>
      <c r="C288" s="218" t="s">
        <v>220</v>
      </c>
      <c r="D288" s="219" t="s">
        <v>783</v>
      </c>
      <c r="E288" s="220" t="s">
        <v>784</v>
      </c>
      <c r="F288" s="220"/>
      <c r="G288" s="220" t="s">
        <v>785</v>
      </c>
      <c r="H288" s="216">
        <v>45762</v>
      </c>
    </row>
    <row r="289" spans="1:8" customFormat="1">
      <c r="A289" s="216">
        <v>45762</v>
      </c>
      <c r="B289" s="217" t="s">
        <v>423</v>
      </c>
      <c r="C289" s="218" t="s">
        <v>220</v>
      </c>
      <c r="D289" s="219" t="s">
        <v>786</v>
      </c>
      <c r="E289" s="220" t="s">
        <v>787</v>
      </c>
      <c r="F289" s="220"/>
      <c r="G289" s="220" t="s">
        <v>226</v>
      </c>
      <c r="H289" s="216">
        <v>45762</v>
      </c>
    </row>
    <row r="290" spans="1:8" customFormat="1">
      <c r="A290" s="216">
        <v>45762</v>
      </c>
      <c r="B290" s="217" t="s">
        <v>423</v>
      </c>
      <c r="C290" s="218" t="s">
        <v>220</v>
      </c>
      <c r="D290" s="219" t="s">
        <v>788</v>
      </c>
      <c r="E290" s="220" t="s">
        <v>788</v>
      </c>
      <c r="F290" s="220"/>
      <c r="G290" s="220" t="s">
        <v>608</v>
      </c>
      <c r="H290" s="216">
        <v>45762</v>
      </c>
    </row>
    <row r="291" spans="1:8" customFormat="1">
      <c r="A291" s="216">
        <v>45762</v>
      </c>
      <c r="B291" s="217" t="s">
        <v>423</v>
      </c>
      <c r="C291" s="218" t="s">
        <v>220</v>
      </c>
      <c r="D291" s="219" t="s">
        <v>789</v>
      </c>
      <c r="E291" s="220" t="s">
        <v>466</v>
      </c>
      <c r="F291" s="220"/>
      <c r="G291" s="220" t="s">
        <v>608</v>
      </c>
      <c r="H291" s="216">
        <v>45762</v>
      </c>
    </row>
    <row r="292" spans="1:8" customFormat="1">
      <c r="A292" s="216">
        <v>45762</v>
      </c>
      <c r="B292" s="217" t="s">
        <v>423</v>
      </c>
      <c r="C292" s="218" t="s">
        <v>220</v>
      </c>
      <c r="D292" s="219" t="s">
        <v>790</v>
      </c>
      <c r="E292" s="220" t="s">
        <v>791</v>
      </c>
      <c r="F292" s="220" t="s">
        <v>792</v>
      </c>
      <c r="G292" s="220" t="s">
        <v>793</v>
      </c>
      <c r="H292" s="216">
        <v>45762</v>
      </c>
    </row>
    <row r="293" spans="1:8" customFormat="1" ht="21.9">
      <c r="A293" s="216">
        <v>45762</v>
      </c>
      <c r="B293" s="217" t="s">
        <v>423</v>
      </c>
      <c r="C293" s="218" t="s">
        <v>220</v>
      </c>
      <c r="D293" s="219" t="s">
        <v>794</v>
      </c>
      <c r="E293" s="220" t="s">
        <v>795</v>
      </c>
      <c r="F293" s="220"/>
      <c r="G293" s="220" t="s">
        <v>226</v>
      </c>
      <c r="H293" s="216">
        <v>45762</v>
      </c>
    </row>
    <row r="294" spans="1:8" customFormat="1">
      <c r="A294" s="216">
        <v>45762</v>
      </c>
      <c r="B294" s="217" t="s">
        <v>423</v>
      </c>
      <c r="C294" s="218" t="s">
        <v>220</v>
      </c>
      <c r="D294" s="219" t="s">
        <v>796</v>
      </c>
      <c r="E294" s="220" t="s">
        <v>797</v>
      </c>
      <c r="F294" s="220"/>
      <c r="G294" s="220" t="s">
        <v>226</v>
      </c>
      <c r="H294" s="216">
        <v>45762</v>
      </c>
    </row>
    <row r="295" spans="1:8" customFormat="1">
      <c r="A295" s="216">
        <v>45762</v>
      </c>
      <c r="B295" s="217" t="s">
        <v>423</v>
      </c>
      <c r="C295" s="218" t="s">
        <v>220</v>
      </c>
      <c r="D295" s="219" t="s">
        <v>798</v>
      </c>
      <c r="E295" s="220" t="s">
        <v>627</v>
      </c>
      <c r="F295" s="220"/>
      <c r="G295" s="220" t="s">
        <v>226</v>
      </c>
      <c r="H295" s="216">
        <v>45762</v>
      </c>
    </row>
    <row r="296" spans="1:8" customFormat="1">
      <c r="A296" s="216">
        <v>45762</v>
      </c>
      <c r="B296" s="217" t="s">
        <v>423</v>
      </c>
      <c r="C296" s="218" t="s">
        <v>220</v>
      </c>
      <c r="D296" s="219" t="s">
        <v>799</v>
      </c>
      <c r="E296" s="220" t="s">
        <v>800</v>
      </c>
      <c r="F296" s="220"/>
      <c r="G296" s="220" t="s">
        <v>226</v>
      </c>
      <c r="H296" s="216">
        <v>45762</v>
      </c>
    </row>
    <row r="297" spans="1:8" customFormat="1">
      <c r="A297" s="216">
        <v>45762</v>
      </c>
      <c r="B297" s="217" t="s">
        <v>423</v>
      </c>
      <c r="C297" s="218" t="s">
        <v>220</v>
      </c>
      <c r="D297" s="219" t="s">
        <v>801</v>
      </c>
      <c r="E297" s="220" t="s">
        <v>802</v>
      </c>
      <c r="F297" s="220"/>
      <c r="G297" s="220" t="s">
        <v>226</v>
      </c>
      <c r="H297" s="216">
        <v>45762</v>
      </c>
    </row>
    <row r="298" spans="1:8" customFormat="1">
      <c r="A298" s="216">
        <v>45762</v>
      </c>
      <c r="B298" s="217" t="s">
        <v>423</v>
      </c>
      <c r="C298" s="218" t="s">
        <v>220</v>
      </c>
      <c r="D298" s="219" t="s">
        <v>803</v>
      </c>
      <c r="E298" s="220" t="s">
        <v>804</v>
      </c>
      <c r="F298" s="220"/>
      <c r="G298" s="220" t="s">
        <v>226</v>
      </c>
      <c r="H298" s="216">
        <v>45762</v>
      </c>
    </row>
    <row r="299" spans="1:8" customFormat="1">
      <c r="A299" s="216">
        <v>45762</v>
      </c>
      <c r="B299" s="217" t="s">
        <v>423</v>
      </c>
      <c r="C299" s="218" t="s">
        <v>220</v>
      </c>
      <c r="D299" s="219" t="s">
        <v>805</v>
      </c>
      <c r="E299" s="220" t="s">
        <v>806</v>
      </c>
      <c r="F299" s="220"/>
      <c r="G299" s="220" t="s">
        <v>590</v>
      </c>
      <c r="H299" s="216">
        <v>45762</v>
      </c>
    </row>
    <row r="300" spans="1:8" customFormat="1">
      <c r="A300" s="216">
        <v>45762</v>
      </c>
      <c r="B300" s="217" t="s">
        <v>423</v>
      </c>
      <c r="C300" s="218" t="s">
        <v>220</v>
      </c>
      <c r="D300" s="219" t="s">
        <v>807</v>
      </c>
      <c r="E300" s="220" t="s">
        <v>808</v>
      </c>
      <c r="F300" s="220"/>
      <c r="G300" s="220" t="s">
        <v>590</v>
      </c>
      <c r="H300" s="216">
        <v>45762</v>
      </c>
    </row>
    <row r="301" spans="1:8" customFormat="1">
      <c r="A301" s="216">
        <v>45762</v>
      </c>
      <c r="B301" s="224" t="s">
        <v>423</v>
      </c>
      <c r="C301" s="218" t="s">
        <v>220</v>
      </c>
      <c r="D301" s="219" t="s">
        <v>809</v>
      </c>
      <c r="E301" s="220" t="s">
        <v>810</v>
      </c>
      <c r="F301" s="220"/>
      <c r="G301" s="220" t="s">
        <v>590</v>
      </c>
      <c r="H301" s="216">
        <v>45762</v>
      </c>
    </row>
    <row r="302" spans="1:8" customFormat="1">
      <c r="A302" s="216">
        <v>45762</v>
      </c>
      <c r="B302" s="224" t="s">
        <v>423</v>
      </c>
      <c r="C302" s="218" t="s">
        <v>220</v>
      </c>
      <c r="D302" s="219" t="s">
        <v>811</v>
      </c>
      <c r="E302" s="220" t="s">
        <v>812</v>
      </c>
      <c r="F302" s="220"/>
      <c r="G302" s="220" t="s">
        <v>608</v>
      </c>
      <c r="H302" s="216">
        <v>45762</v>
      </c>
    </row>
    <row r="303" spans="1:8" customFormat="1">
      <c r="A303" s="216">
        <v>45762</v>
      </c>
      <c r="B303" s="224" t="s">
        <v>423</v>
      </c>
      <c r="C303" s="218" t="s">
        <v>220</v>
      </c>
      <c r="D303" s="219" t="s">
        <v>813</v>
      </c>
      <c r="E303" s="220" t="s">
        <v>814</v>
      </c>
      <c r="F303" s="220" t="s">
        <v>815</v>
      </c>
      <c r="G303" s="220" t="s">
        <v>816</v>
      </c>
      <c r="H303" s="216">
        <v>45762</v>
      </c>
    </row>
    <row r="304" spans="1:8" customFormat="1" ht="21.9">
      <c r="A304" s="216">
        <v>45762</v>
      </c>
      <c r="B304" s="217" t="s">
        <v>423</v>
      </c>
      <c r="C304" s="218" t="s">
        <v>267</v>
      </c>
      <c r="D304" s="219" t="s">
        <v>572</v>
      </c>
      <c r="E304" s="220" t="s">
        <v>444</v>
      </c>
      <c r="F304" s="220"/>
      <c r="G304" s="220" t="s">
        <v>291</v>
      </c>
      <c r="H304" s="216">
        <v>45762</v>
      </c>
    </row>
    <row r="305" spans="1:8" customFormat="1" ht="21.9">
      <c r="A305" s="216">
        <v>45762</v>
      </c>
      <c r="B305" s="217" t="s">
        <v>423</v>
      </c>
      <c r="C305" s="218" t="s">
        <v>267</v>
      </c>
      <c r="D305" s="219" t="s">
        <v>817</v>
      </c>
      <c r="E305" s="220" t="s">
        <v>818</v>
      </c>
      <c r="F305" s="220" t="s">
        <v>819</v>
      </c>
      <c r="G305" s="220" t="s">
        <v>288</v>
      </c>
      <c r="H305" s="216">
        <v>45762</v>
      </c>
    </row>
    <row r="306" spans="1:8" customFormat="1">
      <c r="A306" s="216">
        <v>45762</v>
      </c>
      <c r="B306" s="217" t="s">
        <v>423</v>
      </c>
      <c r="C306" s="218" t="s">
        <v>267</v>
      </c>
      <c r="D306" s="219" t="s">
        <v>820</v>
      </c>
      <c r="E306" s="220" t="s">
        <v>821</v>
      </c>
      <c r="F306" s="220"/>
      <c r="G306" s="220" t="s">
        <v>270</v>
      </c>
      <c r="H306" s="216">
        <v>45762</v>
      </c>
    </row>
    <row r="307" spans="1:8" customFormat="1">
      <c r="A307" s="216">
        <v>45762</v>
      </c>
      <c r="B307" s="217" t="s">
        <v>423</v>
      </c>
      <c r="C307" s="218" t="s">
        <v>267</v>
      </c>
      <c r="D307" s="219" t="s">
        <v>822</v>
      </c>
      <c r="E307" s="220" t="s">
        <v>484</v>
      </c>
      <c r="F307" s="220"/>
      <c r="G307" s="220" t="s">
        <v>288</v>
      </c>
      <c r="H307" s="216">
        <v>45762</v>
      </c>
    </row>
    <row r="308" spans="1:8" customFormat="1">
      <c r="A308" s="216">
        <v>45762</v>
      </c>
      <c r="B308" s="217" t="s">
        <v>423</v>
      </c>
      <c r="C308" s="218" t="s">
        <v>267</v>
      </c>
      <c r="D308" s="219" t="s">
        <v>823</v>
      </c>
      <c r="E308" s="220" t="s">
        <v>824</v>
      </c>
      <c r="F308" s="220"/>
      <c r="G308" s="220" t="s">
        <v>276</v>
      </c>
      <c r="H308" s="216">
        <v>45762</v>
      </c>
    </row>
    <row r="309" spans="1:8" customFormat="1">
      <c r="A309" s="225">
        <v>45762</v>
      </c>
      <c r="B309" s="226" t="s">
        <v>423</v>
      </c>
      <c r="C309" s="227" t="s">
        <v>267</v>
      </c>
      <c r="D309" s="228" t="s">
        <v>813</v>
      </c>
      <c r="E309" s="241" t="s">
        <v>814</v>
      </c>
      <c r="F309" s="229" t="s">
        <v>815</v>
      </c>
      <c r="G309" s="229" t="s">
        <v>288</v>
      </c>
      <c r="H309" s="225">
        <v>45762</v>
      </c>
    </row>
    <row r="310" spans="1:8" customFormat="1">
      <c r="A310" s="216">
        <v>45679</v>
      </c>
      <c r="B310" s="217" t="s">
        <v>7</v>
      </c>
      <c r="C310" s="218" t="s">
        <v>220</v>
      </c>
      <c r="D310" s="222" t="s">
        <v>825</v>
      </c>
      <c r="E310" s="220" t="s">
        <v>710</v>
      </c>
      <c r="F310" s="220"/>
      <c r="G310" s="220" t="s">
        <v>590</v>
      </c>
      <c r="H310" s="216">
        <v>45679</v>
      </c>
    </row>
    <row r="311" spans="1:8" customFormat="1">
      <c r="A311" s="216">
        <v>45679</v>
      </c>
      <c r="B311" s="217" t="s">
        <v>7</v>
      </c>
      <c r="C311" s="218" t="s">
        <v>220</v>
      </c>
      <c r="D311" s="222" t="s">
        <v>826</v>
      </c>
      <c r="E311" s="220" t="s">
        <v>827</v>
      </c>
      <c r="F311" s="220" t="s">
        <v>828</v>
      </c>
      <c r="G311" s="220" t="s">
        <v>829</v>
      </c>
      <c r="H311" s="216">
        <v>45679</v>
      </c>
    </row>
    <row r="312" spans="1:8" customFormat="1">
      <c r="A312" s="216">
        <v>45679</v>
      </c>
      <c r="B312" s="217" t="s">
        <v>7</v>
      </c>
      <c r="C312" s="218" t="s">
        <v>267</v>
      </c>
      <c r="D312" s="219" t="s">
        <v>830</v>
      </c>
      <c r="E312" s="220" t="s">
        <v>831</v>
      </c>
      <c r="F312" s="220" t="s">
        <v>832</v>
      </c>
      <c r="G312" s="220" t="s">
        <v>276</v>
      </c>
      <c r="H312" s="216">
        <v>45679</v>
      </c>
    </row>
    <row r="313" spans="1:8" customFormat="1" ht="21.9">
      <c r="A313" s="216">
        <v>45679</v>
      </c>
      <c r="B313" s="217" t="s">
        <v>7</v>
      </c>
      <c r="C313" s="218" t="s">
        <v>267</v>
      </c>
      <c r="D313" s="222" t="s">
        <v>200</v>
      </c>
      <c r="E313" s="220" t="s">
        <v>532</v>
      </c>
      <c r="F313" s="220" t="s">
        <v>833</v>
      </c>
      <c r="G313" s="220" t="s">
        <v>270</v>
      </c>
      <c r="H313" s="216">
        <v>45679</v>
      </c>
    </row>
    <row r="314" spans="1:8" customFormat="1" ht="21.9">
      <c r="A314" s="216">
        <v>45679</v>
      </c>
      <c r="B314" s="217" t="s">
        <v>7</v>
      </c>
      <c r="C314" s="218" t="s">
        <v>267</v>
      </c>
      <c r="D314" s="222" t="s">
        <v>203</v>
      </c>
      <c r="E314" s="220" t="s">
        <v>532</v>
      </c>
      <c r="F314" s="220" t="s">
        <v>833</v>
      </c>
      <c r="G314" s="220" t="s">
        <v>270</v>
      </c>
      <c r="H314" s="216">
        <v>45679</v>
      </c>
    </row>
    <row r="315" spans="1:8" customFormat="1">
      <c r="A315" s="216">
        <v>45679</v>
      </c>
      <c r="B315" s="217" t="s">
        <v>7</v>
      </c>
      <c r="C315" s="218" t="s">
        <v>267</v>
      </c>
      <c r="D315" s="222" t="s">
        <v>834</v>
      </c>
      <c r="E315" s="220" t="s">
        <v>835</v>
      </c>
      <c r="F315" s="220" t="s">
        <v>836</v>
      </c>
      <c r="G315" s="220" t="s">
        <v>270</v>
      </c>
      <c r="H315" s="216">
        <v>45679</v>
      </c>
    </row>
    <row r="316" spans="1:8" customFormat="1" ht="21.9">
      <c r="A316" s="216">
        <v>45679</v>
      </c>
      <c r="B316" s="217" t="s">
        <v>7</v>
      </c>
      <c r="C316" s="218" t="s">
        <v>267</v>
      </c>
      <c r="D316" s="222" t="s">
        <v>837</v>
      </c>
      <c r="E316" s="220" t="s">
        <v>838</v>
      </c>
      <c r="F316" s="220" t="s">
        <v>839</v>
      </c>
      <c r="G316" s="220" t="s">
        <v>276</v>
      </c>
      <c r="H316" s="216">
        <v>45679</v>
      </c>
    </row>
    <row r="317" spans="1:8" customFormat="1">
      <c r="A317" s="216">
        <v>45679</v>
      </c>
      <c r="B317" s="217" t="s">
        <v>7</v>
      </c>
      <c r="C317" s="218" t="s">
        <v>267</v>
      </c>
      <c r="D317" s="222" t="s">
        <v>277</v>
      </c>
      <c r="E317" s="220" t="s">
        <v>278</v>
      </c>
      <c r="F317" s="220" t="s">
        <v>279</v>
      </c>
      <c r="G317" s="220" t="s">
        <v>288</v>
      </c>
      <c r="H317" s="216">
        <v>45679</v>
      </c>
    </row>
    <row r="318" spans="1:8" customFormat="1">
      <c r="A318" s="216">
        <v>45679</v>
      </c>
      <c r="B318" s="217" t="s">
        <v>7</v>
      </c>
      <c r="C318" s="218" t="s">
        <v>267</v>
      </c>
      <c r="D318" s="222" t="s">
        <v>840</v>
      </c>
      <c r="E318" s="220" t="s">
        <v>841</v>
      </c>
      <c r="F318" s="220" t="s">
        <v>842</v>
      </c>
      <c r="G318" s="220" t="s">
        <v>276</v>
      </c>
      <c r="H318" s="216">
        <v>45679</v>
      </c>
    </row>
    <row r="319" spans="1:8" customFormat="1">
      <c r="A319" s="216">
        <v>45679</v>
      </c>
      <c r="B319" s="217" t="s">
        <v>7</v>
      </c>
      <c r="C319" s="218" t="s">
        <v>267</v>
      </c>
      <c r="D319" s="222" t="s">
        <v>843</v>
      </c>
      <c r="E319" s="220" t="s">
        <v>252</v>
      </c>
      <c r="F319" s="220" t="s">
        <v>833</v>
      </c>
      <c r="G319" s="220" t="s">
        <v>844</v>
      </c>
      <c r="H319" s="216">
        <v>45679</v>
      </c>
    </row>
    <row r="320" spans="1:8" customFormat="1">
      <c r="A320" s="216">
        <v>45679</v>
      </c>
      <c r="B320" s="217" t="s">
        <v>7</v>
      </c>
      <c r="C320" s="218" t="s">
        <v>267</v>
      </c>
      <c r="D320" s="222" t="s">
        <v>843</v>
      </c>
      <c r="E320" s="220" t="s">
        <v>252</v>
      </c>
      <c r="F320" s="220" t="s">
        <v>833</v>
      </c>
      <c r="G320" s="220" t="s">
        <v>844</v>
      </c>
      <c r="H320" s="216">
        <v>45679</v>
      </c>
    </row>
    <row r="321" spans="1:8" customFormat="1">
      <c r="A321" s="216">
        <v>45679</v>
      </c>
      <c r="B321" s="217" t="s">
        <v>7</v>
      </c>
      <c r="C321" s="218" t="s">
        <v>267</v>
      </c>
      <c r="D321" s="222" t="s">
        <v>207</v>
      </c>
      <c r="E321" s="220" t="s">
        <v>208</v>
      </c>
      <c r="F321" s="220" t="s">
        <v>833</v>
      </c>
      <c r="G321" s="220" t="s">
        <v>285</v>
      </c>
      <c r="H321" s="216">
        <v>45679</v>
      </c>
    </row>
    <row r="322" spans="1:8" customFormat="1">
      <c r="A322" s="216">
        <v>45679</v>
      </c>
      <c r="B322" s="217" t="s">
        <v>7</v>
      </c>
      <c r="C322" s="218" t="s">
        <v>267</v>
      </c>
      <c r="D322" s="222" t="s">
        <v>845</v>
      </c>
      <c r="E322" s="220" t="s">
        <v>846</v>
      </c>
      <c r="F322" s="220" t="s">
        <v>833</v>
      </c>
      <c r="G322" s="220" t="s">
        <v>270</v>
      </c>
      <c r="H322" s="216">
        <v>45679</v>
      </c>
    </row>
    <row r="323" spans="1:8" customFormat="1">
      <c r="A323" s="216">
        <v>45679</v>
      </c>
      <c r="B323" s="217" t="s">
        <v>7</v>
      </c>
      <c r="C323" s="218" t="s">
        <v>267</v>
      </c>
      <c r="D323" s="222" t="s">
        <v>847</v>
      </c>
      <c r="E323" s="220" t="s">
        <v>848</v>
      </c>
      <c r="F323" s="220"/>
      <c r="G323" s="220" t="s">
        <v>270</v>
      </c>
      <c r="H323" s="216">
        <v>45679</v>
      </c>
    </row>
    <row r="324" spans="1:8" customFormat="1">
      <c r="A324" s="216">
        <v>45679</v>
      </c>
      <c r="B324" s="217" t="s">
        <v>7</v>
      </c>
      <c r="C324" s="218" t="s">
        <v>267</v>
      </c>
      <c r="D324" s="222" t="s">
        <v>849</v>
      </c>
      <c r="E324" s="220" t="s">
        <v>850</v>
      </c>
      <c r="F324" s="220"/>
      <c r="G324" s="220" t="s">
        <v>770</v>
      </c>
      <c r="H324" s="216">
        <v>45679</v>
      </c>
    </row>
    <row r="325" spans="1:8" customFormat="1">
      <c r="A325" s="216">
        <v>45679</v>
      </c>
      <c r="B325" s="217" t="s">
        <v>7</v>
      </c>
      <c r="C325" s="218" t="s">
        <v>267</v>
      </c>
      <c r="D325" s="222" t="s">
        <v>851</v>
      </c>
      <c r="E325" s="220" t="s">
        <v>852</v>
      </c>
      <c r="F325" s="220" t="s">
        <v>833</v>
      </c>
      <c r="G325" s="220" t="s">
        <v>285</v>
      </c>
      <c r="H325" s="216">
        <v>45679</v>
      </c>
    </row>
    <row r="326" spans="1:8" customFormat="1">
      <c r="A326" s="216">
        <v>45679</v>
      </c>
      <c r="B326" s="217" t="s">
        <v>7</v>
      </c>
      <c r="C326" s="218" t="s">
        <v>267</v>
      </c>
      <c r="D326" s="222" t="s">
        <v>853</v>
      </c>
      <c r="E326" s="220" t="s">
        <v>854</v>
      </c>
      <c r="F326" s="220" t="s">
        <v>833</v>
      </c>
      <c r="G326" s="220" t="s">
        <v>844</v>
      </c>
      <c r="H326" s="216">
        <v>45679</v>
      </c>
    </row>
    <row r="327" spans="1:8" customFormat="1" ht="32.15">
      <c r="A327" s="216">
        <v>45679</v>
      </c>
      <c r="B327" s="217" t="s">
        <v>7</v>
      </c>
      <c r="C327" s="218" t="s">
        <v>267</v>
      </c>
      <c r="D327" s="222" t="s">
        <v>297</v>
      </c>
      <c r="E327" s="220" t="s">
        <v>298</v>
      </c>
      <c r="F327" s="220" t="s">
        <v>299</v>
      </c>
      <c r="G327" s="220" t="s">
        <v>288</v>
      </c>
      <c r="H327" s="216">
        <v>45679</v>
      </c>
    </row>
    <row r="328" spans="1:8" customFormat="1">
      <c r="A328" s="216">
        <v>45679</v>
      </c>
      <c r="B328" s="217" t="s">
        <v>309</v>
      </c>
      <c r="C328" s="218" t="s">
        <v>220</v>
      </c>
      <c r="D328" s="222" t="s">
        <v>855</v>
      </c>
      <c r="E328" s="220" t="s">
        <v>856</v>
      </c>
      <c r="F328" s="220" t="s">
        <v>857</v>
      </c>
      <c r="G328" s="220" t="s">
        <v>545</v>
      </c>
      <c r="H328" s="216">
        <v>45679</v>
      </c>
    </row>
    <row r="329" spans="1:8" customFormat="1">
      <c r="A329" s="216">
        <v>45679</v>
      </c>
      <c r="B329" s="217" t="s">
        <v>309</v>
      </c>
      <c r="C329" s="218" t="s">
        <v>220</v>
      </c>
      <c r="D329" s="222" t="s">
        <v>858</v>
      </c>
      <c r="E329" s="220" t="s">
        <v>859</v>
      </c>
      <c r="F329" s="220"/>
      <c r="G329" s="220" t="s">
        <v>226</v>
      </c>
      <c r="H329" s="216">
        <v>45679</v>
      </c>
    </row>
    <row r="330" spans="1:8" customFormat="1">
      <c r="A330" s="216">
        <v>45679</v>
      </c>
      <c r="B330" s="217" t="s">
        <v>309</v>
      </c>
      <c r="C330" s="218" t="s">
        <v>220</v>
      </c>
      <c r="D330" s="222" t="s">
        <v>860</v>
      </c>
      <c r="E330" s="220" t="s">
        <v>861</v>
      </c>
      <c r="F330" s="220"/>
      <c r="G330" s="220" t="s">
        <v>590</v>
      </c>
      <c r="H330" s="216">
        <v>45679</v>
      </c>
    </row>
    <row r="331" spans="1:8" customFormat="1">
      <c r="A331" s="216">
        <v>45679</v>
      </c>
      <c r="B331" s="217" t="s">
        <v>309</v>
      </c>
      <c r="C331" s="218" t="s">
        <v>220</v>
      </c>
      <c r="D331" s="222" t="s">
        <v>862</v>
      </c>
      <c r="E331" s="220" t="s">
        <v>863</v>
      </c>
      <c r="F331" s="220" t="s">
        <v>864</v>
      </c>
      <c r="G331" s="220" t="s">
        <v>226</v>
      </c>
      <c r="H331" s="216">
        <v>45679</v>
      </c>
    </row>
    <row r="332" spans="1:8" customFormat="1">
      <c r="A332" s="216">
        <v>45679</v>
      </c>
      <c r="B332" s="217" t="s">
        <v>309</v>
      </c>
      <c r="C332" s="218" t="s">
        <v>220</v>
      </c>
      <c r="D332" s="222" t="s">
        <v>865</v>
      </c>
      <c r="E332" s="220" t="s">
        <v>866</v>
      </c>
      <c r="F332" s="220" t="s">
        <v>867</v>
      </c>
      <c r="G332" s="220" t="s">
        <v>868</v>
      </c>
      <c r="H332" s="216">
        <v>45679</v>
      </c>
    </row>
    <row r="333" spans="1:8" customFormat="1">
      <c r="A333" s="216">
        <v>45679</v>
      </c>
      <c r="B333" s="217" t="s">
        <v>309</v>
      </c>
      <c r="C333" s="218" t="s">
        <v>267</v>
      </c>
      <c r="D333" s="222" t="s">
        <v>310</v>
      </c>
      <c r="E333" s="220" t="s">
        <v>311</v>
      </c>
      <c r="F333" s="220" t="s">
        <v>833</v>
      </c>
      <c r="G333" s="220" t="s">
        <v>285</v>
      </c>
      <c r="H333" s="216">
        <v>45679</v>
      </c>
    </row>
    <row r="334" spans="1:8" customFormat="1" ht="21.9">
      <c r="A334" s="216">
        <v>45679</v>
      </c>
      <c r="B334" s="217" t="s">
        <v>309</v>
      </c>
      <c r="C334" s="218" t="s">
        <v>267</v>
      </c>
      <c r="D334" s="222" t="s">
        <v>869</v>
      </c>
      <c r="E334" s="220" t="s">
        <v>330</v>
      </c>
      <c r="F334" s="220" t="s">
        <v>833</v>
      </c>
      <c r="G334" s="220" t="s">
        <v>870</v>
      </c>
      <c r="H334" s="216">
        <v>45679</v>
      </c>
    </row>
    <row r="335" spans="1:8" customFormat="1">
      <c r="A335" s="216">
        <v>45679</v>
      </c>
      <c r="B335" s="217" t="s">
        <v>309</v>
      </c>
      <c r="C335" s="218" t="s">
        <v>267</v>
      </c>
      <c r="D335" s="222" t="s">
        <v>871</v>
      </c>
      <c r="E335" s="220" t="s">
        <v>872</v>
      </c>
      <c r="F335" s="220" t="s">
        <v>833</v>
      </c>
      <c r="G335" s="220" t="s">
        <v>291</v>
      </c>
      <c r="H335" s="216">
        <v>45679</v>
      </c>
    </row>
    <row r="336" spans="1:8" customFormat="1" ht="21.9">
      <c r="A336" s="216">
        <v>45679</v>
      </c>
      <c r="B336" s="217" t="s">
        <v>309</v>
      </c>
      <c r="C336" s="218" t="s">
        <v>267</v>
      </c>
      <c r="D336" s="222" t="s">
        <v>364</v>
      </c>
      <c r="E336" s="220" t="s">
        <v>365</v>
      </c>
      <c r="F336" s="220" t="s">
        <v>833</v>
      </c>
      <c r="G336" s="220" t="s">
        <v>291</v>
      </c>
      <c r="H336" s="216">
        <v>45679</v>
      </c>
    </row>
    <row r="337" spans="1:8" customFormat="1">
      <c r="A337" s="216">
        <v>45679</v>
      </c>
      <c r="B337" s="217" t="s">
        <v>380</v>
      </c>
      <c r="C337" s="218" t="s">
        <v>220</v>
      </c>
      <c r="D337" s="222" t="s">
        <v>873</v>
      </c>
      <c r="E337" s="220" t="s">
        <v>874</v>
      </c>
      <c r="F337" s="220"/>
      <c r="G337" s="220" t="s">
        <v>875</v>
      </c>
      <c r="H337" s="216">
        <v>45679</v>
      </c>
    </row>
    <row r="338" spans="1:8" customFormat="1">
      <c r="A338" s="216">
        <v>45679</v>
      </c>
      <c r="B338" s="217" t="s">
        <v>380</v>
      </c>
      <c r="C338" s="218" t="s">
        <v>267</v>
      </c>
      <c r="D338" s="222" t="s">
        <v>381</v>
      </c>
      <c r="E338" s="220" t="s">
        <v>382</v>
      </c>
      <c r="F338" s="220" t="s">
        <v>383</v>
      </c>
      <c r="G338" s="220" t="s">
        <v>288</v>
      </c>
      <c r="H338" s="216">
        <v>45679</v>
      </c>
    </row>
    <row r="339" spans="1:8" customFormat="1" ht="21.9">
      <c r="A339" s="216">
        <v>45679</v>
      </c>
      <c r="B339" s="217" t="s">
        <v>380</v>
      </c>
      <c r="C339" s="218" t="s">
        <v>267</v>
      </c>
      <c r="D339" s="222" t="s">
        <v>876</v>
      </c>
      <c r="E339" s="220" t="s">
        <v>877</v>
      </c>
      <c r="F339" s="220"/>
      <c r="G339" s="220" t="s">
        <v>731</v>
      </c>
      <c r="H339" s="216">
        <v>45679</v>
      </c>
    </row>
    <row r="340" spans="1:8" customFormat="1">
      <c r="A340" s="216">
        <v>45679</v>
      </c>
      <c r="B340" s="217" t="s">
        <v>423</v>
      </c>
      <c r="C340" s="218" t="s">
        <v>220</v>
      </c>
      <c r="D340" s="222" t="s">
        <v>878</v>
      </c>
      <c r="E340" s="220" t="s">
        <v>879</v>
      </c>
      <c r="F340" s="220" t="s">
        <v>833</v>
      </c>
      <c r="G340" s="220" t="s">
        <v>880</v>
      </c>
      <c r="H340" s="216">
        <v>45679</v>
      </c>
    </row>
    <row r="341" spans="1:8" customFormat="1">
      <c r="A341" s="216">
        <v>45679</v>
      </c>
      <c r="B341" s="217" t="s">
        <v>423</v>
      </c>
      <c r="C341" s="218" t="s">
        <v>220</v>
      </c>
      <c r="D341" s="222" t="s">
        <v>822</v>
      </c>
      <c r="E341" s="220" t="s">
        <v>484</v>
      </c>
      <c r="F341" s="220" t="s">
        <v>833</v>
      </c>
      <c r="G341" s="220" t="s">
        <v>314</v>
      </c>
      <c r="H341" s="216">
        <v>45679</v>
      </c>
    </row>
    <row r="342" spans="1:8" customFormat="1" ht="21.9">
      <c r="A342" s="216">
        <v>45679</v>
      </c>
      <c r="B342" s="217" t="s">
        <v>423</v>
      </c>
      <c r="C342" s="218" t="s">
        <v>220</v>
      </c>
      <c r="D342" s="222" t="s">
        <v>881</v>
      </c>
      <c r="E342" s="220" t="s">
        <v>882</v>
      </c>
      <c r="F342" s="220" t="s">
        <v>883</v>
      </c>
      <c r="G342" s="220" t="s">
        <v>884</v>
      </c>
      <c r="H342" s="216">
        <v>45679</v>
      </c>
    </row>
    <row r="343" spans="1:8" customFormat="1" ht="21.9">
      <c r="A343" s="216">
        <v>45679</v>
      </c>
      <c r="B343" s="217" t="s">
        <v>423</v>
      </c>
      <c r="C343" s="218" t="s">
        <v>267</v>
      </c>
      <c r="D343" s="222" t="s">
        <v>460</v>
      </c>
      <c r="E343" s="220" t="s">
        <v>461</v>
      </c>
      <c r="F343" s="220" t="s">
        <v>885</v>
      </c>
      <c r="G343" s="220" t="s">
        <v>288</v>
      </c>
      <c r="H343" s="216">
        <v>45679</v>
      </c>
    </row>
    <row r="344" spans="1:8" customFormat="1">
      <c r="A344" s="216">
        <v>45679</v>
      </c>
      <c r="B344" s="217" t="s">
        <v>423</v>
      </c>
      <c r="C344" s="218" t="s">
        <v>267</v>
      </c>
      <c r="D344" s="222" t="s">
        <v>878</v>
      </c>
      <c r="E344" s="220" t="s">
        <v>879</v>
      </c>
      <c r="F344" s="220" t="s">
        <v>833</v>
      </c>
      <c r="G344" s="220" t="s">
        <v>291</v>
      </c>
      <c r="H344" s="216">
        <v>45679</v>
      </c>
    </row>
    <row r="345" spans="1:8" customFormat="1" ht="21.9">
      <c r="A345" s="216">
        <v>45679</v>
      </c>
      <c r="B345" s="217" t="s">
        <v>423</v>
      </c>
      <c r="C345" s="218" t="s">
        <v>267</v>
      </c>
      <c r="D345" s="222" t="s">
        <v>886</v>
      </c>
      <c r="E345" s="220" t="s">
        <v>887</v>
      </c>
      <c r="F345" s="220" t="s">
        <v>888</v>
      </c>
      <c r="G345" s="220" t="s">
        <v>276</v>
      </c>
      <c r="H345" s="216">
        <v>45679</v>
      </c>
    </row>
    <row r="346" spans="1:8" customFormat="1">
      <c r="A346" s="216">
        <v>45679</v>
      </c>
      <c r="B346" s="217" t="s">
        <v>423</v>
      </c>
      <c r="C346" s="218" t="s">
        <v>267</v>
      </c>
      <c r="D346" s="222" t="s">
        <v>427</v>
      </c>
      <c r="E346" s="220" t="s">
        <v>428</v>
      </c>
      <c r="F346" s="220" t="s">
        <v>833</v>
      </c>
      <c r="G346" s="220" t="s">
        <v>285</v>
      </c>
      <c r="H346" s="216">
        <v>45679</v>
      </c>
    </row>
    <row r="347" spans="1:8" customFormat="1">
      <c r="A347" s="216">
        <v>45679</v>
      </c>
      <c r="B347" s="217" t="s">
        <v>423</v>
      </c>
      <c r="C347" s="218" t="s">
        <v>267</v>
      </c>
      <c r="D347" s="222" t="s">
        <v>822</v>
      </c>
      <c r="E347" s="220" t="s">
        <v>484</v>
      </c>
      <c r="F347" s="220" t="s">
        <v>833</v>
      </c>
      <c r="G347" s="220" t="s">
        <v>291</v>
      </c>
      <c r="H347" s="216">
        <v>45679</v>
      </c>
    </row>
    <row r="348" spans="1:8" customFormat="1">
      <c r="A348" s="216">
        <v>45679</v>
      </c>
      <c r="B348" s="217" t="s">
        <v>423</v>
      </c>
      <c r="C348" s="218" t="s">
        <v>267</v>
      </c>
      <c r="D348" s="222" t="s">
        <v>889</v>
      </c>
      <c r="E348" s="220" t="s">
        <v>890</v>
      </c>
      <c r="F348" s="220" t="s">
        <v>833</v>
      </c>
      <c r="G348" s="220" t="s">
        <v>270</v>
      </c>
      <c r="H348" s="216">
        <v>45679</v>
      </c>
    </row>
    <row r="349" spans="1:8" customFormat="1">
      <c r="A349" s="216">
        <v>45679</v>
      </c>
      <c r="B349" s="217" t="s">
        <v>423</v>
      </c>
      <c r="C349" s="218" t="s">
        <v>267</v>
      </c>
      <c r="D349" s="222" t="s">
        <v>891</v>
      </c>
      <c r="E349" s="220" t="s">
        <v>890</v>
      </c>
      <c r="F349" s="220" t="s">
        <v>833</v>
      </c>
      <c r="G349" s="220" t="s">
        <v>270</v>
      </c>
      <c r="H349" s="216">
        <v>45679</v>
      </c>
    </row>
    <row r="350" spans="1:8" customFormat="1" ht="21.9">
      <c r="A350" s="216">
        <v>45679</v>
      </c>
      <c r="B350" s="217" t="s">
        <v>423</v>
      </c>
      <c r="C350" s="218" t="s">
        <v>267</v>
      </c>
      <c r="D350" s="222" t="s">
        <v>881</v>
      </c>
      <c r="E350" s="220" t="s">
        <v>882</v>
      </c>
      <c r="F350" s="220" t="s">
        <v>883</v>
      </c>
      <c r="G350" s="220" t="s">
        <v>892</v>
      </c>
      <c r="H350" s="216">
        <v>45679</v>
      </c>
    </row>
    <row r="351" spans="1:8" customFormat="1" ht="32.15">
      <c r="A351" s="216">
        <v>45596</v>
      </c>
      <c r="B351" s="217" t="s">
        <v>7</v>
      </c>
      <c r="C351" s="218" t="s">
        <v>220</v>
      </c>
      <c r="D351" s="230" t="s">
        <v>893</v>
      </c>
      <c r="E351" s="220" t="s">
        <v>894</v>
      </c>
      <c r="F351" s="220"/>
      <c r="G351" s="220" t="s">
        <v>895</v>
      </c>
      <c r="H351" s="216">
        <v>45596</v>
      </c>
    </row>
    <row r="352" spans="1:8" customFormat="1">
      <c r="A352" s="216">
        <v>45596</v>
      </c>
      <c r="B352" s="217" t="s">
        <v>7</v>
      </c>
      <c r="C352" s="218" t="s">
        <v>220</v>
      </c>
      <c r="D352" s="230" t="s">
        <v>277</v>
      </c>
      <c r="E352" s="220" t="s">
        <v>278</v>
      </c>
      <c r="F352" s="220" t="s">
        <v>279</v>
      </c>
      <c r="G352" s="220" t="s">
        <v>896</v>
      </c>
      <c r="H352" s="216">
        <v>45596</v>
      </c>
    </row>
    <row r="353" spans="1:8" customFormat="1" ht="21.9">
      <c r="A353" s="216">
        <v>45596</v>
      </c>
      <c r="B353" s="217" t="s">
        <v>7</v>
      </c>
      <c r="C353" s="218" t="s">
        <v>220</v>
      </c>
      <c r="D353" s="230" t="s">
        <v>494</v>
      </c>
      <c r="E353" s="220" t="s">
        <v>495</v>
      </c>
      <c r="F353" s="220"/>
      <c r="G353" s="220" t="s">
        <v>897</v>
      </c>
      <c r="H353" s="216">
        <v>45596</v>
      </c>
    </row>
    <row r="354" spans="1:8" customFormat="1" ht="21.9">
      <c r="A354" s="216">
        <v>45596</v>
      </c>
      <c r="B354" s="217" t="s">
        <v>7</v>
      </c>
      <c r="C354" s="218" t="s">
        <v>220</v>
      </c>
      <c r="D354" s="222" t="s">
        <v>876</v>
      </c>
      <c r="E354" s="220" t="s">
        <v>877</v>
      </c>
      <c r="F354" s="220"/>
      <c r="G354" s="220" t="s">
        <v>898</v>
      </c>
      <c r="H354" s="216">
        <v>45596</v>
      </c>
    </row>
    <row r="355" spans="1:8" customFormat="1">
      <c r="A355" s="216">
        <v>45596</v>
      </c>
      <c r="B355" s="217" t="s">
        <v>7</v>
      </c>
      <c r="C355" s="218" t="s">
        <v>220</v>
      </c>
      <c r="D355" s="222" t="s">
        <v>840</v>
      </c>
      <c r="E355" s="220" t="s">
        <v>841</v>
      </c>
      <c r="F355" s="220" t="s">
        <v>842</v>
      </c>
      <c r="G355" s="220" t="s">
        <v>899</v>
      </c>
      <c r="H355" s="216">
        <v>45596</v>
      </c>
    </row>
    <row r="356" spans="1:8" customFormat="1">
      <c r="A356" s="216">
        <v>45596</v>
      </c>
      <c r="B356" s="217" t="s">
        <v>7</v>
      </c>
      <c r="C356" s="218" t="s">
        <v>220</v>
      </c>
      <c r="D356" s="222" t="s">
        <v>900</v>
      </c>
      <c r="E356" s="220" t="s">
        <v>901</v>
      </c>
      <c r="F356" s="220"/>
      <c r="G356" s="220" t="s">
        <v>226</v>
      </c>
      <c r="H356" s="216">
        <v>45596</v>
      </c>
    </row>
    <row r="357" spans="1:8" customFormat="1">
      <c r="A357" s="216">
        <v>45596</v>
      </c>
      <c r="B357" s="217" t="s">
        <v>7</v>
      </c>
      <c r="C357" s="218" t="s">
        <v>220</v>
      </c>
      <c r="D357" s="222" t="s">
        <v>902</v>
      </c>
      <c r="E357" s="220" t="s">
        <v>903</v>
      </c>
      <c r="F357" s="220"/>
      <c r="G357" s="220" t="s">
        <v>226</v>
      </c>
      <c r="H357" s="216">
        <v>45596</v>
      </c>
    </row>
    <row r="358" spans="1:8" customFormat="1">
      <c r="A358" s="216">
        <v>45596</v>
      </c>
      <c r="B358" s="217" t="s">
        <v>7</v>
      </c>
      <c r="C358" s="218" t="s">
        <v>220</v>
      </c>
      <c r="D358" s="222" t="s">
        <v>904</v>
      </c>
      <c r="E358" s="220" t="s">
        <v>218</v>
      </c>
      <c r="F358" s="220"/>
      <c r="G358" s="220" t="s">
        <v>905</v>
      </c>
      <c r="H358" s="216">
        <v>45596</v>
      </c>
    </row>
    <row r="359" spans="1:8" customFormat="1">
      <c r="A359" s="216">
        <v>45596</v>
      </c>
      <c r="B359" s="217" t="s">
        <v>7</v>
      </c>
      <c r="C359" s="218" t="s">
        <v>220</v>
      </c>
      <c r="D359" s="222" t="s">
        <v>229</v>
      </c>
      <c r="E359" s="220" t="s">
        <v>230</v>
      </c>
      <c r="F359" s="220" t="s">
        <v>231</v>
      </c>
      <c r="G359" s="220" t="s">
        <v>906</v>
      </c>
      <c r="H359" s="216">
        <v>45596</v>
      </c>
    </row>
    <row r="360" spans="1:8" customFormat="1">
      <c r="A360" s="216">
        <v>45596</v>
      </c>
      <c r="B360" s="217" t="s">
        <v>7</v>
      </c>
      <c r="C360" s="218" t="s">
        <v>220</v>
      </c>
      <c r="D360" s="222" t="s">
        <v>229</v>
      </c>
      <c r="E360" s="220" t="s">
        <v>230</v>
      </c>
      <c r="F360" s="220" t="s">
        <v>233</v>
      </c>
      <c r="G360" s="220" t="s">
        <v>907</v>
      </c>
      <c r="H360" s="216">
        <v>45596</v>
      </c>
    </row>
    <row r="361" spans="1:8" customFormat="1">
      <c r="A361" s="216">
        <v>45596</v>
      </c>
      <c r="B361" s="217" t="s">
        <v>7</v>
      </c>
      <c r="C361" s="218" t="s">
        <v>220</v>
      </c>
      <c r="D361" s="222" t="s">
        <v>207</v>
      </c>
      <c r="E361" s="220" t="s">
        <v>208</v>
      </c>
      <c r="F361" s="220"/>
      <c r="G361" s="220" t="s">
        <v>908</v>
      </c>
      <c r="H361" s="216">
        <v>45596</v>
      </c>
    </row>
    <row r="362" spans="1:8" customFormat="1" ht="21.9">
      <c r="A362" s="216">
        <v>45596</v>
      </c>
      <c r="B362" s="217" t="s">
        <v>7</v>
      </c>
      <c r="C362" s="218" t="s">
        <v>220</v>
      </c>
      <c r="D362" s="222" t="s">
        <v>909</v>
      </c>
      <c r="E362" s="220" t="s">
        <v>910</v>
      </c>
      <c r="F362" s="220" t="s">
        <v>911</v>
      </c>
      <c r="G362" s="220" t="s">
        <v>912</v>
      </c>
      <c r="H362" s="216">
        <v>45596</v>
      </c>
    </row>
    <row r="363" spans="1:8" customFormat="1" ht="21.9">
      <c r="A363" s="216">
        <v>45596</v>
      </c>
      <c r="B363" s="217" t="s">
        <v>7</v>
      </c>
      <c r="C363" s="218" t="s">
        <v>220</v>
      </c>
      <c r="D363" s="222" t="s">
        <v>909</v>
      </c>
      <c r="E363" s="220" t="s">
        <v>910</v>
      </c>
      <c r="F363" s="220" t="s">
        <v>913</v>
      </c>
      <c r="G363" s="220" t="s">
        <v>914</v>
      </c>
      <c r="H363" s="216">
        <v>45596</v>
      </c>
    </row>
    <row r="364" spans="1:8" customFormat="1" ht="32.15">
      <c r="A364" s="216">
        <v>45596</v>
      </c>
      <c r="B364" s="217" t="s">
        <v>7</v>
      </c>
      <c r="C364" s="218" t="s">
        <v>220</v>
      </c>
      <c r="D364" s="222" t="s">
        <v>297</v>
      </c>
      <c r="E364" s="220" t="s">
        <v>298</v>
      </c>
      <c r="F364" s="220" t="s">
        <v>299</v>
      </c>
      <c r="G364" s="220" t="s">
        <v>915</v>
      </c>
      <c r="H364" s="216">
        <v>45596</v>
      </c>
    </row>
    <row r="365" spans="1:8" customFormat="1" ht="32.15">
      <c r="A365" s="216">
        <v>45596</v>
      </c>
      <c r="B365" s="217" t="s">
        <v>7</v>
      </c>
      <c r="C365" s="218" t="s">
        <v>220</v>
      </c>
      <c r="D365" s="222" t="s">
        <v>297</v>
      </c>
      <c r="E365" s="220" t="s">
        <v>298</v>
      </c>
      <c r="F365" s="220" t="s">
        <v>300</v>
      </c>
      <c r="G365" s="220" t="s">
        <v>915</v>
      </c>
      <c r="H365" s="216">
        <v>45596</v>
      </c>
    </row>
    <row r="366" spans="1:8" customFormat="1">
      <c r="A366" s="216">
        <v>45596</v>
      </c>
      <c r="B366" s="217" t="s">
        <v>7</v>
      </c>
      <c r="C366" s="218" t="s">
        <v>220</v>
      </c>
      <c r="D366" s="222" t="s">
        <v>304</v>
      </c>
      <c r="E366" s="220" t="s">
        <v>305</v>
      </c>
      <c r="F366" s="220" t="s">
        <v>306</v>
      </c>
      <c r="G366" s="220" t="s">
        <v>916</v>
      </c>
      <c r="H366" s="216">
        <v>45596</v>
      </c>
    </row>
    <row r="367" spans="1:8" customFormat="1">
      <c r="A367" s="216">
        <v>45596</v>
      </c>
      <c r="B367" s="217" t="s">
        <v>7</v>
      </c>
      <c r="C367" s="218" t="s">
        <v>267</v>
      </c>
      <c r="D367" s="222" t="s">
        <v>830</v>
      </c>
      <c r="E367" s="220" t="s">
        <v>831</v>
      </c>
      <c r="F367" s="220" t="s">
        <v>832</v>
      </c>
      <c r="G367" s="220" t="s">
        <v>917</v>
      </c>
      <c r="H367" s="216">
        <v>45596</v>
      </c>
    </row>
    <row r="368" spans="1:8" customFormat="1">
      <c r="A368" s="216">
        <v>45596</v>
      </c>
      <c r="B368" s="217" t="s">
        <v>7</v>
      </c>
      <c r="C368" s="218" t="s">
        <v>267</v>
      </c>
      <c r="D368" s="222" t="s">
        <v>273</v>
      </c>
      <c r="E368" s="220" t="s">
        <v>274</v>
      </c>
      <c r="F368" s="220" t="s">
        <v>275</v>
      </c>
      <c r="G368" s="220" t="s">
        <v>288</v>
      </c>
      <c r="H368" s="216">
        <v>45596</v>
      </c>
    </row>
    <row r="369" spans="1:8" customFormat="1" ht="21.9">
      <c r="A369" s="216">
        <v>45596</v>
      </c>
      <c r="B369" s="217" t="s">
        <v>7</v>
      </c>
      <c r="C369" s="218" t="s">
        <v>267</v>
      </c>
      <c r="D369" s="222" t="s">
        <v>837</v>
      </c>
      <c r="E369" s="220" t="s">
        <v>838</v>
      </c>
      <c r="F369" s="220" t="s">
        <v>839</v>
      </c>
      <c r="G369" s="220" t="s">
        <v>917</v>
      </c>
      <c r="H369" s="216">
        <v>45596</v>
      </c>
    </row>
    <row r="370" spans="1:8" customFormat="1" ht="21.9">
      <c r="A370" s="216">
        <v>45596</v>
      </c>
      <c r="B370" s="217" t="s">
        <v>7</v>
      </c>
      <c r="C370" s="218" t="s">
        <v>267</v>
      </c>
      <c r="D370" s="222" t="s">
        <v>600</v>
      </c>
      <c r="E370" s="220" t="s">
        <v>281</v>
      </c>
      <c r="F370" s="220"/>
      <c r="G370" s="220" t="s">
        <v>918</v>
      </c>
      <c r="H370" s="216">
        <v>45596</v>
      </c>
    </row>
    <row r="371" spans="1:8" customFormat="1">
      <c r="A371" s="216">
        <v>45596</v>
      </c>
      <c r="B371" s="217" t="s">
        <v>7</v>
      </c>
      <c r="C371" s="218" t="s">
        <v>267</v>
      </c>
      <c r="D371" s="222" t="s">
        <v>840</v>
      </c>
      <c r="E371" s="220" t="s">
        <v>841</v>
      </c>
      <c r="F371" s="220" t="s">
        <v>842</v>
      </c>
      <c r="G371" s="220" t="s">
        <v>917</v>
      </c>
      <c r="H371" s="216">
        <v>45596</v>
      </c>
    </row>
    <row r="372" spans="1:8" customFormat="1">
      <c r="A372" s="216">
        <v>45596</v>
      </c>
      <c r="B372" s="217" t="s">
        <v>7</v>
      </c>
      <c r="C372" s="218" t="s">
        <v>267</v>
      </c>
      <c r="D372" s="222" t="s">
        <v>499</v>
      </c>
      <c r="E372" s="220" t="s">
        <v>500</v>
      </c>
      <c r="F372" s="220"/>
      <c r="G372" s="220" t="s">
        <v>919</v>
      </c>
      <c r="H372" s="216">
        <v>45596</v>
      </c>
    </row>
    <row r="373" spans="1:8" customFormat="1">
      <c r="A373" s="216">
        <v>45596</v>
      </c>
      <c r="B373" s="217" t="s">
        <v>7</v>
      </c>
      <c r="C373" s="218" t="s">
        <v>267</v>
      </c>
      <c r="D373" s="222" t="s">
        <v>229</v>
      </c>
      <c r="E373" s="220" t="s">
        <v>230</v>
      </c>
      <c r="F373" s="220" t="s">
        <v>231</v>
      </c>
      <c r="G373" s="220" t="s">
        <v>287</v>
      </c>
      <c r="H373" s="216">
        <v>45596</v>
      </c>
    </row>
    <row r="374" spans="1:8" customFormat="1">
      <c r="A374" s="216">
        <v>45596</v>
      </c>
      <c r="B374" s="217" t="s">
        <v>7</v>
      </c>
      <c r="C374" s="218" t="s">
        <v>267</v>
      </c>
      <c r="D374" s="222" t="s">
        <v>229</v>
      </c>
      <c r="E374" s="220" t="s">
        <v>230</v>
      </c>
      <c r="F374" s="220" t="s">
        <v>233</v>
      </c>
      <c r="G374" s="220" t="s">
        <v>287</v>
      </c>
      <c r="H374" s="216">
        <v>45596</v>
      </c>
    </row>
    <row r="375" spans="1:8" customFormat="1">
      <c r="A375" s="216">
        <v>45596</v>
      </c>
      <c r="B375" s="217" t="s">
        <v>7</v>
      </c>
      <c r="C375" s="218" t="s">
        <v>267</v>
      </c>
      <c r="D375" s="222" t="s">
        <v>204</v>
      </c>
      <c r="E375" s="220" t="s">
        <v>205</v>
      </c>
      <c r="F375" s="220"/>
      <c r="G375" s="220" t="s">
        <v>587</v>
      </c>
      <c r="H375" s="216">
        <v>45596</v>
      </c>
    </row>
    <row r="376" spans="1:8" customFormat="1">
      <c r="A376" s="216">
        <v>45596</v>
      </c>
      <c r="B376" s="217" t="s">
        <v>7</v>
      </c>
      <c r="C376" s="218" t="s">
        <v>267</v>
      </c>
      <c r="D376" s="222" t="s">
        <v>650</v>
      </c>
      <c r="E376" s="220" t="s">
        <v>651</v>
      </c>
      <c r="F376" s="220" t="s">
        <v>920</v>
      </c>
      <c r="G376" s="220" t="s">
        <v>921</v>
      </c>
      <c r="H376" s="216">
        <v>45596</v>
      </c>
    </row>
    <row r="377" spans="1:8" customFormat="1">
      <c r="A377" s="216">
        <v>45596</v>
      </c>
      <c r="B377" s="217" t="s">
        <v>7</v>
      </c>
      <c r="C377" s="218" t="s">
        <v>267</v>
      </c>
      <c r="D377" s="222" t="s">
        <v>922</v>
      </c>
      <c r="E377" s="220" t="s">
        <v>236</v>
      </c>
      <c r="F377" s="220" t="s">
        <v>923</v>
      </c>
      <c r="G377" s="220" t="s">
        <v>288</v>
      </c>
      <c r="H377" s="216">
        <v>45596</v>
      </c>
    </row>
    <row r="378" spans="1:8" customFormat="1" ht="21.9">
      <c r="A378" s="216">
        <v>45596</v>
      </c>
      <c r="B378" s="217" t="s">
        <v>7</v>
      </c>
      <c r="C378" s="218" t="s">
        <v>267</v>
      </c>
      <c r="D378" s="222" t="s">
        <v>924</v>
      </c>
      <c r="E378" s="220" t="s">
        <v>925</v>
      </c>
      <c r="F378" s="220" t="s">
        <v>926</v>
      </c>
      <c r="G378" s="220" t="s">
        <v>471</v>
      </c>
      <c r="H378" s="216"/>
    </row>
    <row r="379" spans="1:8" customFormat="1">
      <c r="A379" s="216">
        <v>45596</v>
      </c>
      <c r="B379" s="217" t="s">
        <v>7</v>
      </c>
      <c r="C379" s="218" t="s">
        <v>267</v>
      </c>
      <c r="D379" s="222" t="s">
        <v>213</v>
      </c>
      <c r="E379" s="220" t="s">
        <v>927</v>
      </c>
      <c r="F379" s="220"/>
      <c r="G379" s="220" t="s">
        <v>270</v>
      </c>
      <c r="H379" s="216">
        <v>45596</v>
      </c>
    </row>
    <row r="380" spans="1:8" customFormat="1">
      <c r="A380" s="216">
        <v>45596</v>
      </c>
      <c r="B380" s="217" t="s">
        <v>7</v>
      </c>
      <c r="C380" s="218" t="s">
        <v>267</v>
      </c>
      <c r="D380" s="222" t="s">
        <v>419</v>
      </c>
      <c r="E380" s="220" t="s">
        <v>269</v>
      </c>
      <c r="F380" s="220" t="s">
        <v>928</v>
      </c>
      <c r="G380" s="220" t="s">
        <v>917</v>
      </c>
      <c r="H380" s="216">
        <v>45596</v>
      </c>
    </row>
    <row r="381" spans="1:8" customFormat="1">
      <c r="A381" s="221">
        <v>45596</v>
      </c>
      <c r="B381" s="217" t="s">
        <v>7</v>
      </c>
      <c r="C381" s="218" t="s">
        <v>267</v>
      </c>
      <c r="D381" s="222" t="s">
        <v>847</v>
      </c>
      <c r="E381" s="220" t="s">
        <v>848</v>
      </c>
      <c r="F381" s="220"/>
      <c r="G381" s="220" t="s">
        <v>929</v>
      </c>
      <c r="H381" s="231">
        <v>45596</v>
      </c>
    </row>
    <row r="382" spans="1:8" customFormat="1" ht="21.9">
      <c r="A382" s="221">
        <v>45596</v>
      </c>
      <c r="B382" s="217" t="s">
        <v>7</v>
      </c>
      <c r="C382" s="218" t="s">
        <v>267</v>
      </c>
      <c r="D382" s="219" t="s">
        <v>930</v>
      </c>
      <c r="E382" s="220" t="s">
        <v>931</v>
      </c>
      <c r="F382" s="220" t="s">
        <v>932</v>
      </c>
      <c r="G382" s="220" t="s">
        <v>917</v>
      </c>
      <c r="H382" s="231">
        <v>45596</v>
      </c>
    </row>
    <row r="383" spans="1:8" customFormat="1">
      <c r="A383" s="221">
        <v>45596</v>
      </c>
      <c r="B383" s="217" t="s">
        <v>7</v>
      </c>
      <c r="C383" s="218" t="s">
        <v>267</v>
      </c>
      <c r="D383" s="222" t="s">
        <v>826</v>
      </c>
      <c r="E383" s="220" t="s">
        <v>827</v>
      </c>
      <c r="F383" s="220" t="s">
        <v>828</v>
      </c>
      <c r="G383" s="220" t="s">
        <v>471</v>
      </c>
      <c r="H383" s="231"/>
    </row>
    <row r="384" spans="1:8" customFormat="1" ht="21.9">
      <c r="A384" s="221">
        <v>45596</v>
      </c>
      <c r="B384" s="217" t="s">
        <v>7</v>
      </c>
      <c r="C384" s="218" t="s">
        <v>267</v>
      </c>
      <c r="D384" s="222" t="s">
        <v>656</v>
      </c>
      <c r="E384" s="220" t="s">
        <v>657</v>
      </c>
      <c r="F384" s="220" t="s">
        <v>658</v>
      </c>
      <c r="G384" s="220" t="s">
        <v>917</v>
      </c>
      <c r="H384" s="231">
        <v>45596</v>
      </c>
    </row>
    <row r="385" spans="1:8" customFormat="1">
      <c r="A385" s="221">
        <v>45596</v>
      </c>
      <c r="B385" s="217" t="s">
        <v>309</v>
      </c>
      <c r="C385" s="218" t="s">
        <v>220</v>
      </c>
      <c r="D385" s="222" t="s">
        <v>323</v>
      </c>
      <c r="E385" s="220" t="s">
        <v>368</v>
      </c>
      <c r="F385" s="220"/>
      <c r="G385" s="220" t="s">
        <v>933</v>
      </c>
      <c r="H385" s="231">
        <v>45596</v>
      </c>
    </row>
    <row r="386" spans="1:8" customFormat="1" ht="32.15">
      <c r="A386" s="221">
        <v>45596</v>
      </c>
      <c r="B386" s="217" t="s">
        <v>309</v>
      </c>
      <c r="C386" s="218" t="s">
        <v>220</v>
      </c>
      <c r="D386" s="222" t="s">
        <v>934</v>
      </c>
      <c r="E386" s="220" t="s">
        <v>894</v>
      </c>
      <c r="F386" s="220"/>
      <c r="G386" s="220" t="s">
        <v>895</v>
      </c>
      <c r="H386" s="231">
        <v>45596</v>
      </c>
    </row>
    <row r="387" spans="1:8" customFormat="1">
      <c r="A387" s="221">
        <v>45596</v>
      </c>
      <c r="B387" s="217" t="s">
        <v>309</v>
      </c>
      <c r="C387" s="218" t="s">
        <v>220</v>
      </c>
      <c r="D387" s="222" t="s">
        <v>935</v>
      </c>
      <c r="E387" s="220" t="s">
        <v>936</v>
      </c>
      <c r="F387" s="220" t="s">
        <v>937</v>
      </c>
      <c r="G387" s="220" t="s">
        <v>938</v>
      </c>
      <c r="H387" s="231">
        <v>45596</v>
      </c>
    </row>
    <row r="388" spans="1:8" customFormat="1">
      <c r="A388" s="221">
        <v>45596</v>
      </c>
      <c r="B388" s="217" t="s">
        <v>309</v>
      </c>
      <c r="C388" s="218" t="s">
        <v>220</v>
      </c>
      <c r="D388" s="222" t="s">
        <v>935</v>
      </c>
      <c r="E388" s="220" t="s">
        <v>936</v>
      </c>
      <c r="F388" s="220" t="s">
        <v>939</v>
      </c>
      <c r="G388" s="220" t="s">
        <v>938</v>
      </c>
      <c r="H388" s="231">
        <v>45596</v>
      </c>
    </row>
    <row r="389" spans="1:8" customFormat="1">
      <c r="A389" s="221">
        <v>45596</v>
      </c>
      <c r="B389" s="217" t="s">
        <v>309</v>
      </c>
      <c r="C389" s="218" t="s">
        <v>220</v>
      </c>
      <c r="D389" s="222" t="s">
        <v>312</v>
      </c>
      <c r="E389" s="220" t="s">
        <v>313</v>
      </c>
      <c r="F389" s="220"/>
      <c r="G389" s="220" t="s">
        <v>940</v>
      </c>
      <c r="H389" s="231">
        <v>45596</v>
      </c>
    </row>
    <row r="390" spans="1:8" customFormat="1">
      <c r="A390" s="221">
        <v>45596</v>
      </c>
      <c r="B390" s="217" t="s">
        <v>309</v>
      </c>
      <c r="C390" s="218" t="s">
        <v>220</v>
      </c>
      <c r="D390" s="222" t="s">
        <v>679</v>
      </c>
      <c r="E390" s="220" t="s">
        <v>680</v>
      </c>
      <c r="F390" s="220"/>
      <c r="G390" s="220" t="s">
        <v>941</v>
      </c>
      <c r="H390" s="231">
        <v>45596</v>
      </c>
    </row>
    <row r="391" spans="1:8" customFormat="1">
      <c r="A391" s="221">
        <v>45596</v>
      </c>
      <c r="B391" s="217" t="s">
        <v>309</v>
      </c>
      <c r="C391" s="218" t="s">
        <v>220</v>
      </c>
      <c r="D391" s="222" t="s">
        <v>942</v>
      </c>
      <c r="E391" s="220" t="s">
        <v>236</v>
      </c>
      <c r="F391" s="220"/>
      <c r="G391" s="220" t="s">
        <v>226</v>
      </c>
      <c r="H391" s="231">
        <v>45596</v>
      </c>
    </row>
    <row r="392" spans="1:8" customFormat="1">
      <c r="A392" s="221">
        <v>45596</v>
      </c>
      <c r="B392" s="217" t="s">
        <v>309</v>
      </c>
      <c r="C392" s="218" t="s">
        <v>220</v>
      </c>
      <c r="D392" s="222" t="s">
        <v>943</v>
      </c>
      <c r="E392" s="220" t="s">
        <v>903</v>
      </c>
      <c r="F392" s="220"/>
      <c r="G392" s="220" t="s">
        <v>226</v>
      </c>
      <c r="H392" s="231">
        <v>45596</v>
      </c>
    </row>
    <row r="393" spans="1:8" customFormat="1">
      <c r="A393" s="221">
        <v>45596</v>
      </c>
      <c r="B393" s="217" t="s">
        <v>309</v>
      </c>
      <c r="C393" s="218" t="s">
        <v>220</v>
      </c>
      <c r="D393" s="222" t="s">
        <v>944</v>
      </c>
      <c r="E393" s="220" t="s">
        <v>936</v>
      </c>
      <c r="F393" s="220" t="s">
        <v>945</v>
      </c>
      <c r="G393" s="220" t="s">
        <v>946</v>
      </c>
      <c r="H393" s="231">
        <v>45596</v>
      </c>
    </row>
    <row r="394" spans="1:8" customFormat="1">
      <c r="A394" s="221">
        <v>45596</v>
      </c>
      <c r="B394" s="217" t="s">
        <v>309</v>
      </c>
      <c r="C394" s="218" t="s">
        <v>220</v>
      </c>
      <c r="D394" s="222" t="s">
        <v>944</v>
      </c>
      <c r="E394" s="220" t="s">
        <v>936</v>
      </c>
      <c r="F394" s="220" t="s">
        <v>947</v>
      </c>
      <c r="G394" s="220" t="s">
        <v>946</v>
      </c>
      <c r="H394" s="231">
        <v>45596</v>
      </c>
    </row>
    <row r="395" spans="1:8" customFormat="1">
      <c r="A395" s="221">
        <v>45596</v>
      </c>
      <c r="B395" s="217" t="s">
        <v>309</v>
      </c>
      <c r="C395" s="218" t="s">
        <v>220</v>
      </c>
      <c r="D395" s="222" t="s">
        <v>944</v>
      </c>
      <c r="E395" s="220" t="s">
        <v>936</v>
      </c>
      <c r="F395" s="220" t="s">
        <v>948</v>
      </c>
      <c r="G395" s="220" t="s">
        <v>946</v>
      </c>
      <c r="H395" s="231">
        <v>45596</v>
      </c>
    </row>
    <row r="396" spans="1:8" customFormat="1">
      <c r="A396" s="221">
        <v>45596</v>
      </c>
      <c r="B396" s="217" t="s">
        <v>309</v>
      </c>
      <c r="C396" s="218" t="s">
        <v>220</v>
      </c>
      <c r="D396" s="222" t="s">
        <v>944</v>
      </c>
      <c r="E396" s="220" t="s">
        <v>936</v>
      </c>
      <c r="F396" s="220" t="s">
        <v>949</v>
      </c>
      <c r="G396" s="220" t="s">
        <v>946</v>
      </c>
      <c r="H396" s="231">
        <v>45596</v>
      </c>
    </row>
    <row r="397" spans="1:8" customFormat="1" ht="21.9">
      <c r="A397" s="221">
        <v>45596</v>
      </c>
      <c r="B397" s="217" t="s">
        <v>309</v>
      </c>
      <c r="C397" s="218" t="s">
        <v>220</v>
      </c>
      <c r="D397" s="222" t="s">
        <v>950</v>
      </c>
      <c r="E397" s="220" t="s">
        <v>951</v>
      </c>
      <c r="F397" s="220"/>
      <c r="G397" s="220" t="s">
        <v>952</v>
      </c>
      <c r="H397" s="231">
        <v>45596</v>
      </c>
    </row>
    <row r="398" spans="1:8" customFormat="1">
      <c r="A398" s="221">
        <v>45596</v>
      </c>
      <c r="B398" s="217" t="s">
        <v>309</v>
      </c>
      <c r="C398" s="218" t="s">
        <v>220</v>
      </c>
      <c r="D398" s="222" t="s">
        <v>953</v>
      </c>
      <c r="E398" s="220" t="s">
        <v>954</v>
      </c>
      <c r="F398" s="220"/>
      <c r="G398" s="220" t="s">
        <v>955</v>
      </c>
      <c r="H398" s="231">
        <v>45596</v>
      </c>
    </row>
    <row r="399" spans="1:8" customFormat="1">
      <c r="A399" s="221">
        <v>45596</v>
      </c>
      <c r="B399" s="217" t="s">
        <v>309</v>
      </c>
      <c r="C399" s="218" t="s">
        <v>220</v>
      </c>
      <c r="D399" s="222" t="s">
        <v>956</v>
      </c>
      <c r="E399" s="220" t="s">
        <v>957</v>
      </c>
      <c r="F399" s="220"/>
      <c r="G399" s="220" t="s">
        <v>955</v>
      </c>
      <c r="H399" s="231">
        <v>45596</v>
      </c>
    </row>
    <row r="400" spans="1:8" customFormat="1">
      <c r="A400" s="221">
        <v>45596</v>
      </c>
      <c r="B400" s="217" t="s">
        <v>309</v>
      </c>
      <c r="C400" s="218" t="s">
        <v>267</v>
      </c>
      <c r="D400" s="222" t="s">
        <v>367</v>
      </c>
      <c r="E400" s="220" t="s">
        <v>368</v>
      </c>
      <c r="F400" s="220"/>
      <c r="G400" s="220" t="s">
        <v>270</v>
      </c>
      <c r="H400" s="231">
        <v>45596</v>
      </c>
    </row>
    <row r="401" spans="1:8" customFormat="1">
      <c r="A401" s="221">
        <v>45596</v>
      </c>
      <c r="B401" s="217" t="s">
        <v>309</v>
      </c>
      <c r="C401" s="218" t="s">
        <v>267</v>
      </c>
      <c r="D401" s="222" t="s">
        <v>329</v>
      </c>
      <c r="E401" s="220" t="s">
        <v>330</v>
      </c>
      <c r="F401" s="220"/>
      <c r="G401" s="220" t="s">
        <v>285</v>
      </c>
      <c r="H401" s="231">
        <v>45596</v>
      </c>
    </row>
    <row r="402" spans="1:8" customFormat="1">
      <c r="A402" s="221">
        <v>45596</v>
      </c>
      <c r="B402" s="217" t="s">
        <v>309</v>
      </c>
      <c r="C402" s="218" t="s">
        <v>267</v>
      </c>
      <c r="D402" s="222" t="s">
        <v>958</v>
      </c>
      <c r="E402" s="220" t="s">
        <v>205</v>
      </c>
      <c r="F402" s="220"/>
      <c r="G402" s="220" t="s">
        <v>276</v>
      </c>
      <c r="H402" s="231">
        <v>45596</v>
      </c>
    </row>
    <row r="403" spans="1:8" customFormat="1">
      <c r="A403" s="221">
        <v>45596</v>
      </c>
      <c r="B403" s="217" t="s">
        <v>309</v>
      </c>
      <c r="C403" s="218" t="s">
        <v>267</v>
      </c>
      <c r="D403" s="222" t="s">
        <v>959</v>
      </c>
      <c r="E403" s="220" t="s">
        <v>960</v>
      </c>
      <c r="F403" s="220" t="s">
        <v>961</v>
      </c>
      <c r="G403" s="220" t="s">
        <v>917</v>
      </c>
      <c r="H403" s="231">
        <v>45596</v>
      </c>
    </row>
    <row r="404" spans="1:8" customFormat="1">
      <c r="A404" s="221">
        <v>45596</v>
      </c>
      <c r="B404" s="217" t="s">
        <v>309</v>
      </c>
      <c r="C404" s="218" t="s">
        <v>267</v>
      </c>
      <c r="D404" s="222" t="s">
        <v>962</v>
      </c>
      <c r="E404" s="220" t="s">
        <v>963</v>
      </c>
      <c r="F404" s="220" t="s">
        <v>964</v>
      </c>
      <c r="G404" s="220" t="s">
        <v>270</v>
      </c>
      <c r="H404" s="231">
        <v>45596</v>
      </c>
    </row>
    <row r="405" spans="1:8" customFormat="1">
      <c r="A405" s="221">
        <v>45596</v>
      </c>
      <c r="B405" s="217" t="s">
        <v>309</v>
      </c>
      <c r="C405" s="218" t="s">
        <v>267</v>
      </c>
      <c r="D405" s="222" t="s">
        <v>962</v>
      </c>
      <c r="E405" s="220" t="s">
        <v>963</v>
      </c>
      <c r="F405" s="220" t="s">
        <v>965</v>
      </c>
      <c r="G405" s="220" t="s">
        <v>270</v>
      </c>
      <c r="H405" s="231">
        <v>45596</v>
      </c>
    </row>
    <row r="406" spans="1:8" customFormat="1">
      <c r="A406" s="221">
        <v>45596</v>
      </c>
      <c r="B406" s="217" t="s">
        <v>309</v>
      </c>
      <c r="C406" s="218" t="s">
        <v>267</v>
      </c>
      <c r="D406" s="222" t="s">
        <v>371</v>
      </c>
      <c r="E406" s="220" t="s">
        <v>372</v>
      </c>
      <c r="F406" s="220" t="s">
        <v>373</v>
      </c>
      <c r="G406" s="220" t="s">
        <v>917</v>
      </c>
      <c r="H406" s="231">
        <v>45596</v>
      </c>
    </row>
    <row r="407" spans="1:8" customFormat="1">
      <c r="A407" s="221">
        <v>45596</v>
      </c>
      <c r="B407" s="217" t="s">
        <v>309</v>
      </c>
      <c r="C407" s="218" t="s">
        <v>267</v>
      </c>
      <c r="D407" s="222" t="s">
        <v>966</v>
      </c>
      <c r="E407" s="220" t="s">
        <v>967</v>
      </c>
      <c r="F407" s="220" t="s">
        <v>968</v>
      </c>
      <c r="G407" s="220" t="s">
        <v>276</v>
      </c>
      <c r="H407" s="231">
        <v>45596</v>
      </c>
    </row>
    <row r="408" spans="1:8" customFormat="1">
      <c r="A408" s="221">
        <v>45596</v>
      </c>
      <c r="B408" s="217" t="s">
        <v>309</v>
      </c>
      <c r="C408" s="218" t="s">
        <v>267</v>
      </c>
      <c r="D408" s="222" t="s">
        <v>969</v>
      </c>
      <c r="E408" s="220" t="s">
        <v>970</v>
      </c>
      <c r="F408" s="220" t="s">
        <v>971</v>
      </c>
      <c r="G408" s="220" t="s">
        <v>276</v>
      </c>
      <c r="H408" s="231">
        <v>45596</v>
      </c>
    </row>
    <row r="409" spans="1:8" customFormat="1">
      <c r="A409" s="221">
        <v>45596</v>
      </c>
      <c r="B409" s="217" t="s">
        <v>309</v>
      </c>
      <c r="C409" s="218" t="s">
        <v>267</v>
      </c>
      <c r="D409" s="222" t="s">
        <v>972</v>
      </c>
      <c r="E409" s="220" t="s">
        <v>967</v>
      </c>
      <c r="F409" s="220" t="s">
        <v>973</v>
      </c>
      <c r="G409" s="220" t="s">
        <v>276</v>
      </c>
      <c r="H409" s="231">
        <v>45596</v>
      </c>
    </row>
    <row r="410" spans="1:8" customFormat="1" ht="21.9">
      <c r="A410" s="221">
        <v>45596</v>
      </c>
      <c r="B410" s="217" t="s">
        <v>309</v>
      </c>
      <c r="C410" s="218" t="s">
        <v>267</v>
      </c>
      <c r="D410" s="222" t="s">
        <v>724</v>
      </c>
      <c r="E410" s="220" t="s">
        <v>725</v>
      </c>
      <c r="F410" s="220" t="s">
        <v>726</v>
      </c>
      <c r="G410" s="220" t="s">
        <v>974</v>
      </c>
      <c r="H410" s="231">
        <v>45596</v>
      </c>
    </row>
    <row r="411" spans="1:8" customFormat="1">
      <c r="A411" s="221">
        <v>45596</v>
      </c>
      <c r="B411" s="217" t="s">
        <v>309</v>
      </c>
      <c r="C411" s="218" t="s">
        <v>267</v>
      </c>
      <c r="D411" s="222" t="s">
        <v>975</v>
      </c>
      <c r="E411" s="220" t="s">
        <v>976</v>
      </c>
      <c r="F411" s="220"/>
      <c r="G411" s="220" t="s">
        <v>270</v>
      </c>
      <c r="H411" s="231">
        <v>45596</v>
      </c>
    </row>
    <row r="412" spans="1:8" customFormat="1" ht="21.9">
      <c r="A412" s="221">
        <v>45596</v>
      </c>
      <c r="B412" s="217" t="s">
        <v>309</v>
      </c>
      <c r="C412" s="218" t="s">
        <v>267</v>
      </c>
      <c r="D412" s="222" t="s">
        <v>865</v>
      </c>
      <c r="E412" s="220" t="s">
        <v>977</v>
      </c>
      <c r="F412" s="220" t="s">
        <v>867</v>
      </c>
      <c r="G412" s="220" t="s">
        <v>285</v>
      </c>
      <c r="H412" s="231">
        <v>45596</v>
      </c>
    </row>
    <row r="413" spans="1:8" customFormat="1">
      <c r="A413" s="221">
        <v>45596</v>
      </c>
      <c r="B413" s="217" t="s">
        <v>309</v>
      </c>
      <c r="C413" s="218" t="s">
        <v>267</v>
      </c>
      <c r="D413" s="222" t="s">
        <v>978</v>
      </c>
      <c r="E413" s="220" t="s">
        <v>979</v>
      </c>
      <c r="F413" s="220" t="s">
        <v>980</v>
      </c>
      <c r="G413" s="220" t="s">
        <v>917</v>
      </c>
      <c r="H413" s="231">
        <v>45596</v>
      </c>
    </row>
    <row r="414" spans="1:8" customFormat="1" ht="21.9">
      <c r="A414" s="221">
        <v>45596</v>
      </c>
      <c r="B414" s="217" t="s">
        <v>309</v>
      </c>
      <c r="C414" s="218" t="s">
        <v>267</v>
      </c>
      <c r="D414" s="222" t="s">
        <v>981</v>
      </c>
      <c r="E414" s="220" t="s">
        <v>361</v>
      </c>
      <c r="F414" s="220" t="s">
        <v>982</v>
      </c>
      <c r="G414" s="220" t="s">
        <v>288</v>
      </c>
      <c r="H414" s="231">
        <v>45596</v>
      </c>
    </row>
    <row r="415" spans="1:8" customFormat="1" ht="32.15">
      <c r="A415" s="221">
        <v>45596</v>
      </c>
      <c r="B415" s="217" t="s">
        <v>380</v>
      </c>
      <c r="C415" s="218" t="s">
        <v>220</v>
      </c>
      <c r="D415" s="222" t="s">
        <v>983</v>
      </c>
      <c r="E415" s="220" t="s">
        <v>894</v>
      </c>
      <c r="F415" s="220"/>
      <c r="G415" s="220" t="s">
        <v>895</v>
      </c>
      <c r="H415" s="231">
        <v>45596</v>
      </c>
    </row>
    <row r="416" spans="1:8" customFormat="1">
      <c r="A416" s="221">
        <v>45596</v>
      </c>
      <c r="B416" s="217" t="s">
        <v>380</v>
      </c>
      <c r="C416" s="218" t="s">
        <v>220</v>
      </c>
      <c r="D416" s="222" t="s">
        <v>984</v>
      </c>
      <c r="E416" s="220" t="s">
        <v>985</v>
      </c>
      <c r="F416" s="220"/>
      <c r="G416" s="220" t="s">
        <v>226</v>
      </c>
      <c r="H416" s="231">
        <v>45596</v>
      </c>
    </row>
    <row r="417" spans="1:8" customFormat="1">
      <c r="A417" s="221">
        <v>45596</v>
      </c>
      <c r="B417" s="217" t="s">
        <v>380</v>
      </c>
      <c r="C417" s="218" t="s">
        <v>220</v>
      </c>
      <c r="D417" s="222" t="s">
        <v>986</v>
      </c>
      <c r="E417" s="220" t="s">
        <v>987</v>
      </c>
      <c r="F417" s="220"/>
      <c r="G417" s="220" t="s">
        <v>226</v>
      </c>
      <c r="H417" s="231">
        <v>45596</v>
      </c>
    </row>
    <row r="418" spans="1:8" customFormat="1">
      <c r="A418" s="221">
        <v>45596</v>
      </c>
      <c r="B418" s="217" t="s">
        <v>380</v>
      </c>
      <c r="C418" s="218" t="s">
        <v>220</v>
      </c>
      <c r="D418" s="222" t="s">
        <v>988</v>
      </c>
      <c r="E418" s="220" t="s">
        <v>987</v>
      </c>
      <c r="F418" s="220"/>
      <c r="G418" s="220" t="s">
        <v>226</v>
      </c>
      <c r="H418" s="231">
        <v>45596</v>
      </c>
    </row>
    <row r="419" spans="1:8" customFormat="1">
      <c r="A419" s="221">
        <v>45596</v>
      </c>
      <c r="B419" s="217" t="s">
        <v>380</v>
      </c>
      <c r="C419" s="218" t="s">
        <v>220</v>
      </c>
      <c r="D419" s="219" t="s">
        <v>989</v>
      </c>
      <c r="E419" s="220" t="s">
        <v>901</v>
      </c>
      <c r="F419" s="220"/>
      <c r="G419" s="220" t="s">
        <v>226</v>
      </c>
      <c r="H419" s="231">
        <v>45596</v>
      </c>
    </row>
    <row r="420" spans="1:8" customFormat="1">
      <c r="A420" s="221">
        <v>45596</v>
      </c>
      <c r="B420" s="217" t="s">
        <v>380</v>
      </c>
      <c r="C420" s="218" t="s">
        <v>267</v>
      </c>
      <c r="D420" s="219" t="s">
        <v>766</v>
      </c>
      <c r="E420" s="220" t="s">
        <v>400</v>
      </c>
      <c r="F420" s="220" t="s">
        <v>990</v>
      </c>
      <c r="G420" s="220" t="s">
        <v>917</v>
      </c>
      <c r="H420" s="231">
        <v>45596</v>
      </c>
    </row>
    <row r="421" spans="1:8" customFormat="1">
      <c r="A421" s="221">
        <v>45596</v>
      </c>
      <c r="B421" s="217" t="s">
        <v>380</v>
      </c>
      <c r="C421" s="218" t="s">
        <v>267</v>
      </c>
      <c r="D421" s="219" t="s">
        <v>766</v>
      </c>
      <c r="E421" s="220" t="s">
        <v>400</v>
      </c>
      <c r="F421" s="220" t="s">
        <v>991</v>
      </c>
      <c r="G421" s="220" t="s">
        <v>917</v>
      </c>
      <c r="H421" s="231">
        <v>45596</v>
      </c>
    </row>
    <row r="422" spans="1:8" customFormat="1">
      <c r="A422" s="221">
        <v>45596</v>
      </c>
      <c r="B422" s="217" t="s">
        <v>380</v>
      </c>
      <c r="C422" s="218" t="s">
        <v>267</v>
      </c>
      <c r="D422" s="219" t="s">
        <v>766</v>
      </c>
      <c r="E422" s="220" t="s">
        <v>400</v>
      </c>
      <c r="F422" s="220" t="s">
        <v>992</v>
      </c>
      <c r="G422" s="220" t="s">
        <v>917</v>
      </c>
      <c r="H422" s="231">
        <v>45596</v>
      </c>
    </row>
    <row r="423" spans="1:8" customFormat="1">
      <c r="A423" s="221">
        <v>45596</v>
      </c>
      <c r="B423" s="217" t="s">
        <v>380</v>
      </c>
      <c r="C423" s="218" t="s">
        <v>267</v>
      </c>
      <c r="D423" s="222" t="s">
        <v>766</v>
      </c>
      <c r="E423" s="220" t="s">
        <v>400</v>
      </c>
      <c r="F423" s="220" t="s">
        <v>993</v>
      </c>
      <c r="G423" s="220" t="s">
        <v>917</v>
      </c>
      <c r="H423" s="231">
        <v>45596</v>
      </c>
    </row>
    <row r="424" spans="1:8" customFormat="1">
      <c r="A424" s="221">
        <v>45596</v>
      </c>
      <c r="B424" s="217" t="s">
        <v>380</v>
      </c>
      <c r="C424" s="218" t="s">
        <v>267</v>
      </c>
      <c r="D424" s="222" t="s">
        <v>766</v>
      </c>
      <c r="E424" s="220" t="s">
        <v>400</v>
      </c>
      <c r="F424" s="220" t="s">
        <v>994</v>
      </c>
      <c r="G424" s="220" t="s">
        <v>917</v>
      </c>
      <c r="H424" s="231">
        <v>45596</v>
      </c>
    </row>
    <row r="425" spans="1:8" customFormat="1">
      <c r="A425" s="221">
        <v>45596</v>
      </c>
      <c r="B425" s="217" t="s">
        <v>380</v>
      </c>
      <c r="C425" s="218" t="s">
        <v>267</v>
      </c>
      <c r="D425" s="222" t="s">
        <v>399</v>
      </c>
      <c r="E425" s="220" t="s">
        <v>400</v>
      </c>
      <c r="F425" s="220" t="s">
        <v>401</v>
      </c>
      <c r="G425" s="220" t="s">
        <v>917</v>
      </c>
      <c r="H425" s="231">
        <v>45596</v>
      </c>
    </row>
    <row r="426" spans="1:8" customFormat="1">
      <c r="A426" s="221">
        <v>45596</v>
      </c>
      <c r="B426" s="217" t="s">
        <v>380</v>
      </c>
      <c r="C426" s="218" t="s">
        <v>267</v>
      </c>
      <c r="D426" s="222" t="s">
        <v>399</v>
      </c>
      <c r="E426" s="220" t="s">
        <v>400</v>
      </c>
      <c r="F426" s="220" t="s">
        <v>402</v>
      </c>
      <c r="G426" s="220" t="s">
        <v>917</v>
      </c>
      <c r="H426" s="231">
        <v>45596</v>
      </c>
    </row>
    <row r="427" spans="1:8" customFormat="1" ht="21.9">
      <c r="A427" s="221">
        <v>45596</v>
      </c>
      <c r="B427" s="217" t="s">
        <v>380</v>
      </c>
      <c r="C427" s="218" t="s">
        <v>267</v>
      </c>
      <c r="D427" s="222" t="s">
        <v>405</v>
      </c>
      <c r="E427" s="220" t="s">
        <v>406</v>
      </c>
      <c r="F427" s="220" t="s">
        <v>407</v>
      </c>
      <c r="G427" s="220" t="s">
        <v>917</v>
      </c>
      <c r="H427" s="231">
        <v>45596</v>
      </c>
    </row>
    <row r="428" spans="1:8" customFormat="1" ht="32.15">
      <c r="A428" s="221">
        <v>45596</v>
      </c>
      <c r="B428" s="217" t="s">
        <v>565</v>
      </c>
      <c r="C428" s="218" t="s">
        <v>220</v>
      </c>
      <c r="D428" s="222" t="s">
        <v>995</v>
      </c>
      <c r="E428" s="220" t="s">
        <v>894</v>
      </c>
      <c r="F428" s="220"/>
      <c r="G428" s="220" t="s">
        <v>895</v>
      </c>
      <c r="H428" s="231">
        <v>45596</v>
      </c>
    </row>
    <row r="429" spans="1:8" customFormat="1">
      <c r="A429" s="221">
        <v>45596</v>
      </c>
      <c r="B429" s="217" t="s">
        <v>565</v>
      </c>
      <c r="C429" s="218" t="s">
        <v>220</v>
      </c>
      <c r="D429" s="222" t="s">
        <v>996</v>
      </c>
      <c r="E429" s="220" t="s">
        <v>901</v>
      </c>
      <c r="F429" s="220"/>
      <c r="G429" s="220" t="s">
        <v>226</v>
      </c>
      <c r="H429" s="231">
        <v>45596</v>
      </c>
    </row>
    <row r="430" spans="1:8" customFormat="1">
      <c r="A430" s="232">
        <v>45596</v>
      </c>
      <c r="B430" s="233" t="s">
        <v>565</v>
      </c>
      <c r="C430" s="227" t="s">
        <v>220</v>
      </c>
      <c r="D430" s="234" t="s">
        <v>997</v>
      </c>
      <c r="E430" s="241" t="s">
        <v>901</v>
      </c>
      <c r="F430" s="229"/>
      <c r="G430" s="229" t="s">
        <v>226</v>
      </c>
      <c r="H430" s="235">
        <v>45596</v>
      </c>
    </row>
    <row r="431" spans="1:8" customFormat="1" ht="32.15">
      <c r="A431" s="221">
        <v>45596</v>
      </c>
      <c r="B431" s="217" t="s">
        <v>423</v>
      </c>
      <c r="C431" s="218" t="s">
        <v>220</v>
      </c>
      <c r="D431" s="219" t="s">
        <v>998</v>
      </c>
      <c r="E431" s="220" t="s">
        <v>894</v>
      </c>
      <c r="F431" s="220"/>
      <c r="G431" s="220" t="s">
        <v>895</v>
      </c>
      <c r="H431" s="231">
        <v>45596</v>
      </c>
    </row>
    <row r="432" spans="1:8" customFormat="1">
      <c r="A432" s="221">
        <v>45596</v>
      </c>
      <c r="B432" s="217" t="s">
        <v>423</v>
      </c>
      <c r="C432" s="218" t="s">
        <v>220</v>
      </c>
      <c r="D432" s="219" t="s">
        <v>999</v>
      </c>
      <c r="E432" s="220" t="s">
        <v>1000</v>
      </c>
      <c r="F432" s="220"/>
      <c r="G432" s="220" t="s">
        <v>955</v>
      </c>
      <c r="H432" s="231">
        <v>45596</v>
      </c>
    </row>
    <row r="433" spans="1:8" customFormat="1">
      <c r="A433" s="221">
        <v>45596</v>
      </c>
      <c r="B433" s="217" t="s">
        <v>423</v>
      </c>
      <c r="C433" s="218" t="s">
        <v>220</v>
      </c>
      <c r="D433" s="219" t="s">
        <v>1001</v>
      </c>
      <c r="E433" s="220" t="s">
        <v>1002</v>
      </c>
      <c r="F433" s="220"/>
      <c r="G433" s="220" t="s">
        <v>226</v>
      </c>
      <c r="H433" s="231">
        <v>45596</v>
      </c>
    </row>
    <row r="434" spans="1:8" customFormat="1">
      <c r="A434" s="221">
        <v>45596</v>
      </c>
      <c r="B434" s="217" t="s">
        <v>423</v>
      </c>
      <c r="C434" s="218" t="s">
        <v>220</v>
      </c>
      <c r="D434" s="219" t="s">
        <v>441</v>
      </c>
      <c r="E434" s="220" t="s">
        <v>442</v>
      </c>
      <c r="F434" s="220"/>
      <c r="G434" s="220" t="s">
        <v>1003</v>
      </c>
      <c r="H434" s="231">
        <v>45596</v>
      </c>
    </row>
    <row r="435" spans="1:8" customFormat="1">
      <c r="A435" s="221">
        <v>45596</v>
      </c>
      <c r="B435" s="217" t="s">
        <v>423</v>
      </c>
      <c r="C435" s="218" t="s">
        <v>220</v>
      </c>
      <c r="D435" s="219" t="s">
        <v>1004</v>
      </c>
      <c r="E435" s="220" t="s">
        <v>901</v>
      </c>
      <c r="F435" s="220"/>
      <c r="G435" s="220" t="s">
        <v>226</v>
      </c>
      <c r="H435" s="231">
        <v>45596</v>
      </c>
    </row>
    <row r="436" spans="1:8" customFormat="1">
      <c r="A436" s="221">
        <v>45596</v>
      </c>
      <c r="B436" s="217" t="s">
        <v>423</v>
      </c>
      <c r="C436" s="218" t="s">
        <v>220</v>
      </c>
      <c r="D436" s="219" t="s">
        <v>1005</v>
      </c>
      <c r="E436" s="220" t="s">
        <v>901</v>
      </c>
      <c r="F436" s="220"/>
      <c r="G436" s="220" t="s">
        <v>226</v>
      </c>
      <c r="H436" s="231">
        <v>45596</v>
      </c>
    </row>
    <row r="437" spans="1:8" customFormat="1">
      <c r="A437" s="221">
        <v>45596</v>
      </c>
      <c r="B437" s="217" t="s">
        <v>423</v>
      </c>
      <c r="C437" s="218" t="s">
        <v>220</v>
      </c>
      <c r="D437" s="219" t="s">
        <v>1006</v>
      </c>
      <c r="E437" s="220" t="s">
        <v>903</v>
      </c>
      <c r="F437" s="220"/>
      <c r="G437" s="220" t="s">
        <v>226</v>
      </c>
      <c r="H437" s="231">
        <v>45596</v>
      </c>
    </row>
    <row r="438" spans="1:8" customFormat="1">
      <c r="A438" s="221">
        <v>45596</v>
      </c>
      <c r="B438" s="217" t="s">
        <v>423</v>
      </c>
      <c r="C438" s="218" t="s">
        <v>220</v>
      </c>
      <c r="D438" s="219" t="s">
        <v>1007</v>
      </c>
      <c r="E438" s="220" t="s">
        <v>903</v>
      </c>
      <c r="F438" s="220"/>
      <c r="G438" s="220" t="s">
        <v>226</v>
      </c>
      <c r="H438" s="231">
        <v>45596</v>
      </c>
    </row>
    <row r="439" spans="1:8" customFormat="1">
      <c r="A439" s="221">
        <v>45596</v>
      </c>
      <c r="B439" s="217" t="s">
        <v>423</v>
      </c>
      <c r="C439" s="218" t="s">
        <v>220</v>
      </c>
      <c r="D439" s="219" t="s">
        <v>1008</v>
      </c>
      <c r="E439" s="220" t="s">
        <v>901</v>
      </c>
      <c r="F439" s="220"/>
      <c r="G439" s="220" t="s">
        <v>226</v>
      </c>
      <c r="H439" s="231">
        <v>45596</v>
      </c>
    </row>
    <row r="440" spans="1:8" customFormat="1">
      <c r="A440" s="221">
        <v>45596</v>
      </c>
      <c r="B440" s="217" t="s">
        <v>423</v>
      </c>
      <c r="C440" s="218" t="s">
        <v>220</v>
      </c>
      <c r="D440" s="219" t="s">
        <v>427</v>
      </c>
      <c r="E440" s="220" t="s">
        <v>428</v>
      </c>
      <c r="F440" s="220"/>
      <c r="G440" s="220" t="s">
        <v>1009</v>
      </c>
      <c r="H440" s="231">
        <v>45596</v>
      </c>
    </row>
    <row r="441" spans="1:8" customFormat="1">
      <c r="A441" s="221">
        <v>45596</v>
      </c>
      <c r="B441" s="217" t="s">
        <v>423</v>
      </c>
      <c r="C441" s="218" t="s">
        <v>220</v>
      </c>
      <c r="D441" s="219" t="s">
        <v>1010</v>
      </c>
      <c r="E441" s="220" t="s">
        <v>1011</v>
      </c>
      <c r="F441" s="220"/>
      <c r="G441" s="220" t="s">
        <v>955</v>
      </c>
      <c r="H441" s="231">
        <v>45596</v>
      </c>
    </row>
    <row r="442" spans="1:8" customFormat="1">
      <c r="A442" s="221">
        <v>45596</v>
      </c>
      <c r="B442" s="217" t="s">
        <v>423</v>
      </c>
      <c r="C442" s="218" t="s">
        <v>220</v>
      </c>
      <c r="D442" s="219" t="s">
        <v>1012</v>
      </c>
      <c r="E442" s="220" t="s">
        <v>1013</v>
      </c>
      <c r="F442" s="220"/>
      <c r="G442" s="220" t="s">
        <v>955</v>
      </c>
      <c r="H442" s="231">
        <v>45596</v>
      </c>
    </row>
    <row r="443" spans="1:8" customFormat="1">
      <c r="A443" s="221">
        <v>45596</v>
      </c>
      <c r="B443" s="217" t="s">
        <v>423</v>
      </c>
      <c r="C443" s="218" t="s">
        <v>220</v>
      </c>
      <c r="D443" s="219" t="s">
        <v>1014</v>
      </c>
      <c r="E443" s="220" t="s">
        <v>1015</v>
      </c>
      <c r="F443" s="220"/>
      <c r="G443" s="220" t="s">
        <v>226</v>
      </c>
      <c r="H443" s="231">
        <v>45596</v>
      </c>
    </row>
    <row r="444" spans="1:8" customFormat="1">
      <c r="A444" s="221">
        <v>45596</v>
      </c>
      <c r="B444" s="217" t="s">
        <v>423</v>
      </c>
      <c r="C444" s="218" t="s">
        <v>220</v>
      </c>
      <c r="D444" s="219" t="s">
        <v>1016</v>
      </c>
      <c r="E444" s="220" t="s">
        <v>1017</v>
      </c>
      <c r="F444" s="220" t="s">
        <v>1018</v>
      </c>
      <c r="G444" s="220" t="s">
        <v>1019</v>
      </c>
      <c r="H444" s="231">
        <v>45596</v>
      </c>
    </row>
    <row r="445" spans="1:8" customFormat="1">
      <c r="A445" s="221">
        <v>45596</v>
      </c>
      <c r="B445" s="217" t="s">
        <v>423</v>
      </c>
      <c r="C445" s="218" t="s">
        <v>220</v>
      </c>
      <c r="D445" s="219" t="s">
        <v>813</v>
      </c>
      <c r="E445" s="220" t="s">
        <v>814</v>
      </c>
      <c r="F445" s="220" t="s">
        <v>815</v>
      </c>
      <c r="G445" s="220" t="s">
        <v>1020</v>
      </c>
      <c r="H445" s="231">
        <v>45596</v>
      </c>
    </row>
    <row r="446" spans="1:8" customFormat="1" ht="21.9">
      <c r="A446" s="221">
        <v>45596</v>
      </c>
      <c r="B446" s="217" t="s">
        <v>423</v>
      </c>
      <c r="C446" s="218" t="s">
        <v>267</v>
      </c>
      <c r="D446" s="219" t="s">
        <v>455</v>
      </c>
      <c r="E446" s="220" t="s">
        <v>456</v>
      </c>
      <c r="F446" s="220" t="s">
        <v>457</v>
      </c>
      <c r="G446" s="220" t="s">
        <v>917</v>
      </c>
      <c r="H446" s="231">
        <v>45596</v>
      </c>
    </row>
    <row r="447" spans="1:8" customFormat="1">
      <c r="A447" s="221">
        <v>45596</v>
      </c>
      <c r="B447" s="217" t="s">
        <v>423</v>
      </c>
      <c r="C447" s="218" t="s">
        <v>267</v>
      </c>
      <c r="D447" s="219" t="s">
        <v>424</v>
      </c>
      <c r="E447" s="220" t="s">
        <v>254</v>
      </c>
      <c r="F447" s="220"/>
      <c r="G447" s="220" t="s">
        <v>291</v>
      </c>
      <c r="H447" s="231">
        <v>45596</v>
      </c>
    </row>
    <row r="448" spans="1:8" customFormat="1" ht="21.9">
      <c r="A448" s="221">
        <v>45596</v>
      </c>
      <c r="B448" s="217" t="s">
        <v>423</v>
      </c>
      <c r="C448" s="218" t="s">
        <v>267</v>
      </c>
      <c r="D448" s="219" t="s">
        <v>886</v>
      </c>
      <c r="E448" s="220" t="s">
        <v>887</v>
      </c>
      <c r="F448" s="220" t="s">
        <v>888</v>
      </c>
      <c r="G448" s="220" t="s">
        <v>917</v>
      </c>
      <c r="H448" s="231">
        <v>45596</v>
      </c>
    </row>
    <row r="449" spans="1:8" customFormat="1">
      <c r="A449" s="221">
        <v>45596</v>
      </c>
      <c r="B449" s="217" t="s">
        <v>423</v>
      </c>
      <c r="C449" s="218" t="s">
        <v>267</v>
      </c>
      <c r="D449" s="219" t="s">
        <v>449</v>
      </c>
      <c r="E449" s="220" t="s">
        <v>450</v>
      </c>
      <c r="F449" s="220"/>
      <c r="G449" s="220" t="s">
        <v>285</v>
      </c>
      <c r="H449" s="231">
        <v>45596</v>
      </c>
    </row>
    <row r="450" spans="1:8" customFormat="1">
      <c r="A450" s="221">
        <v>45596</v>
      </c>
      <c r="B450" s="217" t="s">
        <v>423</v>
      </c>
      <c r="C450" s="218" t="s">
        <v>267</v>
      </c>
      <c r="D450" s="219" t="s">
        <v>1021</v>
      </c>
      <c r="E450" s="220" t="s">
        <v>1022</v>
      </c>
      <c r="F450" s="220"/>
      <c r="G450" s="220" t="s">
        <v>270</v>
      </c>
      <c r="H450" s="231">
        <v>45596</v>
      </c>
    </row>
    <row r="451" spans="1:8" customFormat="1">
      <c r="A451" s="221">
        <v>45596</v>
      </c>
      <c r="B451" s="217" t="s">
        <v>423</v>
      </c>
      <c r="C451" s="218" t="s">
        <v>267</v>
      </c>
      <c r="D451" s="219" t="s">
        <v>823</v>
      </c>
      <c r="E451" s="220" t="s">
        <v>824</v>
      </c>
      <c r="F451" s="220" t="s">
        <v>1023</v>
      </c>
      <c r="G451" s="220" t="s">
        <v>917</v>
      </c>
      <c r="H451" s="231">
        <v>45596</v>
      </c>
    </row>
    <row r="452" spans="1:8" customFormat="1">
      <c r="A452" s="221">
        <v>45502</v>
      </c>
      <c r="B452" s="217" t="s">
        <v>7</v>
      </c>
      <c r="C452" s="218" t="s">
        <v>220</v>
      </c>
      <c r="D452" s="219" t="s">
        <v>1024</v>
      </c>
      <c r="E452" s="220" t="s">
        <v>1025</v>
      </c>
      <c r="F452" s="220"/>
      <c r="G452" s="220" t="s">
        <v>1026</v>
      </c>
      <c r="H452" s="231">
        <v>45502</v>
      </c>
    </row>
    <row r="453" spans="1:8" customFormat="1">
      <c r="A453" s="221">
        <v>45502</v>
      </c>
      <c r="B453" s="217" t="s">
        <v>7</v>
      </c>
      <c r="C453" s="218" t="s">
        <v>220</v>
      </c>
      <c r="D453" s="219" t="s">
        <v>1027</v>
      </c>
      <c r="E453" s="220" t="s">
        <v>1025</v>
      </c>
      <c r="F453" s="220"/>
      <c r="G453" s="220" t="s">
        <v>1026</v>
      </c>
      <c r="H453" s="231">
        <v>45502</v>
      </c>
    </row>
    <row r="454" spans="1:8" customFormat="1" ht="21.9">
      <c r="A454" s="221">
        <v>45502</v>
      </c>
      <c r="B454" s="217" t="s">
        <v>7</v>
      </c>
      <c r="C454" s="218" t="s">
        <v>220</v>
      </c>
      <c r="D454" s="219" t="s">
        <v>1028</v>
      </c>
      <c r="E454" s="220" t="s">
        <v>1029</v>
      </c>
      <c r="F454" s="220" t="s">
        <v>1030</v>
      </c>
      <c r="G454" s="220" t="s">
        <v>1031</v>
      </c>
      <c r="H454" s="231">
        <v>45502</v>
      </c>
    </row>
    <row r="455" spans="1:8" customFormat="1">
      <c r="A455" s="221">
        <v>45502</v>
      </c>
      <c r="B455" s="217" t="s">
        <v>7</v>
      </c>
      <c r="C455" s="218" t="s">
        <v>220</v>
      </c>
      <c r="D455" s="219" t="s">
        <v>1032</v>
      </c>
      <c r="E455" s="220" t="s">
        <v>228</v>
      </c>
      <c r="F455" s="220"/>
      <c r="G455" s="220" t="s">
        <v>1033</v>
      </c>
      <c r="H455" s="231">
        <v>45502</v>
      </c>
    </row>
    <row r="456" spans="1:8" customFormat="1" ht="32.15">
      <c r="A456" s="221">
        <v>45502</v>
      </c>
      <c r="B456" s="217" t="s">
        <v>7</v>
      </c>
      <c r="C456" s="218" t="s">
        <v>267</v>
      </c>
      <c r="D456" s="219" t="s">
        <v>273</v>
      </c>
      <c r="E456" s="220" t="s">
        <v>274</v>
      </c>
      <c r="F456" s="220" t="s">
        <v>1034</v>
      </c>
      <c r="G456" s="220" t="s">
        <v>1035</v>
      </c>
      <c r="H456" s="231">
        <v>45502</v>
      </c>
    </row>
    <row r="457" spans="1:8" customFormat="1">
      <c r="A457" s="221">
        <v>45502</v>
      </c>
      <c r="B457" s="217" t="s">
        <v>7</v>
      </c>
      <c r="C457" s="218" t="s">
        <v>267</v>
      </c>
      <c r="D457" s="219" t="s">
        <v>277</v>
      </c>
      <c r="E457" s="220" t="s">
        <v>278</v>
      </c>
      <c r="F457" s="220"/>
      <c r="G457" s="220" t="s">
        <v>287</v>
      </c>
      <c r="H457" s="231">
        <v>45502</v>
      </c>
    </row>
    <row r="458" spans="1:8" customFormat="1">
      <c r="A458" s="221">
        <v>45502</v>
      </c>
      <c r="B458" s="217" t="s">
        <v>7</v>
      </c>
      <c r="C458" s="218" t="s">
        <v>267</v>
      </c>
      <c r="D458" s="219" t="s">
        <v>494</v>
      </c>
      <c r="E458" s="220" t="s">
        <v>1036</v>
      </c>
      <c r="F458" s="220"/>
      <c r="G458" s="220" t="s">
        <v>285</v>
      </c>
      <c r="H458" s="231">
        <v>45502</v>
      </c>
    </row>
    <row r="459" spans="1:8" customFormat="1">
      <c r="A459" s="221">
        <v>45502</v>
      </c>
      <c r="B459" s="217" t="s">
        <v>7</v>
      </c>
      <c r="C459" s="218" t="s">
        <v>267</v>
      </c>
      <c r="D459" s="219" t="s">
        <v>207</v>
      </c>
      <c r="E459" s="220" t="s">
        <v>1037</v>
      </c>
      <c r="F459" s="220"/>
      <c r="G459" s="220" t="s">
        <v>270</v>
      </c>
      <c r="H459" s="231">
        <v>45502</v>
      </c>
    </row>
    <row r="460" spans="1:8" customFormat="1">
      <c r="A460" s="221">
        <v>45502</v>
      </c>
      <c r="B460" s="217" t="s">
        <v>7</v>
      </c>
      <c r="C460" s="218" t="s">
        <v>267</v>
      </c>
      <c r="D460" s="219" t="s">
        <v>1038</v>
      </c>
      <c r="E460" s="220" t="s">
        <v>1039</v>
      </c>
      <c r="F460" s="220"/>
      <c r="G460" s="220" t="s">
        <v>1040</v>
      </c>
      <c r="H460" s="231">
        <v>45502</v>
      </c>
    </row>
    <row r="461" spans="1:8" customFormat="1" ht="21.9">
      <c r="A461" s="221">
        <v>45502</v>
      </c>
      <c r="B461" s="217" t="s">
        <v>7</v>
      </c>
      <c r="C461" s="218" t="s">
        <v>267</v>
      </c>
      <c r="D461" s="219" t="s">
        <v>909</v>
      </c>
      <c r="E461" s="220" t="s">
        <v>910</v>
      </c>
      <c r="F461" s="220" t="s">
        <v>1041</v>
      </c>
      <c r="G461" s="220" t="s">
        <v>285</v>
      </c>
      <c r="H461" s="231">
        <v>45502</v>
      </c>
    </row>
    <row r="462" spans="1:8" customFormat="1">
      <c r="A462" s="221">
        <v>45502</v>
      </c>
      <c r="B462" s="217" t="s">
        <v>7</v>
      </c>
      <c r="C462" s="218" t="s">
        <v>267</v>
      </c>
      <c r="D462" s="219" t="s">
        <v>1042</v>
      </c>
      <c r="E462" s="220" t="s">
        <v>1043</v>
      </c>
      <c r="F462" s="220"/>
      <c r="G462" s="220" t="s">
        <v>270</v>
      </c>
      <c r="H462" s="231">
        <v>45502</v>
      </c>
    </row>
    <row r="463" spans="1:8" customFormat="1">
      <c r="A463" s="221">
        <v>45502</v>
      </c>
      <c r="B463" s="217" t="s">
        <v>7</v>
      </c>
      <c r="C463" s="218" t="s">
        <v>267</v>
      </c>
      <c r="D463" s="219" t="s">
        <v>1044</v>
      </c>
      <c r="E463" s="220" t="s">
        <v>1045</v>
      </c>
      <c r="F463" s="220" t="s">
        <v>1046</v>
      </c>
      <c r="G463" s="220" t="s">
        <v>892</v>
      </c>
      <c r="H463" s="231">
        <v>45502</v>
      </c>
    </row>
    <row r="464" spans="1:8" customFormat="1" ht="21.9">
      <c r="A464" s="221">
        <v>45502</v>
      </c>
      <c r="B464" s="217" t="s">
        <v>309</v>
      </c>
      <c r="C464" s="218" t="s">
        <v>220</v>
      </c>
      <c r="D464" s="219" t="s">
        <v>670</v>
      </c>
      <c r="E464" s="220" t="s">
        <v>1047</v>
      </c>
      <c r="F464" s="220"/>
      <c r="G464" s="220" t="s">
        <v>1048</v>
      </c>
      <c r="H464" s="231">
        <v>45502</v>
      </c>
    </row>
    <row r="465" spans="1:8" customFormat="1">
      <c r="A465" s="221">
        <v>45502</v>
      </c>
      <c r="B465" s="217" t="s">
        <v>309</v>
      </c>
      <c r="C465" s="218" t="s">
        <v>220</v>
      </c>
      <c r="D465" s="219" t="s">
        <v>1049</v>
      </c>
      <c r="E465" s="220" t="s">
        <v>357</v>
      </c>
      <c r="F465" s="220" t="s">
        <v>1050</v>
      </c>
      <c r="G465" s="220" t="s">
        <v>1051</v>
      </c>
      <c r="H465" s="231">
        <v>45502</v>
      </c>
    </row>
    <row r="466" spans="1:8" customFormat="1">
      <c r="A466" s="221">
        <v>45502</v>
      </c>
      <c r="B466" s="217" t="s">
        <v>309</v>
      </c>
      <c r="C466" s="218" t="s">
        <v>220</v>
      </c>
      <c r="D466" s="219" t="s">
        <v>1052</v>
      </c>
      <c r="E466" s="220" t="s">
        <v>1053</v>
      </c>
      <c r="F466" s="220"/>
      <c r="G466" s="220" t="s">
        <v>1033</v>
      </c>
      <c r="H466" s="231">
        <v>45502</v>
      </c>
    </row>
    <row r="467" spans="1:8" customFormat="1">
      <c r="A467" s="221">
        <v>45502</v>
      </c>
      <c r="B467" s="217" t="s">
        <v>309</v>
      </c>
      <c r="C467" s="218" t="s">
        <v>267</v>
      </c>
      <c r="D467" s="219" t="s">
        <v>329</v>
      </c>
      <c r="E467" s="220" t="s">
        <v>330</v>
      </c>
      <c r="F467" s="220"/>
      <c r="G467" s="220" t="s">
        <v>270</v>
      </c>
      <c r="H467" s="231">
        <v>45502</v>
      </c>
    </row>
    <row r="468" spans="1:8" customFormat="1">
      <c r="A468" s="221">
        <v>45502</v>
      </c>
      <c r="B468" s="217" t="s">
        <v>309</v>
      </c>
      <c r="C468" s="218" t="s">
        <v>267</v>
      </c>
      <c r="D468" s="219" t="s">
        <v>312</v>
      </c>
      <c r="E468" s="220" t="s">
        <v>313</v>
      </c>
      <c r="F468" s="220"/>
      <c r="G468" s="220" t="s">
        <v>291</v>
      </c>
      <c r="H468" s="231">
        <v>45502</v>
      </c>
    </row>
    <row r="469" spans="1:8" customFormat="1">
      <c r="A469" s="221">
        <v>45502</v>
      </c>
      <c r="B469" s="217" t="s">
        <v>309</v>
      </c>
      <c r="C469" s="218" t="s">
        <v>267</v>
      </c>
      <c r="D469" s="219" t="s">
        <v>721</v>
      </c>
      <c r="E469" s="220" t="s">
        <v>872</v>
      </c>
      <c r="F469" s="220"/>
      <c r="G469" s="220" t="s">
        <v>285</v>
      </c>
      <c r="H469" s="231">
        <v>45502</v>
      </c>
    </row>
    <row r="470" spans="1:8" customFormat="1" ht="21.9">
      <c r="A470" s="221">
        <v>45502</v>
      </c>
      <c r="B470" s="217" t="s">
        <v>309</v>
      </c>
      <c r="C470" s="218" t="s">
        <v>267</v>
      </c>
      <c r="D470" s="219" t="s">
        <v>732</v>
      </c>
      <c r="E470" s="220" t="s">
        <v>733</v>
      </c>
      <c r="F470" s="220"/>
      <c r="G470" s="220" t="s">
        <v>270</v>
      </c>
      <c r="H470" s="231">
        <v>45502</v>
      </c>
    </row>
    <row r="471" spans="1:8" customFormat="1">
      <c r="A471" s="221">
        <v>45502</v>
      </c>
      <c r="B471" s="217" t="s">
        <v>380</v>
      </c>
      <c r="C471" s="218" t="s">
        <v>267</v>
      </c>
      <c r="D471" s="219" t="s">
        <v>384</v>
      </c>
      <c r="E471" s="220" t="s">
        <v>385</v>
      </c>
      <c r="F471" s="220"/>
      <c r="G471" s="220" t="s">
        <v>291</v>
      </c>
      <c r="H471" s="231">
        <v>45502</v>
      </c>
    </row>
    <row r="472" spans="1:8" customFormat="1" ht="32.15">
      <c r="A472" s="221">
        <v>45502</v>
      </c>
      <c r="B472" s="217" t="s">
        <v>380</v>
      </c>
      <c r="C472" s="218" t="s">
        <v>267</v>
      </c>
      <c r="D472" s="219" t="s">
        <v>405</v>
      </c>
      <c r="E472" s="220" t="s">
        <v>1054</v>
      </c>
      <c r="F472" s="220" t="s">
        <v>407</v>
      </c>
      <c r="G472" s="220" t="s">
        <v>1035</v>
      </c>
      <c r="H472" s="231">
        <v>45502</v>
      </c>
    </row>
    <row r="473" spans="1:8" customFormat="1" ht="32.15">
      <c r="A473" s="221">
        <v>45502</v>
      </c>
      <c r="B473" s="217" t="s">
        <v>380</v>
      </c>
      <c r="C473" s="218" t="s">
        <v>267</v>
      </c>
      <c r="D473" s="219" t="s">
        <v>408</v>
      </c>
      <c r="E473" s="220" t="s">
        <v>1055</v>
      </c>
      <c r="F473" s="220" t="s">
        <v>1056</v>
      </c>
      <c r="G473" s="220" t="s">
        <v>1035</v>
      </c>
      <c r="H473" s="231">
        <v>45502</v>
      </c>
    </row>
    <row r="474" spans="1:8" customFormat="1">
      <c r="A474" s="221">
        <v>45502</v>
      </c>
      <c r="B474" s="217" t="s">
        <v>380</v>
      </c>
      <c r="C474" s="218" t="s">
        <v>267</v>
      </c>
      <c r="D474" s="219" t="s">
        <v>411</v>
      </c>
      <c r="E474" s="220" t="s">
        <v>1057</v>
      </c>
      <c r="F474" s="220"/>
      <c r="G474" s="220" t="s">
        <v>270</v>
      </c>
      <c r="H474" s="231">
        <v>45502</v>
      </c>
    </row>
    <row r="475" spans="1:8" customFormat="1">
      <c r="A475" s="221">
        <v>45502</v>
      </c>
      <c r="B475" s="217" t="s">
        <v>423</v>
      </c>
      <c r="C475" s="218" t="s">
        <v>220</v>
      </c>
      <c r="D475" s="219" t="s">
        <v>1058</v>
      </c>
      <c r="E475" s="220" t="s">
        <v>1059</v>
      </c>
      <c r="F475" s="220"/>
      <c r="G475" s="220" t="s">
        <v>1026</v>
      </c>
      <c r="H475" s="231">
        <v>45502</v>
      </c>
    </row>
    <row r="476" spans="1:8" customFormat="1">
      <c r="A476" s="221">
        <v>45502</v>
      </c>
      <c r="B476" s="217" t="s">
        <v>423</v>
      </c>
      <c r="C476" s="218" t="s">
        <v>220</v>
      </c>
      <c r="D476" s="219" t="s">
        <v>1060</v>
      </c>
      <c r="E476" s="220" t="s">
        <v>1061</v>
      </c>
      <c r="F476" s="220" t="s">
        <v>1062</v>
      </c>
      <c r="G476" s="220" t="s">
        <v>1063</v>
      </c>
      <c r="H476" s="231">
        <v>45502</v>
      </c>
    </row>
    <row r="477" spans="1:8" customFormat="1" ht="21.9">
      <c r="A477" s="221">
        <v>45502</v>
      </c>
      <c r="B477" s="217" t="s">
        <v>423</v>
      </c>
      <c r="C477" s="218" t="s">
        <v>220</v>
      </c>
      <c r="D477" s="219" t="s">
        <v>817</v>
      </c>
      <c r="E477" s="220" t="s">
        <v>818</v>
      </c>
      <c r="F477" s="220"/>
      <c r="G477" s="220" t="s">
        <v>1064</v>
      </c>
      <c r="H477" s="231">
        <v>45502</v>
      </c>
    </row>
    <row r="478" spans="1:8" customFormat="1">
      <c r="A478" s="221">
        <v>45502</v>
      </c>
      <c r="B478" s="217" t="s">
        <v>423</v>
      </c>
      <c r="C478" s="218" t="s">
        <v>220</v>
      </c>
      <c r="D478" s="219" t="s">
        <v>1065</v>
      </c>
      <c r="E478" s="220" t="s">
        <v>710</v>
      </c>
      <c r="F478" s="220"/>
      <c r="G478" s="220" t="s">
        <v>1033</v>
      </c>
      <c r="H478" s="231">
        <v>45502</v>
      </c>
    </row>
    <row r="479" spans="1:8" customFormat="1">
      <c r="A479" s="221">
        <v>45502</v>
      </c>
      <c r="B479" s="217" t="s">
        <v>423</v>
      </c>
      <c r="C479" s="218" t="s">
        <v>220</v>
      </c>
      <c r="D479" s="219" t="s">
        <v>1066</v>
      </c>
      <c r="E479" s="220" t="s">
        <v>1067</v>
      </c>
      <c r="F479" s="220"/>
      <c r="G479" s="220" t="s">
        <v>1033</v>
      </c>
      <c r="H479" s="231">
        <v>45502</v>
      </c>
    </row>
    <row r="480" spans="1:8" customFormat="1">
      <c r="A480" s="221">
        <v>45502</v>
      </c>
      <c r="B480" s="217" t="s">
        <v>423</v>
      </c>
      <c r="C480" s="218" t="s">
        <v>220</v>
      </c>
      <c r="D480" s="219" t="s">
        <v>1068</v>
      </c>
      <c r="E480" s="220" t="s">
        <v>1069</v>
      </c>
      <c r="F480" s="220"/>
      <c r="G480" s="220" t="s">
        <v>1033</v>
      </c>
      <c r="H480" s="231">
        <v>45502</v>
      </c>
    </row>
    <row r="481" spans="1:8" customFormat="1">
      <c r="A481" s="221">
        <v>45502</v>
      </c>
      <c r="B481" s="217" t="s">
        <v>423</v>
      </c>
      <c r="C481" s="218" t="s">
        <v>267</v>
      </c>
      <c r="D481" s="219" t="s">
        <v>432</v>
      </c>
      <c r="E481" s="220" t="s">
        <v>236</v>
      </c>
      <c r="F481" s="220"/>
      <c r="G481" s="220" t="s">
        <v>285</v>
      </c>
      <c r="H481" s="231">
        <v>45502</v>
      </c>
    </row>
    <row r="482" spans="1:8" customFormat="1">
      <c r="A482" s="221">
        <v>45439</v>
      </c>
      <c r="B482" s="217" t="s">
        <v>7</v>
      </c>
      <c r="C482" s="218" t="s">
        <v>220</v>
      </c>
      <c r="D482" s="219" t="s">
        <v>1070</v>
      </c>
      <c r="E482" s="220" t="s">
        <v>1071</v>
      </c>
      <c r="F482" s="220" t="s">
        <v>1072</v>
      </c>
      <c r="G482" s="220" t="s">
        <v>1073</v>
      </c>
      <c r="H482" s="231">
        <v>45439</v>
      </c>
    </row>
    <row r="483" spans="1:8" customFormat="1">
      <c r="A483" s="221">
        <v>45398</v>
      </c>
      <c r="B483" s="217" t="s">
        <v>7</v>
      </c>
      <c r="C483" s="218" t="s">
        <v>220</v>
      </c>
      <c r="D483" s="219" t="s">
        <v>1074</v>
      </c>
      <c r="E483" s="220" t="s">
        <v>1075</v>
      </c>
      <c r="F483" s="220"/>
      <c r="G483" s="220" t="s">
        <v>1033</v>
      </c>
      <c r="H483" s="231">
        <v>45398</v>
      </c>
    </row>
    <row r="484" spans="1:8" customFormat="1">
      <c r="A484" s="221">
        <v>45398</v>
      </c>
      <c r="B484" s="217" t="s">
        <v>7</v>
      </c>
      <c r="C484" s="218" t="s">
        <v>220</v>
      </c>
      <c r="D484" s="219" t="s">
        <v>1076</v>
      </c>
      <c r="E484" s="220" t="s">
        <v>1077</v>
      </c>
      <c r="F484" s="220"/>
      <c r="G484" s="220" t="s">
        <v>1033</v>
      </c>
      <c r="H484" s="231">
        <v>45398</v>
      </c>
    </row>
    <row r="485" spans="1:8" customFormat="1" ht="21.9">
      <c r="A485" s="221">
        <v>45398</v>
      </c>
      <c r="B485" s="217" t="s">
        <v>7</v>
      </c>
      <c r="C485" s="218" t="s">
        <v>220</v>
      </c>
      <c r="D485" s="219" t="s">
        <v>1078</v>
      </c>
      <c r="E485" s="220" t="s">
        <v>1079</v>
      </c>
      <c r="F485" s="220"/>
      <c r="G485" s="220" t="s">
        <v>1033</v>
      </c>
      <c r="H485" s="231">
        <v>45398</v>
      </c>
    </row>
    <row r="486" spans="1:8" customFormat="1">
      <c r="A486" s="221">
        <v>45398</v>
      </c>
      <c r="B486" s="217" t="s">
        <v>7</v>
      </c>
      <c r="C486" s="218" t="s">
        <v>267</v>
      </c>
      <c r="D486" s="219" t="s">
        <v>1080</v>
      </c>
      <c r="E486" s="220" t="s">
        <v>205</v>
      </c>
      <c r="F486" s="220" t="s">
        <v>1081</v>
      </c>
      <c r="G486" s="220" t="s">
        <v>288</v>
      </c>
      <c r="H486" s="231">
        <v>45398</v>
      </c>
    </row>
    <row r="487" spans="1:8" customFormat="1">
      <c r="A487" s="221">
        <v>45398</v>
      </c>
      <c r="B487" s="217" t="s">
        <v>7</v>
      </c>
      <c r="C487" s="218" t="s">
        <v>267</v>
      </c>
      <c r="D487" s="219" t="s">
        <v>273</v>
      </c>
      <c r="E487" s="220" t="s">
        <v>274</v>
      </c>
      <c r="F487" s="220" t="s">
        <v>1082</v>
      </c>
      <c r="G487" s="220" t="s">
        <v>471</v>
      </c>
      <c r="H487" s="231">
        <v>45398</v>
      </c>
    </row>
    <row r="488" spans="1:8" customFormat="1">
      <c r="A488" s="221">
        <v>45398</v>
      </c>
      <c r="B488" s="217" t="s">
        <v>7</v>
      </c>
      <c r="C488" s="218" t="s">
        <v>267</v>
      </c>
      <c r="D488" s="219" t="s">
        <v>840</v>
      </c>
      <c r="E488" s="220" t="s">
        <v>841</v>
      </c>
      <c r="F488" s="220" t="s">
        <v>407</v>
      </c>
      <c r="G488" s="220" t="s">
        <v>471</v>
      </c>
      <c r="H488" s="231">
        <v>45398</v>
      </c>
    </row>
    <row r="489" spans="1:8" customFormat="1">
      <c r="A489" s="221">
        <v>45398</v>
      </c>
      <c r="B489" s="217" t="s">
        <v>7</v>
      </c>
      <c r="C489" s="218" t="s">
        <v>267</v>
      </c>
      <c r="D489" s="219" t="s">
        <v>1083</v>
      </c>
      <c r="E489" s="220" t="s">
        <v>1084</v>
      </c>
      <c r="F489" s="220"/>
      <c r="G489" s="220" t="s">
        <v>285</v>
      </c>
      <c r="H489" s="231">
        <v>45398</v>
      </c>
    </row>
    <row r="490" spans="1:8" customFormat="1" ht="21.9">
      <c r="A490" s="221">
        <v>45398</v>
      </c>
      <c r="B490" s="217" t="s">
        <v>7</v>
      </c>
      <c r="C490" s="218" t="s">
        <v>267</v>
      </c>
      <c r="D490" s="219" t="s">
        <v>1085</v>
      </c>
      <c r="E490" s="220" t="s">
        <v>1086</v>
      </c>
      <c r="F490" s="220" t="s">
        <v>1087</v>
      </c>
      <c r="G490" s="220" t="s">
        <v>471</v>
      </c>
      <c r="H490" s="231">
        <v>45398</v>
      </c>
    </row>
    <row r="491" spans="1:8" customFormat="1">
      <c r="A491" s="221">
        <v>45398</v>
      </c>
      <c r="B491" s="217" t="s">
        <v>7</v>
      </c>
      <c r="C491" s="218" t="s">
        <v>267</v>
      </c>
      <c r="D491" s="219" t="s">
        <v>1088</v>
      </c>
      <c r="E491" s="220" t="s">
        <v>654</v>
      </c>
      <c r="F491" s="220" t="s">
        <v>1089</v>
      </c>
      <c r="G491" s="220" t="s">
        <v>276</v>
      </c>
      <c r="H491" s="231">
        <v>45398</v>
      </c>
    </row>
    <row r="492" spans="1:8" customFormat="1">
      <c r="A492" s="221">
        <v>45398</v>
      </c>
      <c r="B492" s="217" t="s">
        <v>7</v>
      </c>
      <c r="C492" s="218" t="s">
        <v>267</v>
      </c>
      <c r="D492" s="219" t="s">
        <v>1088</v>
      </c>
      <c r="E492" s="220" t="s">
        <v>654</v>
      </c>
      <c r="F492" s="220" t="s">
        <v>1090</v>
      </c>
      <c r="G492" s="220" t="s">
        <v>276</v>
      </c>
      <c r="H492" s="231">
        <v>45398</v>
      </c>
    </row>
    <row r="493" spans="1:8" customFormat="1">
      <c r="A493" s="221">
        <v>45398</v>
      </c>
      <c r="B493" s="217" t="s">
        <v>7</v>
      </c>
      <c r="C493" s="218" t="s">
        <v>267</v>
      </c>
      <c r="D493" s="219" t="s">
        <v>1088</v>
      </c>
      <c r="E493" s="220" t="s">
        <v>654</v>
      </c>
      <c r="F493" s="220"/>
      <c r="G493" s="220" t="s">
        <v>1091</v>
      </c>
      <c r="H493" s="231">
        <v>45398</v>
      </c>
    </row>
    <row r="494" spans="1:8" customFormat="1" ht="21.9">
      <c r="A494" s="221">
        <v>45398</v>
      </c>
      <c r="B494" s="217" t="s">
        <v>7</v>
      </c>
      <c r="C494" s="218" t="s">
        <v>267</v>
      </c>
      <c r="D494" s="219" t="s">
        <v>845</v>
      </c>
      <c r="E494" s="220" t="s">
        <v>654</v>
      </c>
      <c r="F494" s="220"/>
      <c r="G494" s="220" t="s">
        <v>1092</v>
      </c>
      <c r="H494" s="231">
        <v>45398</v>
      </c>
    </row>
    <row r="495" spans="1:8" customFormat="1">
      <c r="A495" s="221">
        <v>45398</v>
      </c>
      <c r="B495" s="217" t="s">
        <v>7</v>
      </c>
      <c r="C495" s="218" t="s">
        <v>267</v>
      </c>
      <c r="D495" s="219" t="s">
        <v>1093</v>
      </c>
      <c r="E495" s="220" t="s">
        <v>1094</v>
      </c>
      <c r="F495" s="220" t="s">
        <v>1095</v>
      </c>
      <c r="G495" s="220" t="s">
        <v>1096</v>
      </c>
      <c r="H495" s="231">
        <v>45398</v>
      </c>
    </row>
    <row r="496" spans="1:8" customFormat="1">
      <c r="A496" s="221">
        <v>45398</v>
      </c>
      <c r="B496" s="217" t="s">
        <v>7</v>
      </c>
      <c r="C496" s="218" t="s">
        <v>267</v>
      </c>
      <c r="D496" s="219" t="s">
        <v>255</v>
      </c>
      <c r="E496" s="220" t="s">
        <v>526</v>
      </c>
      <c r="F496" s="220"/>
      <c r="G496" s="220" t="s">
        <v>285</v>
      </c>
      <c r="H496" s="231">
        <v>45398</v>
      </c>
    </row>
    <row r="497" spans="1:8" customFormat="1">
      <c r="A497" s="221">
        <v>45398</v>
      </c>
      <c r="B497" s="217" t="s">
        <v>309</v>
      </c>
      <c r="C497" s="218" t="s">
        <v>220</v>
      </c>
      <c r="D497" s="219" t="s">
        <v>310</v>
      </c>
      <c r="E497" s="220" t="s">
        <v>311</v>
      </c>
      <c r="F497" s="220"/>
      <c r="G497" s="220" t="s">
        <v>270</v>
      </c>
      <c r="H497" s="231">
        <v>45398</v>
      </c>
    </row>
    <row r="498" spans="1:8" customFormat="1">
      <c r="A498" s="221">
        <v>45398</v>
      </c>
      <c r="B498" s="217" t="s">
        <v>309</v>
      </c>
      <c r="C498" s="218" t="s">
        <v>220</v>
      </c>
      <c r="D498" s="219" t="s">
        <v>1097</v>
      </c>
      <c r="E498" s="220" t="s">
        <v>1098</v>
      </c>
      <c r="F498" s="220"/>
      <c r="G498" s="220" t="s">
        <v>1033</v>
      </c>
      <c r="H498" s="231">
        <v>45398</v>
      </c>
    </row>
    <row r="499" spans="1:8" customFormat="1">
      <c r="A499" s="221">
        <v>45398</v>
      </c>
      <c r="B499" s="217" t="s">
        <v>309</v>
      </c>
      <c r="C499" s="218" t="s">
        <v>220</v>
      </c>
      <c r="D499" s="219" t="s">
        <v>1099</v>
      </c>
      <c r="E499" s="220" t="s">
        <v>1100</v>
      </c>
      <c r="F499" s="220"/>
      <c r="G499" s="220" t="s">
        <v>1033</v>
      </c>
      <c r="H499" s="231">
        <v>45398</v>
      </c>
    </row>
    <row r="500" spans="1:8" customFormat="1">
      <c r="A500" s="221">
        <v>45398</v>
      </c>
      <c r="B500" s="217" t="s">
        <v>309</v>
      </c>
      <c r="C500" s="218" t="s">
        <v>220</v>
      </c>
      <c r="D500" s="219" t="s">
        <v>1101</v>
      </c>
      <c r="E500" s="220" t="s">
        <v>791</v>
      </c>
      <c r="F500" s="220"/>
      <c r="G500" s="220" t="s">
        <v>1033</v>
      </c>
      <c r="H500" s="231">
        <v>45398</v>
      </c>
    </row>
    <row r="501" spans="1:8" customFormat="1">
      <c r="A501" s="221">
        <v>45398</v>
      </c>
      <c r="B501" s="217" t="s">
        <v>309</v>
      </c>
      <c r="C501" s="218" t="s">
        <v>220</v>
      </c>
      <c r="D501" s="219" t="s">
        <v>1101</v>
      </c>
      <c r="E501" s="220" t="s">
        <v>791</v>
      </c>
      <c r="F501" s="220"/>
      <c r="G501" s="220" t="s">
        <v>1033</v>
      </c>
      <c r="H501" s="231">
        <v>45398</v>
      </c>
    </row>
    <row r="502" spans="1:8" customFormat="1">
      <c r="A502" s="221">
        <v>45398</v>
      </c>
      <c r="B502" s="217" t="s">
        <v>309</v>
      </c>
      <c r="C502" s="218" t="s">
        <v>220</v>
      </c>
      <c r="D502" s="219" t="s">
        <v>1049</v>
      </c>
      <c r="E502" s="220" t="s">
        <v>308</v>
      </c>
      <c r="F502" s="220" t="s">
        <v>1102</v>
      </c>
      <c r="G502" s="220" t="s">
        <v>1103</v>
      </c>
      <c r="H502" s="231">
        <v>45398</v>
      </c>
    </row>
    <row r="503" spans="1:8" customFormat="1">
      <c r="A503" s="221">
        <v>45398</v>
      </c>
      <c r="B503" s="217" t="s">
        <v>309</v>
      </c>
      <c r="C503" s="218" t="s">
        <v>220</v>
      </c>
      <c r="D503" s="219" t="s">
        <v>1049</v>
      </c>
      <c r="E503" s="220" t="s">
        <v>308</v>
      </c>
      <c r="F503" s="220" t="s">
        <v>1104</v>
      </c>
      <c r="G503" s="220" t="s">
        <v>1103</v>
      </c>
      <c r="H503" s="231">
        <v>45398</v>
      </c>
    </row>
    <row r="504" spans="1:8" customFormat="1">
      <c r="A504" s="221">
        <v>45398</v>
      </c>
      <c r="B504" s="217" t="s">
        <v>309</v>
      </c>
      <c r="C504" s="218" t="s">
        <v>220</v>
      </c>
      <c r="D504" s="219" t="s">
        <v>1105</v>
      </c>
      <c r="E504" s="220" t="s">
        <v>1106</v>
      </c>
      <c r="F504" s="220" t="s">
        <v>1107</v>
      </c>
      <c r="G504" s="220" t="s">
        <v>1108</v>
      </c>
      <c r="H504" s="231">
        <v>45398</v>
      </c>
    </row>
    <row r="505" spans="1:8" customFormat="1">
      <c r="A505" s="221">
        <v>45398</v>
      </c>
      <c r="B505" s="217" t="s">
        <v>309</v>
      </c>
      <c r="C505" s="218" t="s">
        <v>267</v>
      </c>
      <c r="D505" s="219" t="s">
        <v>721</v>
      </c>
      <c r="E505" s="220" t="s">
        <v>872</v>
      </c>
      <c r="F505" s="220"/>
      <c r="G505" s="220" t="s">
        <v>270</v>
      </c>
      <c r="H505" s="231">
        <v>45398</v>
      </c>
    </row>
    <row r="506" spans="1:8" customFormat="1" ht="21.9">
      <c r="A506" s="221">
        <v>45398</v>
      </c>
      <c r="B506" s="217" t="s">
        <v>309</v>
      </c>
      <c r="C506" s="218" t="s">
        <v>267</v>
      </c>
      <c r="D506" s="219" t="s">
        <v>374</v>
      </c>
      <c r="E506" s="220" t="s">
        <v>375</v>
      </c>
      <c r="F506" s="220"/>
      <c r="G506" s="220" t="s">
        <v>587</v>
      </c>
      <c r="H506" s="231">
        <v>45398</v>
      </c>
    </row>
    <row r="507" spans="1:8" customFormat="1">
      <c r="A507" s="221">
        <v>45398</v>
      </c>
      <c r="B507" s="217" t="s">
        <v>309</v>
      </c>
      <c r="C507" s="218" t="s">
        <v>267</v>
      </c>
      <c r="D507" s="219" t="s">
        <v>356</v>
      </c>
      <c r="E507" s="220" t="s">
        <v>357</v>
      </c>
      <c r="F507" s="220"/>
      <c r="G507" s="220" t="s">
        <v>285</v>
      </c>
      <c r="H507" s="231">
        <v>45398</v>
      </c>
    </row>
    <row r="508" spans="1:8" customFormat="1">
      <c r="A508" s="221">
        <v>45398</v>
      </c>
      <c r="B508" s="217" t="s">
        <v>309</v>
      </c>
      <c r="C508" s="218" t="s">
        <v>267</v>
      </c>
      <c r="D508" s="219" t="s">
        <v>978</v>
      </c>
      <c r="E508" s="220" t="s">
        <v>979</v>
      </c>
      <c r="F508" s="220" t="s">
        <v>980</v>
      </c>
      <c r="G508" s="220" t="s">
        <v>276</v>
      </c>
      <c r="H508" s="231">
        <v>45398</v>
      </c>
    </row>
    <row r="509" spans="1:8" customFormat="1">
      <c r="A509" s="221">
        <v>45398</v>
      </c>
      <c r="B509" s="217" t="s">
        <v>309</v>
      </c>
      <c r="C509" s="218" t="s">
        <v>267</v>
      </c>
      <c r="D509" s="219" t="s">
        <v>981</v>
      </c>
      <c r="E509" s="220" t="s">
        <v>1109</v>
      </c>
      <c r="F509" s="220" t="s">
        <v>1110</v>
      </c>
      <c r="G509" s="220" t="s">
        <v>285</v>
      </c>
      <c r="H509" s="231">
        <v>45398</v>
      </c>
    </row>
    <row r="510" spans="1:8" customFormat="1">
      <c r="A510" s="221">
        <v>45398</v>
      </c>
      <c r="B510" s="217" t="s">
        <v>309</v>
      </c>
      <c r="C510" s="218" t="s">
        <v>267</v>
      </c>
      <c r="D510" s="219" t="s">
        <v>1111</v>
      </c>
      <c r="E510" s="220" t="s">
        <v>1112</v>
      </c>
      <c r="F510" s="220" t="s">
        <v>1113</v>
      </c>
      <c r="G510" s="220" t="s">
        <v>471</v>
      </c>
      <c r="H510" s="231">
        <v>45398</v>
      </c>
    </row>
    <row r="511" spans="1:8" customFormat="1">
      <c r="A511" s="221">
        <v>45398</v>
      </c>
      <c r="B511" s="217" t="s">
        <v>380</v>
      </c>
      <c r="C511" s="218" t="s">
        <v>199</v>
      </c>
      <c r="D511" s="219" t="s">
        <v>1114</v>
      </c>
      <c r="E511" s="220" t="s">
        <v>1045</v>
      </c>
      <c r="F511" s="220" t="s">
        <v>1115</v>
      </c>
      <c r="G511" s="220" t="s">
        <v>1116</v>
      </c>
      <c r="H511" s="231">
        <v>45398</v>
      </c>
    </row>
    <row r="512" spans="1:8" customFormat="1">
      <c r="A512" s="221">
        <v>45398</v>
      </c>
      <c r="B512" s="217" t="s">
        <v>380</v>
      </c>
      <c r="C512" s="218" t="s">
        <v>199</v>
      </c>
      <c r="D512" s="219" t="s">
        <v>1114</v>
      </c>
      <c r="E512" s="220" t="s">
        <v>1045</v>
      </c>
      <c r="F512" s="220" t="s">
        <v>1117</v>
      </c>
      <c r="G512" s="220" t="s">
        <v>1116</v>
      </c>
      <c r="H512" s="231">
        <v>45398</v>
      </c>
    </row>
    <row r="513" spans="1:8" customFormat="1">
      <c r="A513" s="221">
        <v>45398</v>
      </c>
      <c r="B513" s="217" t="s">
        <v>380</v>
      </c>
      <c r="C513" s="218" t="s">
        <v>199</v>
      </c>
      <c r="D513" s="219" t="s">
        <v>1044</v>
      </c>
      <c r="E513" s="220" t="s">
        <v>1045</v>
      </c>
      <c r="F513" s="220" t="s">
        <v>1118</v>
      </c>
      <c r="G513" s="220" t="s">
        <v>1116</v>
      </c>
      <c r="H513" s="231">
        <v>45398</v>
      </c>
    </row>
    <row r="514" spans="1:8" customFormat="1">
      <c r="A514" s="221">
        <v>45398</v>
      </c>
      <c r="B514" s="217" t="s">
        <v>380</v>
      </c>
      <c r="C514" s="218" t="s">
        <v>199</v>
      </c>
      <c r="D514" s="219" t="s">
        <v>1044</v>
      </c>
      <c r="E514" s="220" t="s">
        <v>1045</v>
      </c>
      <c r="F514" s="220" t="s">
        <v>1046</v>
      </c>
      <c r="G514" s="220" t="s">
        <v>1119</v>
      </c>
      <c r="H514" s="231">
        <v>45398</v>
      </c>
    </row>
    <row r="515" spans="1:8" customFormat="1">
      <c r="A515" s="221">
        <v>45398</v>
      </c>
      <c r="B515" s="217" t="s">
        <v>380</v>
      </c>
      <c r="C515" s="218" t="s">
        <v>220</v>
      </c>
      <c r="D515" s="219" t="s">
        <v>1120</v>
      </c>
      <c r="E515" s="220" t="s">
        <v>1121</v>
      </c>
      <c r="F515" s="220"/>
      <c r="G515" s="220" t="s">
        <v>1033</v>
      </c>
      <c r="H515" s="231">
        <v>45398</v>
      </c>
    </row>
    <row r="516" spans="1:8" customFormat="1">
      <c r="A516" s="221">
        <v>45398</v>
      </c>
      <c r="B516" s="217" t="s">
        <v>380</v>
      </c>
      <c r="C516" s="218" t="s">
        <v>220</v>
      </c>
      <c r="D516" s="219" t="s">
        <v>1122</v>
      </c>
      <c r="E516" s="220" t="s">
        <v>308</v>
      </c>
      <c r="F516" s="220" t="s">
        <v>1123</v>
      </c>
      <c r="G516" s="220" t="s">
        <v>1124</v>
      </c>
      <c r="H516" s="231">
        <v>45398</v>
      </c>
    </row>
    <row r="517" spans="1:8" customFormat="1" ht="21.9">
      <c r="A517" s="221">
        <v>45398</v>
      </c>
      <c r="B517" s="217" t="s">
        <v>380</v>
      </c>
      <c r="C517" s="218" t="s">
        <v>267</v>
      </c>
      <c r="D517" s="219" t="s">
        <v>381</v>
      </c>
      <c r="E517" s="220" t="s">
        <v>1125</v>
      </c>
      <c r="F517" s="220" t="s">
        <v>1056</v>
      </c>
      <c r="G517" s="220" t="s">
        <v>285</v>
      </c>
      <c r="H517" s="231">
        <v>45398</v>
      </c>
    </row>
    <row r="518" spans="1:8" customFormat="1">
      <c r="A518" s="221">
        <v>45398</v>
      </c>
      <c r="B518" s="217" t="s">
        <v>380</v>
      </c>
      <c r="C518" s="218" t="s">
        <v>267</v>
      </c>
      <c r="D518" s="219" t="s">
        <v>405</v>
      </c>
      <c r="E518" s="220" t="s">
        <v>1054</v>
      </c>
      <c r="F518" s="220" t="s">
        <v>407</v>
      </c>
      <c r="G518" s="220" t="s">
        <v>471</v>
      </c>
      <c r="H518" s="231">
        <v>45398</v>
      </c>
    </row>
    <row r="519" spans="1:8" customFormat="1">
      <c r="A519" s="221">
        <v>45398</v>
      </c>
      <c r="B519" s="217" t="s">
        <v>380</v>
      </c>
      <c r="C519" s="218" t="s">
        <v>267</v>
      </c>
      <c r="D519" s="219" t="s">
        <v>408</v>
      </c>
      <c r="E519" s="220" t="s">
        <v>1055</v>
      </c>
      <c r="F519" s="220" t="s">
        <v>1056</v>
      </c>
      <c r="G519" s="220" t="s">
        <v>471</v>
      </c>
      <c r="H519" s="231">
        <v>45398</v>
      </c>
    </row>
    <row r="520" spans="1:8" customFormat="1" ht="21.9">
      <c r="A520" s="221">
        <v>45398</v>
      </c>
      <c r="B520" s="217" t="s">
        <v>380</v>
      </c>
      <c r="C520" s="218" t="s">
        <v>267</v>
      </c>
      <c r="D520" s="219" t="s">
        <v>1126</v>
      </c>
      <c r="E520" s="220" t="s">
        <v>1127</v>
      </c>
      <c r="F520" s="220" t="s">
        <v>1128</v>
      </c>
      <c r="G520" s="220" t="s">
        <v>288</v>
      </c>
      <c r="H520" s="231">
        <v>45398</v>
      </c>
    </row>
    <row r="521" spans="1:8" customFormat="1">
      <c r="A521" s="221">
        <v>45398</v>
      </c>
      <c r="B521" s="217" t="s">
        <v>380</v>
      </c>
      <c r="C521" s="218" t="s">
        <v>267</v>
      </c>
      <c r="D521" s="219" t="s">
        <v>419</v>
      </c>
      <c r="E521" s="220" t="s">
        <v>269</v>
      </c>
      <c r="F521" s="220" t="s">
        <v>928</v>
      </c>
      <c r="G521" s="220" t="s">
        <v>276</v>
      </c>
      <c r="H521" s="231">
        <v>45398</v>
      </c>
    </row>
    <row r="522" spans="1:8" customFormat="1">
      <c r="A522" s="221">
        <v>45398</v>
      </c>
      <c r="B522" s="217" t="s">
        <v>380</v>
      </c>
      <c r="C522" s="218" t="s">
        <v>267</v>
      </c>
      <c r="D522" s="219" t="s">
        <v>386</v>
      </c>
      <c r="E522" s="220" t="s">
        <v>1129</v>
      </c>
      <c r="F522" s="220"/>
      <c r="G522" s="220" t="s">
        <v>285</v>
      </c>
      <c r="H522" s="231">
        <v>45398</v>
      </c>
    </row>
    <row r="523" spans="1:8" customFormat="1">
      <c r="A523" s="221">
        <v>45398</v>
      </c>
      <c r="B523" s="217" t="s">
        <v>380</v>
      </c>
      <c r="C523" s="218" t="s">
        <v>267</v>
      </c>
      <c r="D523" s="219" t="s">
        <v>1130</v>
      </c>
      <c r="E523" s="220" t="s">
        <v>1131</v>
      </c>
      <c r="F523" s="220" t="s">
        <v>1132</v>
      </c>
      <c r="G523" s="220" t="s">
        <v>276</v>
      </c>
      <c r="H523" s="231">
        <v>45398</v>
      </c>
    </row>
    <row r="524" spans="1:8" customFormat="1" ht="21.9">
      <c r="A524" s="221">
        <v>45398</v>
      </c>
      <c r="B524" s="217" t="s">
        <v>565</v>
      </c>
      <c r="C524" s="218" t="s">
        <v>220</v>
      </c>
      <c r="D524" s="219" t="s">
        <v>1133</v>
      </c>
      <c r="E524" s="220" t="s">
        <v>1134</v>
      </c>
      <c r="F524" s="220"/>
      <c r="G524" s="220" t="s">
        <v>1033</v>
      </c>
      <c r="H524" s="231">
        <v>45398</v>
      </c>
    </row>
    <row r="525" spans="1:8" customFormat="1" ht="21.9">
      <c r="A525" s="221">
        <v>45398</v>
      </c>
      <c r="B525" s="217" t="s">
        <v>565</v>
      </c>
      <c r="C525" s="218" t="s">
        <v>220</v>
      </c>
      <c r="D525" s="219" t="s">
        <v>1135</v>
      </c>
      <c r="E525" s="220" t="s">
        <v>1134</v>
      </c>
      <c r="F525" s="220"/>
      <c r="G525" s="220" t="s">
        <v>1033</v>
      </c>
      <c r="H525" s="231">
        <v>45398</v>
      </c>
    </row>
    <row r="526" spans="1:8" customFormat="1">
      <c r="A526" s="221">
        <v>45398</v>
      </c>
      <c r="B526" s="217" t="s">
        <v>565</v>
      </c>
      <c r="C526" s="218" t="s">
        <v>220</v>
      </c>
      <c r="D526" s="219" t="s">
        <v>1136</v>
      </c>
      <c r="E526" s="220" t="s">
        <v>1137</v>
      </c>
      <c r="F526" s="220"/>
      <c r="G526" s="220" t="s">
        <v>1033</v>
      </c>
      <c r="H526" s="231">
        <v>45398</v>
      </c>
    </row>
    <row r="527" spans="1:8" customFormat="1" ht="32.15">
      <c r="A527" s="221">
        <v>45398</v>
      </c>
      <c r="B527" s="217" t="s">
        <v>565</v>
      </c>
      <c r="C527" s="218" t="s">
        <v>220</v>
      </c>
      <c r="D527" s="219" t="s">
        <v>1138</v>
      </c>
      <c r="E527" s="220" t="s">
        <v>1139</v>
      </c>
      <c r="F527" s="220"/>
      <c r="G527" s="220" t="s">
        <v>1033</v>
      </c>
      <c r="H527" s="231">
        <v>45398</v>
      </c>
    </row>
    <row r="528" spans="1:8" customFormat="1" ht="21.9">
      <c r="A528" s="221">
        <v>45398</v>
      </c>
      <c r="B528" s="217" t="s">
        <v>423</v>
      </c>
      <c r="C528" s="218" t="s">
        <v>220</v>
      </c>
      <c r="D528" s="219" t="s">
        <v>435</v>
      </c>
      <c r="E528" s="220" t="s">
        <v>436</v>
      </c>
      <c r="F528" s="220"/>
      <c r="G528" s="220" t="s">
        <v>1140</v>
      </c>
      <c r="H528" s="231">
        <v>45398</v>
      </c>
    </row>
    <row r="529" spans="1:8" customFormat="1">
      <c r="A529" s="221">
        <v>45398</v>
      </c>
      <c r="B529" s="217" t="s">
        <v>423</v>
      </c>
      <c r="C529" s="218" t="s">
        <v>220</v>
      </c>
      <c r="D529" s="219" t="s">
        <v>1141</v>
      </c>
      <c r="E529" s="220" t="s">
        <v>308</v>
      </c>
      <c r="F529" s="220"/>
      <c r="G529" s="220" t="s">
        <v>1033</v>
      </c>
      <c r="H529" s="231">
        <v>45398</v>
      </c>
    </row>
    <row r="530" spans="1:8" customFormat="1" ht="21.9">
      <c r="A530" s="221">
        <v>45398</v>
      </c>
      <c r="B530" s="217" t="s">
        <v>423</v>
      </c>
      <c r="C530" s="218" t="s">
        <v>267</v>
      </c>
      <c r="D530" s="219" t="s">
        <v>1142</v>
      </c>
      <c r="E530" s="220" t="s">
        <v>1125</v>
      </c>
      <c r="F530" s="220"/>
      <c r="G530" s="220" t="s">
        <v>471</v>
      </c>
      <c r="H530" s="231">
        <v>45398</v>
      </c>
    </row>
    <row r="531" spans="1:8" customFormat="1">
      <c r="A531" s="221">
        <v>45398</v>
      </c>
      <c r="B531" s="217" t="s">
        <v>423</v>
      </c>
      <c r="C531" s="218" t="s">
        <v>267</v>
      </c>
      <c r="D531" s="219" t="s">
        <v>432</v>
      </c>
      <c r="E531" s="220" t="s">
        <v>236</v>
      </c>
      <c r="F531" s="220"/>
      <c r="G531" s="220" t="s">
        <v>270</v>
      </c>
      <c r="H531" s="231">
        <v>45398</v>
      </c>
    </row>
    <row r="532" spans="1:8" customFormat="1">
      <c r="A532" s="221">
        <v>45329</v>
      </c>
      <c r="B532" s="217" t="s">
        <v>380</v>
      </c>
      <c r="C532" s="218" t="s">
        <v>199</v>
      </c>
      <c r="D532" s="219" t="s">
        <v>1114</v>
      </c>
      <c r="E532" s="220" t="s">
        <v>1045</v>
      </c>
      <c r="F532" s="220" t="s">
        <v>1115</v>
      </c>
      <c r="G532" s="220" t="s">
        <v>1143</v>
      </c>
      <c r="H532" s="231">
        <v>45329</v>
      </c>
    </row>
    <row r="533" spans="1:8" customFormat="1">
      <c r="A533" s="221">
        <v>45329</v>
      </c>
      <c r="B533" s="217" t="s">
        <v>380</v>
      </c>
      <c r="C533" s="218" t="s">
        <v>199</v>
      </c>
      <c r="D533" s="219" t="s">
        <v>1114</v>
      </c>
      <c r="E533" s="220" t="s">
        <v>1045</v>
      </c>
      <c r="F533" s="220" t="s">
        <v>1117</v>
      </c>
      <c r="G533" s="220" t="s">
        <v>1143</v>
      </c>
      <c r="H533" s="231">
        <v>45329</v>
      </c>
    </row>
    <row r="534" spans="1:8" customFormat="1">
      <c r="A534" s="221">
        <v>45329</v>
      </c>
      <c r="B534" s="217" t="s">
        <v>380</v>
      </c>
      <c r="C534" s="218" t="s">
        <v>199</v>
      </c>
      <c r="D534" s="219" t="s">
        <v>1044</v>
      </c>
      <c r="E534" s="220" t="s">
        <v>1045</v>
      </c>
      <c r="F534" s="220" t="s">
        <v>1118</v>
      </c>
      <c r="G534" s="220" t="s">
        <v>1143</v>
      </c>
      <c r="H534" s="231">
        <v>45329</v>
      </c>
    </row>
    <row r="535" spans="1:8" customFormat="1">
      <c r="A535" s="221">
        <v>45329</v>
      </c>
      <c r="B535" s="217" t="s">
        <v>380</v>
      </c>
      <c r="C535" s="218" t="s">
        <v>199</v>
      </c>
      <c r="D535" s="219" t="s">
        <v>1044</v>
      </c>
      <c r="E535" s="220" t="s">
        <v>1045</v>
      </c>
      <c r="F535" s="220" t="s">
        <v>1046</v>
      </c>
      <c r="G535" s="220" t="s">
        <v>1143</v>
      </c>
      <c r="H535" s="231">
        <v>45329</v>
      </c>
    </row>
    <row r="536" spans="1:8" customFormat="1">
      <c r="A536" s="221">
        <v>45320</v>
      </c>
      <c r="B536" s="217" t="s">
        <v>7</v>
      </c>
      <c r="C536" s="218" t="s">
        <v>220</v>
      </c>
      <c r="D536" s="219" t="s">
        <v>1144</v>
      </c>
      <c r="E536" s="220" t="s">
        <v>1025</v>
      </c>
      <c r="F536" s="220"/>
      <c r="G536" s="220" t="s">
        <v>1026</v>
      </c>
      <c r="H536" s="231">
        <v>45320</v>
      </c>
    </row>
    <row r="537" spans="1:8" customFormat="1">
      <c r="A537" s="221">
        <v>45320</v>
      </c>
      <c r="B537" s="217" t="s">
        <v>7</v>
      </c>
      <c r="C537" s="218" t="s">
        <v>220</v>
      </c>
      <c r="D537" s="219" t="s">
        <v>1145</v>
      </c>
      <c r="E537" s="220" t="s">
        <v>1146</v>
      </c>
      <c r="F537" s="220"/>
      <c r="G537" s="220" t="s">
        <v>1033</v>
      </c>
      <c r="H537" s="231">
        <v>45320</v>
      </c>
    </row>
    <row r="538" spans="1:8" customFormat="1">
      <c r="A538" s="221">
        <v>45320</v>
      </c>
      <c r="B538" s="217" t="s">
        <v>7</v>
      </c>
      <c r="C538" s="218" t="s">
        <v>220</v>
      </c>
      <c r="D538" s="219" t="s">
        <v>958</v>
      </c>
      <c r="E538" s="220" t="s">
        <v>205</v>
      </c>
      <c r="F538" s="220"/>
      <c r="G538" s="220" t="s">
        <v>1147</v>
      </c>
      <c r="H538" s="231">
        <v>45320</v>
      </c>
    </row>
    <row r="539" spans="1:8" customFormat="1" ht="21.9">
      <c r="A539" s="221">
        <v>45320</v>
      </c>
      <c r="B539" s="217" t="s">
        <v>7</v>
      </c>
      <c r="C539" s="218" t="s">
        <v>220</v>
      </c>
      <c r="D539" s="219" t="s">
        <v>1126</v>
      </c>
      <c r="E539" s="220" t="s">
        <v>1127</v>
      </c>
      <c r="F539" s="220"/>
      <c r="G539" s="220" t="s">
        <v>1148</v>
      </c>
      <c r="H539" s="231">
        <v>45320</v>
      </c>
    </row>
    <row r="540" spans="1:8" customFormat="1">
      <c r="A540" s="221">
        <v>45320</v>
      </c>
      <c r="B540" s="217" t="s">
        <v>7</v>
      </c>
      <c r="C540" s="218" t="s">
        <v>220</v>
      </c>
      <c r="D540" s="219" t="s">
        <v>1149</v>
      </c>
      <c r="E540" s="220" t="s">
        <v>1150</v>
      </c>
      <c r="F540" s="220"/>
      <c r="G540" s="220" t="s">
        <v>1033</v>
      </c>
      <c r="H540" s="231">
        <v>45320</v>
      </c>
    </row>
    <row r="541" spans="1:8" customFormat="1">
      <c r="A541" s="221">
        <v>45320</v>
      </c>
      <c r="B541" s="217" t="s">
        <v>7</v>
      </c>
      <c r="C541" s="218" t="s">
        <v>220</v>
      </c>
      <c r="D541" s="219" t="s">
        <v>1151</v>
      </c>
      <c r="E541" s="220" t="s">
        <v>1152</v>
      </c>
      <c r="F541" s="220"/>
      <c r="G541" s="220" t="s">
        <v>1033</v>
      </c>
      <c r="H541" s="231">
        <v>45320</v>
      </c>
    </row>
    <row r="542" spans="1:8" customFormat="1">
      <c r="A542" s="221">
        <v>45320</v>
      </c>
      <c r="B542" s="217" t="s">
        <v>7</v>
      </c>
      <c r="C542" s="218" t="s">
        <v>220</v>
      </c>
      <c r="D542" s="219" t="s">
        <v>624</v>
      </c>
      <c r="E542" s="220" t="s">
        <v>625</v>
      </c>
      <c r="F542" s="220"/>
      <c r="G542" s="220" t="s">
        <v>1153</v>
      </c>
      <c r="H542" s="231">
        <v>45320</v>
      </c>
    </row>
    <row r="543" spans="1:8" customFormat="1">
      <c r="A543" s="221">
        <v>45320</v>
      </c>
      <c r="B543" s="217" t="s">
        <v>7</v>
      </c>
      <c r="C543" s="218" t="s">
        <v>220</v>
      </c>
      <c r="D543" s="219" t="s">
        <v>292</v>
      </c>
      <c r="E543" s="220" t="s">
        <v>293</v>
      </c>
      <c r="F543" s="220"/>
      <c r="G543" s="220" t="s">
        <v>1154</v>
      </c>
      <c r="H543" s="231">
        <v>45320</v>
      </c>
    </row>
    <row r="544" spans="1:8" customFormat="1">
      <c r="A544" s="221">
        <v>45320</v>
      </c>
      <c r="B544" s="217" t="s">
        <v>7</v>
      </c>
      <c r="C544" s="218" t="s">
        <v>220</v>
      </c>
      <c r="D544" s="219" t="s">
        <v>1155</v>
      </c>
      <c r="E544" s="220" t="s">
        <v>1156</v>
      </c>
      <c r="F544" s="220"/>
      <c r="G544" s="220" t="s">
        <v>1033</v>
      </c>
      <c r="H544" s="231">
        <v>45320</v>
      </c>
    </row>
    <row r="545" spans="1:8" customFormat="1">
      <c r="A545" s="221">
        <v>45320</v>
      </c>
      <c r="B545" s="217" t="s">
        <v>7</v>
      </c>
      <c r="C545" s="218" t="s">
        <v>220</v>
      </c>
      <c r="D545" s="219" t="s">
        <v>1093</v>
      </c>
      <c r="E545" s="220" t="s">
        <v>1157</v>
      </c>
      <c r="F545" s="220"/>
      <c r="G545" s="220" t="s">
        <v>1158</v>
      </c>
      <c r="H545" s="231">
        <v>45320</v>
      </c>
    </row>
    <row r="546" spans="1:8" customFormat="1" ht="21.9">
      <c r="A546" s="221">
        <v>45320</v>
      </c>
      <c r="B546" s="217" t="s">
        <v>7</v>
      </c>
      <c r="C546" s="218" t="s">
        <v>220</v>
      </c>
      <c r="D546" s="219" t="s">
        <v>656</v>
      </c>
      <c r="E546" s="220" t="s">
        <v>657</v>
      </c>
      <c r="F546" s="220"/>
      <c r="G546" s="220" t="s">
        <v>1159</v>
      </c>
      <c r="H546" s="231">
        <v>45320</v>
      </c>
    </row>
    <row r="547" spans="1:8" customFormat="1">
      <c r="A547" s="221">
        <v>45320</v>
      </c>
      <c r="B547" s="217" t="s">
        <v>7</v>
      </c>
      <c r="C547" s="218" t="s">
        <v>267</v>
      </c>
      <c r="D547" s="219" t="s">
        <v>494</v>
      </c>
      <c r="E547" s="220" t="s">
        <v>1036</v>
      </c>
      <c r="F547" s="220"/>
      <c r="G547" s="220" t="s">
        <v>1160</v>
      </c>
      <c r="H547" s="231">
        <v>45320</v>
      </c>
    </row>
    <row r="548" spans="1:8" customFormat="1">
      <c r="A548" s="221">
        <v>45320</v>
      </c>
      <c r="B548" s="217" t="s">
        <v>7</v>
      </c>
      <c r="C548" s="218" t="s">
        <v>267</v>
      </c>
      <c r="D548" s="219" t="s">
        <v>600</v>
      </c>
      <c r="E548" s="220" t="s">
        <v>281</v>
      </c>
      <c r="F548" s="220"/>
      <c r="G548" s="220" t="s">
        <v>285</v>
      </c>
      <c r="H548" s="231">
        <v>45320</v>
      </c>
    </row>
    <row r="549" spans="1:8" customFormat="1">
      <c r="A549" s="221">
        <v>45320</v>
      </c>
      <c r="B549" s="217" t="s">
        <v>7</v>
      </c>
      <c r="C549" s="218" t="s">
        <v>267</v>
      </c>
      <c r="D549" s="219" t="s">
        <v>204</v>
      </c>
      <c r="E549" s="220" t="s">
        <v>205</v>
      </c>
      <c r="F549" s="220"/>
      <c r="G549" s="220" t="s">
        <v>1161</v>
      </c>
      <c r="H549" s="231">
        <v>45320</v>
      </c>
    </row>
    <row r="550" spans="1:8" customFormat="1">
      <c r="A550" s="221">
        <v>45320</v>
      </c>
      <c r="B550" s="217" t="s">
        <v>7</v>
      </c>
      <c r="C550" s="218" t="s">
        <v>267</v>
      </c>
      <c r="D550" s="219" t="s">
        <v>507</v>
      </c>
      <c r="E550" s="220" t="s">
        <v>508</v>
      </c>
      <c r="F550" s="220"/>
      <c r="G550" s="220" t="s">
        <v>1160</v>
      </c>
      <c r="H550" s="231">
        <v>45320</v>
      </c>
    </row>
    <row r="551" spans="1:8" customFormat="1">
      <c r="A551" s="221">
        <v>45320</v>
      </c>
      <c r="B551" s="217" t="s">
        <v>7</v>
      </c>
      <c r="C551" s="218" t="s">
        <v>267</v>
      </c>
      <c r="D551" s="219" t="s">
        <v>510</v>
      </c>
      <c r="E551" s="220" t="s">
        <v>508</v>
      </c>
      <c r="F551" s="220"/>
      <c r="G551" s="220" t="s">
        <v>1160</v>
      </c>
      <c r="H551" s="231">
        <v>45320</v>
      </c>
    </row>
    <row r="552" spans="1:8" customFormat="1" ht="21.9">
      <c r="A552" s="221">
        <v>45320</v>
      </c>
      <c r="B552" s="217" t="s">
        <v>7</v>
      </c>
      <c r="C552" s="218" t="s">
        <v>267</v>
      </c>
      <c r="D552" s="219" t="s">
        <v>1162</v>
      </c>
      <c r="E552" s="220" t="s">
        <v>1163</v>
      </c>
      <c r="F552" s="220" t="s">
        <v>1164</v>
      </c>
      <c r="G552" s="220" t="s">
        <v>276</v>
      </c>
      <c r="H552" s="231">
        <v>45320</v>
      </c>
    </row>
    <row r="553" spans="1:8" customFormat="1">
      <c r="A553" s="221">
        <v>45320</v>
      </c>
      <c r="B553" s="217" t="s">
        <v>7</v>
      </c>
      <c r="C553" s="218" t="s">
        <v>267</v>
      </c>
      <c r="D553" s="219" t="s">
        <v>1165</v>
      </c>
      <c r="E553" s="220" t="s">
        <v>1166</v>
      </c>
      <c r="F553" s="220"/>
      <c r="G553" s="220" t="s">
        <v>1160</v>
      </c>
      <c r="H553" s="231">
        <v>45320</v>
      </c>
    </row>
    <row r="554" spans="1:8" customFormat="1">
      <c r="A554" s="221">
        <v>45320</v>
      </c>
      <c r="B554" s="217" t="s">
        <v>7</v>
      </c>
      <c r="C554" s="218" t="s">
        <v>267</v>
      </c>
      <c r="D554" s="219" t="s">
        <v>922</v>
      </c>
      <c r="E554" s="220" t="s">
        <v>236</v>
      </c>
      <c r="F554" s="220"/>
      <c r="G554" s="220" t="s">
        <v>1167</v>
      </c>
      <c r="H554" s="231">
        <v>45320</v>
      </c>
    </row>
    <row r="555" spans="1:8" customFormat="1">
      <c r="A555" s="221">
        <v>45320</v>
      </c>
      <c r="B555" s="217" t="s">
        <v>7</v>
      </c>
      <c r="C555" s="218" t="s">
        <v>267</v>
      </c>
      <c r="D555" s="219" t="s">
        <v>1168</v>
      </c>
      <c r="E555" s="220" t="s">
        <v>1169</v>
      </c>
      <c r="F555" s="220"/>
      <c r="G555" s="220" t="s">
        <v>1161</v>
      </c>
      <c r="H555" s="231">
        <v>45320</v>
      </c>
    </row>
    <row r="556" spans="1:8" customFormat="1">
      <c r="A556" s="221">
        <v>45320</v>
      </c>
      <c r="B556" s="217" t="s">
        <v>309</v>
      </c>
      <c r="C556" s="218" t="s">
        <v>220</v>
      </c>
      <c r="D556" s="219" t="s">
        <v>1170</v>
      </c>
      <c r="E556" s="220" t="s">
        <v>324</v>
      </c>
      <c r="F556" s="220"/>
      <c r="G556" s="220" t="s">
        <v>1033</v>
      </c>
      <c r="H556" s="231">
        <v>45320</v>
      </c>
    </row>
    <row r="557" spans="1:8" customFormat="1">
      <c r="A557" s="221">
        <v>45320</v>
      </c>
      <c r="B557" s="217" t="s">
        <v>309</v>
      </c>
      <c r="C557" s="218" t="s">
        <v>220</v>
      </c>
      <c r="D557" s="219" t="s">
        <v>1171</v>
      </c>
      <c r="E557" s="220" t="s">
        <v>1172</v>
      </c>
      <c r="F557" s="220"/>
      <c r="G557" s="220" t="s">
        <v>1026</v>
      </c>
      <c r="H557" s="231">
        <v>45320</v>
      </c>
    </row>
    <row r="558" spans="1:8" customFormat="1">
      <c r="A558" s="221">
        <v>45320</v>
      </c>
      <c r="B558" s="217" t="s">
        <v>309</v>
      </c>
      <c r="C558" s="218" t="s">
        <v>220</v>
      </c>
      <c r="D558" s="219" t="s">
        <v>1173</v>
      </c>
      <c r="E558" s="220" t="s">
        <v>269</v>
      </c>
      <c r="F558" s="220"/>
      <c r="G558" s="220" t="s">
        <v>1174</v>
      </c>
      <c r="H558" s="231">
        <v>45320</v>
      </c>
    </row>
    <row r="559" spans="1:8" customFormat="1">
      <c r="A559" s="221">
        <v>45320</v>
      </c>
      <c r="B559" s="217" t="s">
        <v>309</v>
      </c>
      <c r="C559" s="218" t="s">
        <v>220</v>
      </c>
      <c r="D559" s="219" t="s">
        <v>1175</v>
      </c>
      <c r="E559" s="220" t="s">
        <v>1176</v>
      </c>
      <c r="F559" s="220"/>
      <c r="G559" s="220" t="s">
        <v>1177</v>
      </c>
      <c r="H559" s="231">
        <v>45320</v>
      </c>
    </row>
    <row r="560" spans="1:8" customFormat="1">
      <c r="A560" s="221">
        <v>45320</v>
      </c>
      <c r="B560" s="217" t="s">
        <v>309</v>
      </c>
      <c r="C560" s="218" t="s">
        <v>220</v>
      </c>
      <c r="D560" s="219" t="s">
        <v>1178</v>
      </c>
      <c r="E560" s="220" t="s">
        <v>1179</v>
      </c>
      <c r="F560" s="220"/>
      <c r="G560" s="220" t="s">
        <v>1033</v>
      </c>
      <c r="H560" s="231">
        <v>45320</v>
      </c>
    </row>
    <row r="561" spans="1:8" customFormat="1">
      <c r="A561" s="221">
        <v>45320</v>
      </c>
      <c r="B561" s="217" t="s">
        <v>309</v>
      </c>
      <c r="C561" s="218" t="s">
        <v>220</v>
      </c>
      <c r="D561" s="219" t="s">
        <v>1180</v>
      </c>
      <c r="E561" s="220" t="s">
        <v>357</v>
      </c>
      <c r="F561" s="220"/>
      <c r="G561" s="220" t="s">
        <v>1181</v>
      </c>
      <c r="H561" s="231">
        <v>45320</v>
      </c>
    </row>
    <row r="562" spans="1:8" customFormat="1">
      <c r="A562" s="221">
        <v>45320</v>
      </c>
      <c r="B562" s="217" t="s">
        <v>309</v>
      </c>
      <c r="C562" s="218" t="s">
        <v>267</v>
      </c>
      <c r="D562" s="219" t="s">
        <v>323</v>
      </c>
      <c r="E562" s="220" t="s">
        <v>324</v>
      </c>
      <c r="F562" s="220"/>
      <c r="G562" s="220" t="s">
        <v>1161</v>
      </c>
      <c r="H562" s="231">
        <v>45320</v>
      </c>
    </row>
    <row r="563" spans="1:8" customFormat="1" ht="21.9">
      <c r="A563" s="221">
        <v>45320</v>
      </c>
      <c r="B563" s="217" t="s">
        <v>309</v>
      </c>
      <c r="C563" s="218" t="s">
        <v>267</v>
      </c>
      <c r="D563" s="219" t="s">
        <v>1182</v>
      </c>
      <c r="E563" s="220" t="s">
        <v>1183</v>
      </c>
      <c r="F563" s="220"/>
      <c r="G563" s="220" t="s">
        <v>1161</v>
      </c>
      <c r="H563" s="231">
        <v>45320</v>
      </c>
    </row>
    <row r="564" spans="1:8" customFormat="1">
      <c r="A564" s="221">
        <v>45320</v>
      </c>
      <c r="B564" s="217" t="s">
        <v>309</v>
      </c>
      <c r="C564" s="218" t="s">
        <v>267</v>
      </c>
      <c r="D564" s="219" t="s">
        <v>1184</v>
      </c>
      <c r="E564" s="220" t="s">
        <v>872</v>
      </c>
      <c r="F564" s="220" t="s">
        <v>1185</v>
      </c>
      <c r="G564" s="220" t="s">
        <v>1186</v>
      </c>
      <c r="H564" s="231">
        <v>45320</v>
      </c>
    </row>
    <row r="565" spans="1:8" customFormat="1">
      <c r="A565" s="221">
        <v>45320</v>
      </c>
      <c r="B565" s="217" t="s">
        <v>309</v>
      </c>
      <c r="C565" s="218" t="s">
        <v>267</v>
      </c>
      <c r="D565" s="219" t="s">
        <v>1187</v>
      </c>
      <c r="E565" s="220" t="s">
        <v>1188</v>
      </c>
      <c r="F565" s="220" t="s">
        <v>1189</v>
      </c>
      <c r="G565" s="220" t="s">
        <v>276</v>
      </c>
      <c r="H565" s="231">
        <v>45320</v>
      </c>
    </row>
    <row r="566" spans="1:8" customFormat="1">
      <c r="A566" s="221">
        <v>45320</v>
      </c>
      <c r="B566" s="217" t="s">
        <v>309</v>
      </c>
      <c r="C566" s="218" t="s">
        <v>267</v>
      </c>
      <c r="D566" s="219" t="s">
        <v>729</v>
      </c>
      <c r="E566" s="220" t="s">
        <v>730</v>
      </c>
      <c r="F566" s="220"/>
      <c r="G566" s="220" t="s">
        <v>1161</v>
      </c>
      <c r="H566" s="231">
        <v>45320</v>
      </c>
    </row>
    <row r="567" spans="1:8" customFormat="1">
      <c r="A567" s="221">
        <v>45320</v>
      </c>
      <c r="B567" s="217" t="s">
        <v>309</v>
      </c>
      <c r="C567" s="218" t="s">
        <v>267</v>
      </c>
      <c r="D567" s="219" t="s">
        <v>732</v>
      </c>
      <c r="E567" s="220" t="s">
        <v>1190</v>
      </c>
      <c r="F567" s="220"/>
      <c r="G567" s="220" t="s">
        <v>1191</v>
      </c>
      <c r="H567" s="231">
        <v>45320</v>
      </c>
    </row>
    <row r="568" spans="1:8" customFormat="1">
      <c r="A568" s="221">
        <v>45320</v>
      </c>
      <c r="B568" s="217" t="s">
        <v>380</v>
      </c>
      <c r="C568" s="218" t="s">
        <v>220</v>
      </c>
      <c r="D568" s="219" t="s">
        <v>1192</v>
      </c>
      <c r="E568" s="220" t="s">
        <v>780</v>
      </c>
      <c r="F568" s="220"/>
      <c r="G568" s="220" t="s">
        <v>1033</v>
      </c>
      <c r="H568" s="231">
        <v>45320</v>
      </c>
    </row>
    <row r="569" spans="1:8" customFormat="1">
      <c r="A569" s="221">
        <v>45320</v>
      </c>
      <c r="B569" s="217" t="s">
        <v>380</v>
      </c>
      <c r="C569" s="218" t="s">
        <v>267</v>
      </c>
      <c r="D569" s="219" t="s">
        <v>397</v>
      </c>
      <c r="E569" s="220" t="s">
        <v>553</v>
      </c>
      <c r="F569" s="220"/>
      <c r="G569" s="220" t="s">
        <v>1161</v>
      </c>
      <c r="H569" s="231">
        <v>45320</v>
      </c>
    </row>
    <row r="570" spans="1:8" customFormat="1">
      <c r="A570" s="221">
        <v>45320</v>
      </c>
      <c r="B570" s="217" t="s">
        <v>380</v>
      </c>
      <c r="C570" s="218" t="s">
        <v>267</v>
      </c>
      <c r="D570" s="219" t="s">
        <v>768</v>
      </c>
      <c r="E570" s="220" t="s">
        <v>769</v>
      </c>
      <c r="F570" s="220"/>
      <c r="G570" s="220" t="s">
        <v>1161</v>
      </c>
      <c r="H570" s="231">
        <v>45320</v>
      </c>
    </row>
    <row r="571" spans="1:8" customFormat="1">
      <c r="A571" s="221">
        <v>45320</v>
      </c>
      <c r="B571" s="217" t="s">
        <v>380</v>
      </c>
      <c r="C571" s="218" t="s">
        <v>267</v>
      </c>
      <c r="D571" s="219" t="s">
        <v>419</v>
      </c>
      <c r="E571" s="220" t="s">
        <v>269</v>
      </c>
      <c r="F571" s="220"/>
      <c r="G571" s="220" t="s">
        <v>1167</v>
      </c>
      <c r="H571" s="231">
        <v>45320</v>
      </c>
    </row>
    <row r="572" spans="1:8" customFormat="1">
      <c r="A572" s="221">
        <v>45320</v>
      </c>
      <c r="B572" s="217" t="s">
        <v>423</v>
      </c>
      <c r="C572" s="218" t="s">
        <v>220</v>
      </c>
      <c r="D572" s="219" t="s">
        <v>1193</v>
      </c>
      <c r="E572" s="220" t="s">
        <v>1000</v>
      </c>
      <c r="F572" s="220"/>
      <c r="G572" s="220" t="s">
        <v>1026</v>
      </c>
      <c r="H572" s="231">
        <v>45320</v>
      </c>
    </row>
    <row r="573" spans="1:8" customFormat="1">
      <c r="A573" s="221">
        <v>45320</v>
      </c>
      <c r="B573" s="217" t="s">
        <v>423</v>
      </c>
      <c r="C573" s="218" t="s">
        <v>220</v>
      </c>
      <c r="D573" s="219" t="s">
        <v>1194</v>
      </c>
      <c r="E573" s="220" t="s">
        <v>1195</v>
      </c>
      <c r="F573" s="220"/>
      <c r="G573" s="220" t="s">
        <v>1033</v>
      </c>
      <c r="H573" s="231">
        <v>45320</v>
      </c>
    </row>
    <row r="574" spans="1:8" customFormat="1" ht="21.9">
      <c r="A574" s="221">
        <v>45320</v>
      </c>
      <c r="B574" s="217" t="s">
        <v>423</v>
      </c>
      <c r="C574" s="218" t="s">
        <v>220</v>
      </c>
      <c r="D574" s="219" t="s">
        <v>1142</v>
      </c>
      <c r="E574" s="220" t="s">
        <v>1125</v>
      </c>
      <c r="F574" s="220"/>
      <c r="G574" s="220" t="s">
        <v>1196</v>
      </c>
      <c r="H574" s="231">
        <v>45320</v>
      </c>
    </row>
    <row r="575" spans="1:8" customFormat="1">
      <c r="A575" s="221">
        <v>45320</v>
      </c>
      <c r="B575" s="217" t="s">
        <v>423</v>
      </c>
      <c r="C575" s="218" t="s">
        <v>220</v>
      </c>
      <c r="D575" s="219" t="s">
        <v>1197</v>
      </c>
      <c r="E575" s="220" t="s">
        <v>1195</v>
      </c>
      <c r="F575" s="220"/>
      <c r="G575" s="220" t="s">
        <v>1033</v>
      </c>
      <c r="H575" s="231">
        <v>45320</v>
      </c>
    </row>
    <row r="576" spans="1:8" customFormat="1">
      <c r="A576" s="221">
        <v>45320</v>
      </c>
      <c r="B576" s="217" t="s">
        <v>423</v>
      </c>
      <c r="C576" s="218" t="s">
        <v>220</v>
      </c>
      <c r="D576" s="219" t="s">
        <v>1198</v>
      </c>
      <c r="E576" s="220" t="s">
        <v>1195</v>
      </c>
      <c r="F576" s="220"/>
      <c r="G576" s="220" t="s">
        <v>1033</v>
      </c>
      <c r="H576" s="231">
        <v>45320</v>
      </c>
    </row>
    <row r="577" spans="1:8" customFormat="1" ht="21.9">
      <c r="A577" s="221">
        <v>45320</v>
      </c>
      <c r="B577" s="217" t="s">
        <v>423</v>
      </c>
      <c r="C577" s="218" t="s">
        <v>267</v>
      </c>
      <c r="D577" s="219" t="s">
        <v>460</v>
      </c>
      <c r="E577" s="220" t="s">
        <v>461</v>
      </c>
      <c r="F577" s="220" t="s">
        <v>885</v>
      </c>
      <c r="G577" s="220" t="s">
        <v>285</v>
      </c>
      <c r="H577" s="231">
        <v>45320</v>
      </c>
    </row>
    <row r="578" spans="1:8" customFormat="1">
      <c r="A578" s="221">
        <v>45320</v>
      </c>
      <c r="B578" s="217" t="s">
        <v>423</v>
      </c>
      <c r="C578" s="218" t="s">
        <v>267</v>
      </c>
      <c r="D578" s="219" t="s">
        <v>1199</v>
      </c>
      <c r="E578" s="220" t="s">
        <v>1200</v>
      </c>
      <c r="F578" s="220"/>
      <c r="G578" s="220" t="s">
        <v>285</v>
      </c>
      <c r="H578" s="231">
        <v>45320</v>
      </c>
    </row>
    <row r="579" spans="1:8" customFormat="1">
      <c r="A579" s="221">
        <v>45320</v>
      </c>
      <c r="B579" s="217" t="s">
        <v>423</v>
      </c>
      <c r="C579" s="218" t="s">
        <v>267</v>
      </c>
      <c r="D579" s="219" t="s">
        <v>435</v>
      </c>
      <c r="E579" s="220" t="s">
        <v>1075</v>
      </c>
      <c r="F579" s="220"/>
      <c r="G579" s="220" t="s">
        <v>1161</v>
      </c>
      <c r="H579" s="231">
        <v>45320</v>
      </c>
    </row>
    <row r="580" spans="1:8" customFormat="1">
      <c r="A580" s="221">
        <v>45320</v>
      </c>
      <c r="B580" s="217" t="s">
        <v>423</v>
      </c>
      <c r="C580" s="218" t="s">
        <v>267</v>
      </c>
      <c r="D580" s="219" t="s">
        <v>449</v>
      </c>
      <c r="E580" s="220" t="s">
        <v>450</v>
      </c>
      <c r="F580" s="220"/>
      <c r="G580" s="220" t="s">
        <v>1161</v>
      </c>
      <c r="H580" s="231">
        <v>45320</v>
      </c>
    </row>
    <row r="581" spans="1:8" customFormat="1">
      <c r="A581" s="221">
        <v>45320</v>
      </c>
      <c r="B581" s="217" t="s">
        <v>423</v>
      </c>
      <c r="C581" s="218" t="s">
        <v>267</v>
      </c>
      <c r="D581" s="219" t="s">
        <v>1201</v>
      </c>
      <c r="E581" s="220" t="s">
        <v>1202</v>
      </c>
      <c r="F581" s="220"/>
      <c r="G581" s="220" t="s">
        <v>1161</v>
      </c>
      <c r="H581" s="231">
        <v>45320</v>
      </c>
    </row>
    <row r="582" spans="1:8" customFormat="1">
      <c r="A582" s="221">
        <v>45320</v>
      </c>
      <c r="B582" s="217" t="s">
        <v>423</v>
      </c>
      <c r="C582" s="218" t="s">
        <v>267</v>
      </c>
      <c r="D582" s="219" t="s">
        <v>453</v>
      </c>
      <c r="E582" s="220" t="s">
        <v>454</v>
      </c>
      <c r="F582" s="220"/>
      <c r="G582" s="220" t="s">
        <v>1161</v>
      </c>
      <c r="H582" s="231">
        <v>45320</v>
      </c>
    </row>
    <row r="583" spans="1:8" customFormat="1">
      <c r="A583" s="221">
        <v>45226</v>
      </c>
      <c r="B583" s="217" t="s">
        <v>7</v>
      </c>
      <c r="C583" s="218" t="s">
        <v>220</v>
      </c>
      <c r="D583" s="219" t="s">
        <v>273</v>
      </c>
      <c r="E583" s="220" t="s">
        <v>1203</v>
      </c>
      <c r="F583" s="220" t="s">
        <v>1082</v>
      </c>
      <c r="G583" s="220" t="s">
        <v>1204</v>
      </c>
      <c r="H583" s="231">
        <v>45226</v>
      </c>
    </row>
    <row r="584" spans="1:8" customFormat="1">
      <c r="A584" s="221">
        <v>45226</v>
      </c>
      <c r="B584" s="217" t="s">
        <v>7</v>
      </c>
      <c r="C584" s="218" t="s">
        <v>220</v>
      </c>
      <c r="D584" s="219" t="s">
        <v>1205</v>
      </c>
      <c r="E584" s="220" t="s">
        <v>1206</v>
      </c>
      <c r="F584" s="220"/>
      <c r="G584" s="220" t="s">
        <v>1033</v>
      </c>
      <c r="H584" s="231">
        <v>45226</v>
      </c>
    </row>
    <row r="585" spans="1:8" customFormat="1">
      <c r="A585" s="221">
        <v>45226</v>
      </c>
      <c r="B585" s="217" t="s">
        <v>7</v>
      </c>
      <c r="C585" s="218" t="s">
        <v>220</v>
      </c>
      <c r="D585" s="219" t="s">
        <v>1207</v>
      </c>
      <c r="E585" s="220" t="s">
        <v>1206</v>
      </c>
      <c r="F585" s="220"/>
      <c r="G585" s="220" t="s">
        <v>1033</v>
      </c>
      <c r="H585" s="231">
        <v>45226</v>
      </c>
    </row>
    <row r="586" spans="1:8" customFormat="1" ht="21.9">
      <c r="A586" s="221">
        <v>45226</v>
      </c>
      <c r="B586" s="217" t="s">
        <v>7</v>
      </c>
      <c r="C586" s="218" t="s">
        <v>220</v>
      </c>
      <c r="D586" s="219" t="s">
        <v>1208</v>
      </c>
      <c r="E586" s="220" t="s">
        <v>1209</v>
      </c>
      <c r="F586" s="220"/>
      <c r="G586" s="220" t="s">
        <v>1210</v>
      </c>
      <c r="H586" s="231">
        <v>45226</v>
      </c>
    </row>
    <row r="587" spans="1:8" customFormat="1">
      <c r="A587" s="221">
        <v>45226</v>
      </c>
      <c r="B587" s="217" t="s">
        <v>7</v>
      </c>
      <c r="C587" s="218" t="s">
        <v>220</v>
      </c>
      <c r="D587" s="219" t="s">
        <v>1211</v>
      </c>
      <c r="E587" s="220" t="s">
        <v>1212</v>
      </c>
      <c r="F587" s="220"/>
      <c r="G587" s="220" t="s">
        <v>1033</v>
      </c>
      <c r="H587" s="231">
        <v>45226</v>
      </c>
    </row>
    <row r="588" spans="1:8" customFormat="1">
      <c r="A588" s="221">
        <v>45226</v>
      </c>
      <c r="B588" s="217" t="s">
        <v>7</v>
      </c>
      <c r="C588" s="218" t="s">
        <v>220</v>
      </c>
      <c r="D588" s="219" t="s">
        <v>1213</v>
      </c>
      <c r="E588" s="220" t="s">
        <v>710</v>
      </c>
      <c r="F588" s="220"/>
      <c r="G588" s="220" t="s">
        <v>1033</v>
      </c>
      <c r="H588" s="231">
        <v>45226</v>
      </c>
    </row>
    <row r="589" spans="1:8" customFormat="1">
      <c r="A589" s="221">
        <v>45226</v>
      </c>
      <c r="B589" s="217" t="s">
        <v>7</v>
      </c>
      <c r="C589" s="218" t="s">
        <v>220</v>
      </c>
      <c r="D589" s="219" t="s">
        <v>1214</v>
      </c>
      <c r="E589" s="220" t="s">
        <v>1215</v>
      </c>
      <c r="F589" s="220"/>
      <c r="G589" s="220" t="s">
        <v>1033</v>
      </c>
      <c r="H589" s="231">
        <v>45226</v>
      </c>
    </row>
    <row r="590" spans="1:8" customFormat="1">
      <c r="A590" s="221">
        <v>45226</v>
      </c>
      <c r="B590" s="217" t="s">
        <v>7</v>
      </c>
      <c r="C590" s="218" t="s">
        <v>220</v>
      </c>
      <c r="D590" s="219" t="s">
        <v>1216</v>
      </c>
      <c r="E590" s="220" t="s">
        <v>1217</v>
      </c>
      <c r="F590" s="220"/>
      <c r="G590" s="220" t="s">
        <v>1033</v>
      </c>
      <c r="H590" s="231">
        <v>45226</v>
      </c>
    </row>
    <row r="591" spans="1:8" customFormat="1">
      <c r="A591" s="221">
        <v>45226</v>
      </c>
      <c r="B591" s="217" t="s">
        <v>7</v>
      </c>
      <c r="C591" s="218" t="s">
        <v>220</v>
      </c>
      <c r="D591" s="219" t="s">
        <v>1218</v>
      </c>
      <c r="E591" s="220" t="s">
        <v>1209</v>
      </c>
      <c r="F591" s="220"/>
      <c r="G591" s="220" t="s">
        <v>1033</v>
      </c>
      <c r="H591" s="231">
        <v>45226</v>
      </c>
    </row>
    <row r="592" spans="1:8" customFormat="1">
      <c r="A592" s="221">
        <v>45226</v>
      </c>
      <c r="B592" s="217" t="s">
        <v>7</v>
      </c>
      <c r="C592" s="218" t="s">
        <v>220</v>
      </c>
      <c r="D592" s="219" t="s">
        <v>1219</v>
      </c>
      <c r="E592" s="220" t="s">
        <v>1209</v>
      </c>
      <c r="F592" s="220"/>
      <c r="G592" s="220" t="s">
        <v>1033</v>
      </c>
      <c r="H592" s="231">
        <v>45226</v>
      </c>
    </row>
    <row r="593" spans="1:8" customFormat="1">
      <c r="A593" s="221">
        <v>45226</v>
      </c>
      <c r="B593" s="217" t="s">
        <v>7</v>
      </c>
      <c r="C593" s="218" t="s">
        <v>267</v>
      </c>
      <c r="D593" s="219" t="s">
        <v>830</v>
      </c>
      <c r="E593" s="220" t="s">
        <v>831</v>
      </c>
      <c r="F593" s="220"/>
      <c r="G593" s="220" t="s">
        <v>276</v>
      </c>
      <c r="H593" s="231">
        <v>45226</v>
      </c>
    </row>
    <row r="594" spans="1:8" customFormat="1">
      <c r="A594" s="221">
        <v>45226</v>
      </c>
      <c r="B594" s="217" t="s">
        <v>7</v>
      </c>
      <c r="C594" s="218" t="s">
        <v>267</v>
      </c>
      <c r="D594" s="219" t="s">
        <v>277</v>
      </c>
      <c r="E594" s="220" t="s">
        <v>278</v>
      </c>
      <c r="F594" s="220"/>
      <c r="G594" s="220" t="s">
        <v>285</v>
      </c>
      <c r="H594" s="231">
        <v>45226</v>
      </c>
    </row>
    <row r="595" spans="1:8" customFormat="1">
      <c r="A595" s="221">
        <v>45226</v>
      </c>
      <c r="B595" s="217" t="s">
        <v>7</v>
      </c>
      <c r="C595" s="218" t="s">
        <v>267</v>
      </c>
      <c r="D595" s="219" t="s">
        <v>1220</v>
      </c>
      <c r="E595" s="220" t="s">
        <v>1221</v>
      </c>
      <c r="F595" s="220" t="s">
        <v>1222</v>
      </c>
      <c r="G595" s="220" t="s">
        <v>471</v>
      </c>
      <c r="H595" s="231">
        <v>45226</v>
      </c>
    </row>
    <row r="596" spans="1:8" customFormat="1">
      <c r="A596" s="221">
        <v>45226</v>
      </c>
      <c r="B596" s="217" t="s">
        <v>7</v>
      </c>
      <c r="C596" s="218" t="s">
        <v>267</v>
      </c>
      <c r="D596" s="219" t="s">
        <v>1187</v>
      </c>
      <c r="E596" s="220" t="s">
        <v>1188</v>
      </c>
      <c r="F596" s="220" t="s">
        <v>1189</v>
      </c>
      <c r="G596" s="220" t="s">
        <v>288</v>
      </c>
      <c r="H596" s="231">
        <v>45226</v>
      </c>
    </row>
    <row r="597" spans="1:8" customFormat="1">
      <c r="A597" s="221">
        <v>45226</v>
      </c>
      <c r="B597" s="217" t="s">
        <v>7</v>
      </c>
      <c r="C597" s="218" t="s">
        <v>267</v>
      </c>
      <c r="D597" s="219" t="s">
        <v>840</v>
      </c>
      <c r="E597" s="220" t="s">
        <v>841</v>
      </c>
      <c r="F597" s="220" t="s">
        <v>842</v>
      </c>
      <c r="G597" s="220" t="s">
        <v>285</v>
      </c>
      <c r="H597" s="231">
        <v>45226</v>
      </c>
    </row>
    <row r="598" spans="1:8" customFormat="1">
      <c r="A598" s="221">
        <v>45226</v>
      </c>
      <c r="B598" s="217" t="s">
        <v>7</v>
      </c>
      <c r="C598" s="218" t="s">
        <v>267</v>
      </c>
      <c r="D598" s="219" t="s">
        <v>1223</v>
      </c>
      <c r="E598" s="220" t="s">
        <v>540</v>
      </c>
      <c r="F598" s="220"/>
      <c r="G598" s="220" t="s">
        <v>471</v>
      </c>
      <c r="H598" s="231">
        <v>45226</v>
      </c>
    </row>
    <row r="599" spans="1:8" customFormat="1">
      <c r="A599" s="221">
        <v>45226</v>
      </c>
      <c r="B599" s="217" t="s">
        <v>7</v>
      </c>
      <c r="C599" s="218" t="s">
        <v>267</v>
      </c>
      <c r="D599" s="219" t="s">
        <v>1224</v>
      </c>
      <c r="E599" s="220" t="s">
        <v>1225</v>
      </c>
      <c r="F599" s="220" t="s">
        <v>1226</v>
      </c>
      <c r="G599" s="220" t="s">
        <v>471</v>
      </c>
      <c r="H599" s="231">
        <v>45226</v>
      </c>
    </row>
    <row r="600" spans="1:8" customFormat="1" ht="21.9">
      <c r="A600" s="221">
        <v>45226</v>
      </c>
      <c r="B600" s="217" t="s">
        <v>7</v>
      </c>
      <c r="C600" s="218" t="s">
        <v>267</v>
      </c>
      <c r="D600" s="219" t="s">
        <v>255</v>
      </c>
      <c r="E600" s="220" t="s">
        <v>526</v>
      </c>
      <c r="F600" s="220"/>
      <c r="G600" s="220" t="s">
        <v>1227</v>
      </c>
      <c r="H600" s="231">
        <v>45226</v>
      </c>
    </row>
    <row r="601" spans="1:8" customFormat="1" ht="21.9">
      <c r="A601" s="221">
        <v>45226</v>
      </c>
      <c r="B601" s="217" t="s">
        <v>7</v>
      </c>
      <c r="C601" s="218" t="s">
        <v>267</v>
      </c>
      <c r="D601" s="219" t="s">
        <v>930</v>
      </c>
      <c r="E601" s="220" t="s">
        <v>931</v>
      </c>
      <c r="F601" s="220" t="s">
        <v>932</v>
      </c>
      <c r="G601" s="220" t="s">
        <v>276</v>
      </c>
      <c r="H601" s="231">
        <v>45226</v>
      </c>
    </row>
    <row r="602" spans="1:8" customFormat="1" ht="21.9">
      <c r="A602" s="221">
        <v>45226</v>
      </c>
      <c r="B602" s="217" t="s">
        <v>7</v>
      </c>
      <c r="C602" s="218" t="s">
        <v>267</v>
      </c>
      <c r="D602" s="219" t="s">
        <v>656</v>
      </c>
      <c r="E602" s="220" t="s">
        <v>657</v>
      </c>
      <c r="F602" s="220" t="s">
        <v>658</v>
      </c>
      <c r="G602" s="220" t="s">
        <v>471</v>
      </c>
      <c r="H602" s="231">
        <v>45226</v>
      </c>
    </row>
    <row r="603" spans="1:8" customFormat="1">
      <c r="A603" s="221">
        <v>45226</v>
      </c>
      <c r="B603" s="217" t="s">
        <v>7</v>
      </c>
      <c r="C603" s="218" t="s">
        <v>267</v>
      </c>
      <c r="D603" s="219" t="s">
        <v>1228</v>
      </c>
      <c r="E603" s="220" t="s">
        <v>1002</v>
      </c>
      <c r="F603" s="220"/>
      <c r="G603" s="220" t="s">
        <v>1191</v>
      </c>
      <c r="H603" s="231">
        <v>45226</v>
      </c>
    </row>
    <row r="604" spans="1:8" customFormat="1">
      <c r="A604" s="221">
        <v>45226</v>
      </c>
      <c r="B604" s="217" t="s">
        <v>309</v>
      </c>
      <c r="C604" s="218" t="s">
        <v>220</v>
      </c>
      <c r="D604" s="219" t="s">
        <v>1229</v>
      </c>
      <c r="E604" s="220" t="s">
        <v>1230</v>
      </c>
      <c r="F604" s="220"/>
      <c r="G604" s="220" t="s">
        <v>1033</v>
      </c>
      <c r="H604" s="231">
        <v>45226</v>
      </c>
    </row>
    <row r="605" spans="1:8" customFormat="1">
      <c r="A605" s="221">
        <v>45226</v>
      </c>
      <c r="B605" s="217" t="s">
        <v>309</v>
      </c>
      <c r="C605" s="218" t="s">
        <v>220</v>
      </c>
      <c r="D605" s="219" t="s">
        <v>1231</v>
      </c>
      <c r="E605" s="220" t="s">
        <v>1232</v>
      </c>
      <c r="F605" s="220"/>
      <c r="G605" s="220" t="s">
        <v>1033</v>
      </c>
      <c r="H605" s="231">
        <v>45226</v>
      </c>
    </row>
    <row r="606" spans="1:8" customFormat="1">
      <c r="A606" s="221">
        <v>45226</v>
      </c>
      <c r="B606" s="217" t="s">
        <v>309</v>
      </c>
      <c r="C606" s="218" t="s">
        <v>220</v>
      </c>
      <c r="D606" s="219" t="s">
        <v>1233</v>
      </c>
      <c r="E606" s="220" t="s">
        <v>1234</v>
      </c>
      <c r="F606" s="220"/>
      <c r="G606" s="220" t="s">
        <v>1033</v>
      </c>
      <c r="H606" s="231">
        <v>45226</v>
      </c>
    </row>
    <row r="607" spans="1:8" customFormat="1">
      <c r="A607" s="221">
        <v>45226</v>
      </c>
      <c r="B607" s="217" t="s">
        <v>309</v>
      </c>
      <c r="C607" s="218" t="s">
        <v>220</v>
      </c>
      <c r="D607" s="219" t="s">
        <v>1235</v>
      </c>
      <c r="E607" s="220" t="s">
        <v>863</v>
      </c>
      <c r="F607" s="220"/>
      <c r="G607" s="220" t="s">
        <v>1236</v>
      </c>
      <c r="H607" s="231">
        <v>45226</v>
      </c>
    </row>
    <row r="608" spans="1:8" customFormat="1">
      <c r="A608" s="221">
        <v>45226</v>
      </c>
      <c r="B608" s="217" t="s">
        <v>309</v>
      </c>
      <c r="C608" s="218" t="s">
        <v>220</v>
      </c>
      <c r="D608" s="219" t="s">
        <v>1237</v>
      </c>
      <c r="E608" s="220" t="s">
        <v>1238</v>
      </c>
      <c r="F608" s="220"/>
      <c r="G608" s="220" t="s">
        <v>1033</v>
      </c>
      <c r="H608" s="231">
        <v>45226</v>
      </c>
    </row>
    <row r="609" spans="1:8" customFormat="1">
      <c r="A609" s="221">
        <v>45226</v>
      </c>
      <c r="B609" s="217" t="s">
        <v>309</v>
      </c>
      <c r="C609" s="218" t="s">
        <v>220</v>
      </c>
      <c r="D609" s="219" t="s">
        <v>1239</v>
      </c>
      <c r="E609" s="220" t="s">
        <v>1238</v>
      </c>
      <c r="F609" s="220"/>
      <c r="G609" s="220" t="s">
        <v>1033</v>
      </c>
      <c r="H609" s="231">
        <v>45226</v>
      </c>
    </row>
    <row r="610" spans="1:8" customFormat="1">
      <c r="A610" s="221">
        <v>45226</v>
      </c>
      <c r="B610" s="217" t="s">
        <v>309</v>
      </c>
      <c r="C610" s="218" t="s">
        <v>220</v>
      </c>
      <c r="D610" s="219" t="s">
        <v>1240</v>
      </c>
      <c r="E610" s="220" t="s">
        <v>540</v>
      </c>
      <c r="F610" s="220"/>
      <c r="G610" s="220" t="s">
        <v>1033</v>
      </c>
      <c r="H610" s="231">
        <v>45226</v>
      </c>
    </row>
    <row r="611" spans="1:8" customFormat="1">
      <c r="A611" s="221">
        <v>45226</v>
      </c>
      <c r="B611" s="217" t="s">
        <v>309</v>
      </c>
      <c r="C611" s="218" t="s">
        <v>220</v>
      </c>
      <c r="D611" s="219" t="s">
        <v>1241</v>
      </c>
      <c r="E611" s="220" t="s">
        <v>1242</v>
      </c>
      <c r="F611" s="220"/>
      <c r="G611" s="220" t="s">
        <v>1033</v>
      </c>
      <c r="H611" s="231">
        <v>45226</v>
      </c>
    </row>
    <row r="612" spans="1:8" customFormat="1">
      <c r="A612" s="221">
        <v>45226</v>
      </c>
      <c r="B612" s="217" t="s">
        <v>309</v>
      </c>
      <c r="C612" s="218" t="s">
        <v>220</v>
      </c>
      <c r="D612" s="219" t="s">
        <v>1243</v>
      </c>
      <c r="E612" s="220" t="s">
        <v>540</v>
      </c>
      <c r="F612" s="220"/>
      <c r="G612" s="220" t="s">
        <v>1033</v>
      </c>
      <c r="H612" s="231">
        <v>45226</v>
      </c>
    </row>
    <row r="613" spans="1:8" customFormat="1">
      <c r="A613" s="221">
        <v>45226</v>
      </c>
      <c r="B613" s="217" t="s">
        <v>309</v>
      </c>
      <c r="C613" s="218" t="s">
        <v>220</v>
      </c>
      <c r="D613" s="219" t="s">
        <v>1244</v>
      </c>
      <c r="E613" s="220" t="s">
        <v>1245</v>
      </c>
      <c r="F613" s="220"/>
      <c r="G613" s="220" t="s">
        <v>1033</v>
      </c>
      <c r="H613" s="231">
        <v>45226</v>
      </c>
    </row>
    <row r="614" spans="1:8" customFormat="1">
      <c r="A614" s="221">
        <v>45226</v>
      </c>
      <c r="B614" s="217" t="s">
        <v>309</v>
      </c>
      <c r="C614" s="218" t="s">
        <v>220</v>
      </c>
      <c r="D614" s="219" t="s">
        <v>1246</v>
      </c>
      <c r="E614" s="220" t="s">
        <v>1247</v>
      </c>
      <c r="F614" s="220"/>
      <c r="G614" s="220" t="s">
        <v>1033</v>
      </c>
      <c r="H614" s="231">
        <v>45226</v>
      </c>
    </row>
    <row r="615" spans="1:8" customFormat="1" ht="21.9">
      <c r="A615" s="221">
        <v>45226</v>
      </c>
      <c r="B615" s="217" t="s">
        <v>309</v>
      </c>
      <c r="C615" s="218" t="s">
        <v>220</v>
      </c>
      <c r="D615" s="219" t="s">
        <v>374</v>
      </c>
      <c r="E615" s="220" t="s">
        <v>375</v>
      </c>
      <c r="F615" s="220"/>
      <c r="G615" s="220" t="s">
        <v>1248</v>
      </c>
      <c r="H615" s="231">
        <v>45226</v>
      </c>
    </row>
    <row r="616" spans="1:8" customFormat="1">
      <c r="A616" s="221">
        <v>45226</v>
      </c>
      <c r="B616" s="217" t="s">
        <v>309</v>
      </c>
      <c r="C616" s="218" t="s">
        <v>220</v>
      </c>
      <c r="D616" s="219" t="s">
        <v>1249</v>
      </c>
      <c r="E616" s="220" t="s">
        <v>1250</v>
      </c>
      <c r="F616" s="220"/>
      <c r="G616" s="220" t="s">
        <v>1033</v>
      </c>
      <c r="H616" s="231">
        <v>45226</v>
      </c>
    </row>
    <row r="617" spans="1:8" customFormat="1">
      <c r="A617" s="221">
        <v>45226</v>
      </c>
      <c r="B617" s="217" t="s">
        <v>309</v>
      </c>
      <c r="C617" s="218" t="s">
        <v>220</v>
      </c>
      <c r="D617" s="219" t="s">
        <v>1251</v>
      </c>
      <c r="E617" s="220" t="s">
        <v>249</v>
      </c>
      <c r="F617" s="220"/>
      <c r="G617" s="220" t="s">
        <v>1033</v>
      </c>
      <c r="H617" s="231">
        <v>45226</v>
      </c>
    </row>
    <row r="618" spans="1:8" customFormat="1">
      <c r="A618" s="221">
        <v>45226</v>
      </c>
      <c r="B618" s="217" t="s">
        <v>309</v>
      </c>
      <c r="C618" s="218" t="s">
        <v>220</v>
      </c>
      <c r="D618" s="219" t="s">
        <v>981</v>
      </c>
      <c r="E618" s="220" t="s">
        <v>710</v>
      </c>
      <c r="F618" s="220" t="s">
        <v>1110</v>
      </c>
      <c r="G618" s="220" t="s">
        <v>1252</v>
      </c>
      <c r="H618" s="231">
        <v>45226</v>
      </c>
    </row>
    <row r="619" spans="1:8" customFormat="1">
      <c r="A619" s="221">
        <v>45226</v>
      </c>
      <c r="B619" s="217" t="s">
        <v>309</v>
      </c>
      <c r="C619" s="218" t="s">
        <v>267</v>
      </c>
      <c r="D619" s="219" t="s">
        <v>1253</v>
      </c>
      <c r="E619" s="220" t="s">
        <v>616</v>
      </c>
      <c r="F619" s="220"/>
      <c r="G619" s="220" t="s">
        <v>276</v>
      </c>
      <c r="H619" s="231">
        <v>45226</v>
      </c>
    </row>
    <row r="620" spans="1:8" customFormat="1">
      <c r="A620" s="221">
        <v>45226</v>
      </c>
      <c r="B620" s="217" t="s">
        <v>309</v>
      </c>
      <c r="C620" s="218" t="s">
        <v>267</v>
      </c>
      <c r="D620" s="219" t="s">
        <v>1254</v>
      </c>
      <c r="E620" s="220" t="s">
        <v>1255</v>
      </c>
      <c r="F620" s="220"/>
      <c r="G620" s="220" t="s">
        <v>414</v>
      </c>
      <c r="H620" s="231">
        <v>45226</v>
      </c>
    </row>
    <row r="621" spans="1:8" customFormat="1">
      <c r="A621" s="221">
        <v>45226</v>
      </c>
      <c r="B621" s="217" t="s">
        <v>309</v>
      </c>
      <c r="C621" s="218" t="s">
        <v>267</v>
      </c>
      <c r="D621" s="219" t="s">
        <v>1256</v>
      </c>
      <c r="E621" s="220" t="s">
        <v>1257</v>
      </c>
      <c r="F621" s="220"/>
      <c r="G621" s="220" t="s">
        <v>276</v>
      </c>
      <c r="H621" s="231">
        <v>45226</v>
      </c>
    </row>
    <row r="622" spans="1:8" customFormat="1">
      <c r="A622" s="221">
        <v>45226</v>
      </c>
      <c r="B622" s="217" t="s">
        <v>309</v>
      </c>
      <c r="C622" s="218" t="s">
        <v>267</v>
      </c>
      <c r="D622" s="219" t="s">
        <v>1258</v>
      </c>
      <c r="E622" s="220" t="s">
        <v>1259</v>
      </c>
      <c r="F622" s="220"/>
      <c r="G622" s="220" t="s">
        <v>276</v>
      </c>
      <c r="H622" s="231">
        <v>45226</v>
      </c>
    </row>
    <row r="623" spans="1:8" customFormat="1" ht="21.9">
      <c r="A623" s="221">
        <v>45226</v>
      </c>
      <c r="B623" s="217" t="s">
        <v>309</v>
      </c>
      <c r="C623" s="218" t="s">
        <v>267</v>
      </c>
      <c r="D623" s="219" t="s">
        <v>371</v>
      </c>
      <c r="E623" s="220" t="s">
        <v>1260</v>
      </c>
      <c r="F623" s="220" t="s">
        <v>373</v>
      </c>
      <c r="G623" s="220" t="s">
        <v>276</v>
      </c>
      <c r="H623" s="231">
        <v>45226</v>
      </c>
    </row>
    <row r="624" spans="1:8" customFormat="1">
      <c r="A624" s="221">
        <v>45226</v>
      </c>
      <c r="B624" s="217" t="s">
        <v>309</v>
      </c>
      <c r="C624" s="218" t="s">
        <v>267</v>
      </c>
      <c r="D624" s="219" t="s">
        <v>978</v>
      </c>
      <c r="E624" s="220" t="s">
        <v>979</v>
      </c>
      <c r="F624" s="220" t="s">
        <v>980</v>
      </c>
      <c r="G624" s="220" t="s">
        <v>288</v>
      </c>
      <c r="H624" s="231">
        <v>45226</v>
      </c>
    </row>
    <row r="625" spans="1:8" customFormat="1">
      <c r="A625" s="221">
        <v>45226</v>
      </c>
      <c r="B625" s="217" t="s">
        <v>380</v>
      </c>
      <c r="C625" s="218" t="s">
        <v>220</v>
      </c>
      <c r="D625" s="219" t="s">
        <v>1261</v>
      </c>
      <c r="E625" s="220" t="s">
        <v>861</v>
      </c>
      <c r="F625" s="220"/>
      <c r="G625" s="220" t="s">
        <v>1033</v>
      </c>
      <c r="H625" s="231">
        <v>45226</v>
      </c>
    </row>
    <row r="626" spans="1:8" customFormat="1">
      <c r="A626" s="221">
        <v>45226</v>
      </c>
      <c r="B626" s="217" t="s">
        <v>380</v>
      </c>
      <c r="C626" s="218" t="s">
        <v>220</v>
      </c>
      <c r="D626" s="219" t="s">
        <v>1262</v>
      </c>
      <c r="E626" s="220" t="s">
        <v>1263</v>
      </c>
      <c r="F626" s="220"/>
      <c r="G626" s="220" t="s">
        <v>1033</v>
      </c>
      <c r="H626" s="231">
        <v>45226</v>
      </c>
    </row>
    <row r="627" spans="1:8" customFormat="1">
      <c r="A627" s="221">
        <v>45226</v>
      </c>
      <c r="B627" s="217" t="s">
        <v>380</v>
      </c>
      <c r="C627" s="218" t="s">
        <v>220</v>
      </c>
      <c r="D627" s="219" t="s">
        <v>1264</v>
      </c>
      <c r="E627" s="220" t="s">
        <v>249</v>
      </c>
      <c r="F627" s="220"/>
      <c r="G627" s="220" t="s">
        <v>1033</v>
      </c>
      <c r="H627" s="231">
        <v>45226</v>
      </c>
    </row>
    <row r="628" spans="1:8" customFormat="1">
      <c r="A628" s="221">
        <v>45226</v>
      </c>
      <c r="B628" s="217" t="s">
        <v>380</v>
      </c>
      <c r="C628" s="218" t="s">
        <v>220</v>
      </c>
      <c r="D628" s="219" t="s">
        <v>1265</v>
      </c>
      <c r="E628" s="220" t="s">
        <v>391</v>
      </c>
      <c r="F628" s="220" t="s">
        <v>1266</v>
      </c>
      <c r="G628" s="220" t="s">
        <v>1267</v>
      </c>
      <c r="H628" s="231">
        <v>45226</v>
      </c>
    </row>
    <row r="629" spans="1:8" customFormat="1" ht="21.9">
      <c r="A629" s="221">
        <v>45226</v>
      </c>
      <c r="B629" s="217" t="s">
        <v>380</v>
      </c>
      <c r="C629" s="218" t="s">
        <v>220</v>
      </c>
      <c r="D629" s="219" t="s">
        <v>390</v>
      </c>
      <c r="E629" s="220" t="s">
        <v>391</v>
      </c>
      <c r="F629" s="220" t="s">
        <v>1268</v>
      </c>
      <c r="G629" s="220" t="s">
        <v>1269</v>
      </c>
      <c r="H629" s="231">
        <v>45226</v>
      </c>
    </row>
    <row r="630" spans="1:8" customFormat="1">
      <c r="A630" s="221">
        <v>45226</v>
      </c>
      <c r="B630" s="217" t="s">
        <v>565</v>
      </c>
      <c r="C630" s="218" t="s">
        <v>220</v>
      </c>
      <c r="D630" s="219" t="s">
        <v>1270</v>
      </c>
      <c r="E630" s="220" t="s">
        <v>1271</v>
      </c>
      <c r="F630" s="220"/>
      <c r="G630" s="220" t="s">
        <v>1033</v>
      </c>
      <c r="H630" s="231">
        <v>45226</v>
      </c>
    </row>
    <row r="631" spans="1:8" customFormat="1">
      <c r="A631" s="221">
        <v>45226</v>
      </c>
      <c r="B631" s="217" t="s">
        <v>565</v>
      </c>
      <c r="C631" s="218" t="s">
        <v>220</v>
      </c>
      <c r="D631" s="219" t="s">
        <v>1272</v>
      </c>
      <c r="E631" s="220" t="s">
        <v>1273</v>
      </c>
      <c r="F631" s="220"/>
      <c r="G631" s="220" t="s">
        <v>1033</v>
      </c>
      <c r="H631" s="231">
        <v>45226</v>
      </c>
    </row>
    <row r="632" spans="1:8" customFormat="1">
      <c r="A632" s="221">
        <v>45226</v>
      </c>
      <c r="B632" s="217" t="s">
        <v>565</v>
      </c>
      <c r="C632" s="218" t="s">
        <v>220</v>
      </c>
      <c r="D632" s="219" t="s">
        <v>1274</v>
      </c>
      <c r="E632" s="220" t="s">
        <v>1275</v>
      </c>
      <c r="F632" s="220"/>
      <c r="G632" s="220" t="s">
        <v>1033</v>
      </c>
      <c r="H632" s="231">
        <v>45226</v>
      </c>
    </row>
    <row r="633" spans="1:8" customFormat="1">
      <c r="A633" s="221">
        <v>45226</v>
      </c>
      <c r="B633" s="217" t="s">
        <v>423</v>
      </c>
      <c r="C633" s="218" t="s">
        <v>220</v>
      </c>
      <c r="D633" s="219" t="s">
        <v>1276</v>
      </c>
      <c r="E633" s="220" t="s">
        <v>1277</v>
      </c>
      <c r="F633" s="220" t="s">
        <v>1278</v>
      </c>
      <c r="G633" s="220" t="s">
        <v>1279</v>
      </c>
      <c r="H633" s="231">
        <v>45226</v>
      </c>
    </row>
    <row r="634" spans="1:8" customFormat="1">
      <c r="A634" s="221">
        <v>45226</v>
      </c>
      <c r="B634" s="217" t="s">
        <v>423</v>
      </c>
      <c r="C634" s="218" t="s">
        <v>220</v>
      </c>
      <c r="D634" s="219" t="s">
        <v>1280</v>
      </c>
      <c r="E634" s="220" t="s">
        <v>357</v>
      </c>
      <c r="F634" s="220"/>
      <c r="G634" s="220" t="s">
        <v>1033</v>
      </c>
      <c r="H634" s="231">
        <v>45226</v>
      </c>
    </row>
    <row r="635" spans="1:8" customFormat="1">
      <c r="A635" s="221">
        <v>45226</v>
      </c>
      <c r="B635" s="217" t="s">
        <v>423</v>
      </c>
      <c r="C635" s="218" t="s">
        <v>220</v>
      </c>
      <c r="D635" s="219" t="s">
        <v>1281</v>
      </c>
      <c r="E635" s="220" t="s">
        <v>1282</v>
      </c>
      <c r="F635" s="220"/>
      <c r="G635" s="220" t="s">
        <v>1033</v>
      </c>
      <c r="H635" s="231">
        <v>45226</v>
      </c>
    </row>
    <row r="636" spans="1:8" customFormat="1">
      <c r="A636" s="221">
        <v>45226</v>
      </c>
      <c r="B636" s="217" t="s">
        <v>423</v>
      </c>
      <c r="C636" s="218" t="s">
        <v>267</v>
      </c>
      <c r="D636" s="219" t="s">
        <v>1283</v>
      </c>
      <c r="E636" s="220" t="s">
        <v>1284</v>
      </c>
      <c r="F636" s="220"/>
      <c r="G636" s="220" t="s">
        <v>276</v>
      </c>
      <c r="H636" s="231">
        <v>45226</v>
      </c>
    </row>
    <row r="637" spans="1:8" customFormat="1" ht="21.9">
      <c r="A637" s="221">
        <v>45226</v>
      </c>
      <c r="B637" s="217" t="s">
        <v>423</v>
      </c>
      <c r="C637" s="218" t="s">
        <v>267</v>
      </c>
      <c r="D637" s="219" t="s">
        <v>1285</v>
      </c>
      <c r="E637" s="220" t="s">
        <v>1286</v>
      </c>
      <c r="F637" s="220" t="s">
        <v>1287</v>
      </c>
      <c r="G637" s="220" t="s">
        <v>471</v>
      </c>
      <c r="H637" s="231">
        <v>45226</v>
      </c>
    </row>
    <row r="638" spans="1:8" customFormat="1">
      <c r="A638" s="221">
        <v>45226</v>
      </c>
      <c r="B638" s="217" t="s">
        <v>423</v>
      </c>
      <c r="C638" s="218" t="s">
        <v>267</v>
      </c>
      <c r="D638" s="219" t="s">
        <v>427</v>
      </c>
      <c r="E638" s="220" t="s">
        <v>1250</v>
      </c>
      <c r="F638" s="220"/>
      <c r="G638" s="220" t="s">
        <v>1161</v>
      </c>
      <c r="H638" s="231">
        <v>45226</v>
      </c>
    </row>
    <row r="639" spans="1:8" customFormat="1">
      <c r="A639" s="221">
        <v>45226</v>
      </c>
      <c r="B639" s="217" t="s">
        <v>423</v>
      </c>
      <c r="C639" s="218" t="s">
        <v>267</v>
      </c>
      <c r="D639" s="219" t="s">
        <v>1199</v>
      </c>
      <c r="E639" s="220" t="s">
        <v>1200</v>
      </c>
      <c r="F639" s="220"/>
      <c r="G639" s="220" t="s">
        <v>1161</v>
      </c>
      <c r="H639" s="231">
        <v>45226</v>
      </c>
    </row>
    <row r="640" spans="1:8" customFormat="1">
      <c r="A640" s="221">
        <v>45226</v>
      </c>
      <c r="B640" s="217" t="s">
        <v>423</v>
      </c>
      <c r="C640" s="218" t="s">
        <v>267</v>
      </c>
      <c r="D640" s="219" t="s">
        <v>1288</v>
      </c>
      <c r="E640" s="220" t="s">
        <v>1289</v>
      </c>
      <c r="F640" s="220"/>
      <c r="G640" s="220" t="s">
        <v>276</v>
      </c>
      <c r="H640" s="231">
        <v>45226</v>
      </c>
    </row>
    <row r="641" spans="1:8" customFormat="1">
      <c r="A641" s="221">
        <v>45226</v>
      </c>
      <c r="B641" s="217" t="s">
        <v>423</v>
      </c>
      <c r="C641" s="218" t="s">
        <v>267</v>
      </c>
      <c r="D641" s="219" t="s">
        <v>823</v>
      </c>
      <c r="E641" s="220" t="s">
        <v>824</v>
      </c>
      <c r="F641" s="220" t="s">
        <v>1023</v>
      </c>
      <c r="G641" s="220" t="s">
        <v>276</v>
      </c>
      <c r="H641" s="231">
        <v>45226</v>
      </c>
    </row>
    <row r="642" spans="1:8" customFormat="1">
      <c r="A642" s="221">
        <v>45226</v>
      </c>
      <c r="B642" s="217" t="s">
        <v>423</v>
      </c>
      <c r="C642" s="218" t="s">
        <v>267</v>
      </c>
      <c r="D642" s="219" t="s">
        <v>1290</v>
      </c>
      <c r="E642" s="220" t="s">
        <v>1291</v>
      </c>
      <c r="F642" s="220" t="s">
        <v>1292</v>
      </c>
      <c r="G642" s="220" t="s">
        <v>276</v>
      </c>
      <c r="H642" s="231">
        <v>45226</v>
      </c>
    </row>
    <row r="643" spans="1:8" customFormat="1">
      <c r="A643" s="221">
        <v>45226</v>
      </c>
      <c r="B643" s="217" t="s">
        <v>423</v>
      </c>
      <c r="C643" s="218" t="s">
        <v>267</v>
      </c>
      <c r="D643" s="219" t="s">
        <v>486</v>
      </c>
      <c r="E643" s="220" t="s">
        <v>487</v>
      </c>
      <c r="F643" s="220"/>
      <c r="G643" s="220" t="s">
        <v>285</v>
      </c>
      <c r="H643" s="231">
        <v>45226</v>
      </c>
    </row>
    <row r="644" spans="1:8" customFormat="1">
      <c r="A644" s="221">
        <v>45197</v>
      </c>
      <c r="B644" s="217" t="s">
        <v>7</v>
      </c>
      <c r="C644" s="218" t="s">
        <v>220</v>
      </c>
      <c r="D644" s="219" t="s">
        <v>217</v>
      </c>
      <c r="E644" s="220" t="s">
        <v>218</v>
      </c>
      <c r="F644" s="220"/>
      <c r="G644" s="220" t="s">
        <v>1293</v>
      </c>
      <c r="H644" s="231">
        <v>45197</v>
      </c>
    </row>
    <row r="645" spans="1:8" customFormat="1">
      <c r="A645" s="221">
        <v>45197</v>
      </c>
      <c r="B645" s="217" t="s">
        <v>7</v>
      </c>
      <c r="C645" s="218" t="s">
        <v>220</v>
      </c>
      <c r="D645" s="219" t="s">
        <v>1093</v>
      </c>
      <c r="E645" s="220" t="s">
        <v>1157</v>
      </c>
      <c r="F645" s="220" t="s">
        <v>1095</v>
      </c>
      <c r="G645" s="220" t="s">
        <v>1294</v>
      </c>
      <c r="H645" s="231">
        <v>45197</v>
      </c>
    </row>
    <row r="646" spans="1:8" customFormat="1" ht="21.9">
      <c r="A646" s="221">
        <v>45197</v>
      </c>
      <c r="B646" s="217" t="s">
        <v>309</v>
      </c>
      <c r="C646" s="218" t="s">
        <v>220</v>
      </c>
      <c r="D646" s="219" t="s">
        <v>1295</v>
      </c>
      <c r="E646" s="220" t="s">
        <v>1296</v>
      </c>
      <c r="F646" s="220" t="s">
        <v>1297</v>
      </c>
      <c r="G646" s="220" t="s">
        <v>1298</v>
      </c>
      <c r="H646" s="231">
        <v>45197</v>
      </c>
    </row>
    <row r="647" spans="1:8" customFormat="1">
      <c r="A647" s="221">
        <v>45114</v>
      </c>
      <c r="B647" s="217" t="s">
        <v>7</v>
      </c>
      <c r="C647" s="218" t="s">
        <v>220</v>
      </c>
      <c r="D647" s="219" t="s">
        <v>1299</v>
      </c>
      <c r="E647" s="220" t="s">
        <v>1300</v>
      </c>
      <c r="F647" s="220" t="s">
        <v>1301</v>
      </c>
      <c r="G647" s="220" t="s">
        <v>1302</v>
      </c>
      <c r="H647" s="231">
        <v>45114</v>
      </c>
    </row>
    <row r="648" spans="1:8" customFormat="1">
      <c r="A648" s="221">
        <v>45114</v>
      </c>
      <c r="B648" s="217" t="s">
        <v>7</v>
      </c>
      <c r="C648" s="218" t="s">
        <v>220</v>
      </c>
      <c r="D648" s="219" t="s">
        <v>1299</v>
      </c>
      <c r="E648" s="220" t="s">
        <v>1300</v>
      </c>
      <c r="F648" s="220" t="s">
        <v>1303</v>
      </c>
      <c r="G648" s="220" t="s">
        <v>1302</v>
      </c>
      <c r="H648" s="231">
        <v>45114</v>
      </c>
    </row>
    <row r="649" spans="1:8" customFormat="1">
      <c r="A649" s="221">
        <v>45114</v>
      </c>
      <c r="B649" s="217" t="s">
        <v>7</v>
      </c>
      <c r="C649" s="218" t="s">
        <v>220</v>
      </c>
      <c r="D649" s="219" t="s">
        <v>1299</v>
      </c>
      <c r="E649" s="220" t="s">
        <v>1300</v>
      </c>
      <c r="F649" s="220" t="s">
        <v>1304</v>
      </c>
      <c r="G649" s="220" t="s">
        <v>1302</v>
      </c>
      <c r="H649" s="231">
        <v>45114</v>
      </c>
    </row>
    <row r="650" spans="1:8" customFormat="1">
      <c r="A650" s="221">
        <v>45114</v>
      </c>
      <c r="B650" s="217" t="s">
        <v>7</v>
      </c>
      <c r="C650" s="218" t="s">
        <v>220</v>
      </c>
      <c r="D650" s="219" t="s">
        <v>1305</v>
      </c>
      <c r="E650" s="220" t="s">
        <v>1002</v>
      </c>
      <c r="F650" s="220"/>
      <c r="G650" s="220" t="s">
        <v>226</v>
      </c>
      <c r="H650" s="231">
        <v>45114</v>
      </c>
    </row>
    <row r="651" spans="1:8" customFormat="1" ht="32.15">
      <c r="A651" s="221">
        <v>45114</v>
      </c>
      <c r="B651" s="217" t="s">
        <v>7</v>
      </c>
      <c r="C651" s="218" t="s">
        <v>220</v>
      </c>
      <c r="D651" s="219" t="s">
        <v>1306</v>
      </c>
      <c r="E651" s="220" t="s">
        <v>1307</v>
      </c>
      <c r="F651" s="220" t="s">
        <v>1308</v>
      </c>
      <c r="G651" s="220" t="s">
        <v>1309</v>
      </c>
      <c r="H651" s="231">
        <v>45114</v>
      </c>
    </row>
    <row r="652" spans="1:8" customFormat="1">
      <c r="A652" s="221">
        <v>45114</v>
      </c>
      <c r="B652" s="217" t="s">
        <v>7</v>
      </c>
      <c r="C652" s="218" t="s">
        <v>267</v>
      </c>
      <c r="D652" s="219" t="s">
        <v>1310</v>
      </c>
      <c r="E652" s="220" t="s">
        <v>1311</v>
      </c>
      <c r="F652" s="220" t="s">
        <v>1312</v>
      </c>
      <c r="G652" s="220" t="s">
        <v>276</v>
      </c>
      <c r="H652" s="231">
        <v>45114</v>
      </c>
    </row>
    <row r="653" spans="1:8" customFormat="1">
      <c r="A653" s="221">
        <v>45114</v>
      </c>
      <c r="B653" s="217" t="s">
        <v>7</v>
      </c>
      <c r="C653" s="218" t="s">
        <v>267</v>
      </c>
      <c r="D653" s="219" t="s">
        <v>845</v>
      </c>
      <c r="E653" s="220" t="s">
        <v>846</v>
      </c>
      <c r="F653" s="220"/>
      <c r="G653" s="220" t="s">
        <v>270</v>
      </c>
      <c r="H653" s="231">
        <v>45114</v>
      </c>
    </row>
    <row r="654" spans="1:8" customFormat="1">
      <c r="A654" s="221">
        <v>45114</v>
      </c>
      <c r="B654" s="217" t="s">
        <v>7</v>
      </c>
      <c r="C654" s="218" t="s">
        <v>267</v>
      </c>
      <c r="D654" s="219" t="s">
        <v>653</v>
      </c>
      <c r="E654" s="220" t="s">
        <v>654</v>
      </c>
      <c r="F654" s="220"/>
      <c r="G654" s="220" t="s">
        <v>291</v>
      </c>
      <c r="H654" s="231">
        <v>45114</v>
      </c>
    </row>
    <row r="655" spans="1:8" customFormat="1">
      <c r="A655" s="221">
        <v>45114</v>
      </c>
      <c r="B655" s="217" t="s">
        <v>7</v>
      </c>
      <c r="C655" s="218" t="s">
        <v>267</v>
      </c>
      <c r="D655" s="219" t="s">
        <v>260</v>
      </c>
      <c r="E655" s="220" t="s">
        <v>1313</v>
      </c>
      <c r="F655" s="220" t="s">
        <v>1314</v>
      </c>
      <c r="G655" s="220" t="s">
        <v>587</v>
      </c>
      <c r="H655" s="231">
        <v>45114</v>
      </c>
    </row>
    <row r="656" spans="1:8" customFormat="1">
      <c r="A656" s="221">
        <v>45114</v>
      </c>
      <c r="B656" s="217" t="s">
        <v>7</v>
      </c>
      <c r="C656" s="218" t="s">
        <v>267</v>
      </c>
      <c r="D656" s="219" t="s">
        <v>1315</v>
      </c>
      <c r="E656" s="220" t="s">
        <v>1316</v>
      </c>
      <c r="F656" s="220"/>
      <c r="G656" s="220" t="s">
        <v>276</v>
      </c>
      <c r="H656" s="231">
        <v>45114</v>
      </c>
    </row>
    <row r="657" spans="1:8" customFormat="1">
      <c r="A657" s="221">
        <v>45114</v>
      </c>
      <c r="B657" s="217" t="s">
        <v>309</v>
      </c>
      <c r="C657" s="218" t="s">
        <v>267</v>
      </c>
      <c r="D657" s="219" t="s">
        <v>1235</v>
      </c>
      <c r="E657" s="220" t="s">
        <v>863</v>
      </c>
      <c r="F657" s="220"/>
      <c r="G657" s="220" t="s">
        <v>270</v>
      </c>
      <c r="H657" s="231">
        <v>45114</v>
      </c>
    </row>
    <row r="658" spans="1:8" customFormat="1">
      <c r="A658" s="221">
        <v>45114</v>
      </c>
      <c r="B658" s="217" t="s">
        <v>309</v>
      </c>
      <c r="C658" s="218" t="s">
        <v>267</v>
      </c>
      <c r="D658" s="219" t="s">
        <v>1254</v>
      </c>
      <c r="E658" s="220" t="s">
        <v>1255</v>
      </c>
      <c r="F658" s="220"/>
      <c r="G658" s="220" t="s">
        <v>270</v>
      </c>
      <c r="H658" s="231">
        <v>45114</v>
      </c>
    </row>
    <row r="659" spans="1:8" customFormat="1" ht="21.9">
      <c r="A659" s="221">
        <v>45114</v>
      </c>
      <c r="B659" s="217" t="s">
        <v>309</v>
      </c>
      <c r="C659" s="218" t="s">
        <v>267</v>
      </c>
      <c r="D659" s="219" t="s">
        <v>1317</v>
      </c>
      <c r="E659" s="220" t="s">
        <v>1176</v>
      </c>
      <c r="F659" s="220"/>
      <c r="G659" s="220" t="s">
        <v>1318</v>
      </c>
      <c r="H659" s="231">
        <v>45114</v>
      </c>
    </row>
    <row r="660" spans="1:8" customFormat="1" ht="21.9">
      <c r="A660" s="221">
        <v>45114</v>
      </c>
      <c r="B660" s="217" t="s">
        <v>309</v>
      </c>
      <c r="C660" s="218" t="s">
        <v>267</v>
      </c>
      <c r="D660" s="219" t="s">
        <v>1319</v>
      </c>
      <c r="E660" s="220" t="s">
        <v>1320</v>
      </c>
      <c r="F660" s="220"/>
      <c r="G660" s="220" t="s">
        <v>1321</v>
      </c>
      <c r="H660" s="231">
        <v>45114</v>
      </c>
    </row>
    <row r="661" spans="1:8" customFormat="1">
      <c r="A661" s="221">
        <v>45114</v>
      </c>
      <c r="B661" s="217" t="s">
        <v>309</v>
      </c>
      <c r="C661" s="218" t="s">
        <v>267</v>
      </c>
      <c r="D661" s="219" t="s">
        <v>1322</v>
      </c>
      <c r="E661" s="220" t="s">
        <v>1323</v>
      </c>
      <c r="F661" s="220" t="s">
        <v>1324</v>
      </c>
      <c r="G661" s="220" t="s">
        <v>276</v>
      </c>
      <c r="H661" s="231">
        <v>45114</v>
      </c>
    </row>
    <row r="662" spans="1:8" customFormat="1">
      <c r="A662" s="221">
        <v>45114</v>
      </c>
      <c r="B662" s="217" t="s">
        <v>380</v>
      </c>
      <c r="C662" s="218" t="s">
        <v>267</v>
      </c>
      <c r="D662" s="219" t="s">
        <v>1325</v>
      </c>
      <c r="E662" s="220" t="s">
        <v>1121</v>
      </c>
      <c r="F662" s="220"/>
      <c r="G662" s="220" t="s">
        <v>226</v>
      </c>
      <c r="H662" s="231">
        <v>45114</v>
      </c>
    </row>
    <row r="663" spans="1:8" customFormat="1" ht="32.15">
      <c r="A663" s="221">
        <v>45114</v>
      </c>
      <c r="B663" s="217" t="s">
        <v>380</v>
      </c>
      <c r="C663" s="218" t="s">
        <v>267</v>
      </c>
      <c r="D663" s="219" t="s">
        <v>1126</v>
      </c>
      <c r="E663" s="220" t="s">
        <v>1326</v>
      </c>
      <c r="F663" s="220" t="s">
        <v>1128</v>
      </c>
      <c r="G663" s="220" t="s">
        <v>587</v>
      </c>
      <c r="H663" s="231">
        <v>45114</v>
      </c>
    </row>
    <row r="664" spans="1:8" customFormat="1">
      <c r="A664" s="221">
        <v>45114</v>
      </c>
      <c r="B664" s="217" t="s">
        <v>380</v>
      </c>
      <c r="C664" s="218" t="s">
        <v>267</v>
      </c>
      <c r="D664" s="219" t="s">
        <v>1327</v>
      </c>
      <c r="E664" s="220" t="s">
        <v>1328</v>
      </c>
      <c r="F664" s="220"/>
      <c r="G664" s="220" t="s">
        <v>276</v>
      </c>
      <c r="H664" s="231">
        <v>45114</v>
      </c>
    </row>
    <row r="665" spans="1:8" customFormat="1">
      <c r="A665" s="221">
        <v>45114</v>
      </c>
      <c r="B665" s="217" t="s">
        <v>380</v>
      </c>
      <c r="C665" s="218" t="s">
        <v>267</v>
      </c>
      <c r="D665" s="219" t="s">
        <v>386</v>
      </c>
      <c r="E665" s="220" t="s">
        <v>1129</v>
      </c>
      <c r="F665" s="220"/>
      <c r="G665" s="220" t="s">
        <v>270</v>
      </c>
      <c r="H665" s="231">
        <v>45114</v>
      </c>
    </row>
    <row r="666" spans="1:8" customFormat="1" ht="21.9">
      <c r="A666" s="221">
        <v>45114</v>
      </c>
      <c r="B666" s="217" t="s">
        <v>380</v>
      </c>
      <c r="C666" s="218" t="s">
        <v>267</v>
      </c>
      <c r="D666" s="219" t="s">
        <v>1130</v>
      </c>
      <c r="E666" s="220" t="s">
        <v>1131</v>
      </c>
      <c r="F666" s="220" t="s">
        <v>1329</v>
      </c>
      <c r="G666" s="220" t="s">
        <v>288</v>
      </c>
      <c r="H666" s="231">
        <v>45114</v>
      </c>
    </row>
    <row r="667" spans="1:8" customFormat="1">
      <c r="A667" s="221">
        <v>45114</v>
      </c>
      <c r="B667" s="217" t="s">
        <v>565</v>
      </c>
      <c r="C667" s="218" t="s">
        <v>220</v>
      </c>
      <c r="D667" s="219" t="s">
        <v>1330</v>
      </c>
      <c r="E667" s="220" t="s">
        <v>1331</v>
      </c>
      <c r="F667" s="220"/>
      <c r="G667" s="220" t="s">
        <v>226</v>
      </c>
      <c r="H667" s="231">
        <v>45114</v>
      </c>
    </row>
    <row r="668" spans="1:8" customFormat="1">
      <c r="A668" s="221">
        <v>45114</v>
      </c>
      <c r="B668" s="217" t="s">
        <v>565</v>
      </c>
      <c r="C668" s="218" t="s">
        <v>267</v>
      </c>
      <c r="D668" s="219" t="s">
        <v>1332</v>
      </c>
      <c r="E668" s="220" t="s">
        <v>1333</v>
      </c>
      <c r="F668" s="220"/>
      <c r="G668" s="220" t="s">
        <v>226</v>
      </c>
      <c r="H668" s="231">
        <v>45114</v>
      </c>
    </row>
    <row r="669" spans="1:8" customFormat="1">
      <c r="A669" s="221">
        <v>45114</v>
      </c>
      <c r="B669" s="217" t="s">
        <v>423</v>
      </c>
      <c r="C669" s="218" t="s">
        <v>267</v>
      </c>
      <c r="D669" s="219" t="s">
        <v>1334</v>
      </c>
      <c r="E669" s="220" t="s">
        <v>1284</v>
      </c>
      <c r="F669" s="220" t="s">
        <v>1335</v>
      </c>
      <c r="G669" s="220" t="s">
        <v>288</v>
      </c>
      <c r="H669" s="231">
        <v>45114</v>
      </c>
    </row>
    <row r="670" spans="1:8" customFormat="1">
      <c r="A670" s="221">
        <v>45114</v>
      </c>
      <c r="B670" s="217" t="s">
        <v>423</v>
      </c>
      <c r="C670" s="218" t="s">
        <v>267</v>
      </c>
      <c r="D670" s="219" t="s">
        <v>455</v>
      </c>
      <c r="E670" s="220" t="s">
        <v>985</v>
      </c>
      <c r="F670" s="220" t="s">
        <v>457</v>
      </c>
      <c r="G670" s="220" t="s">
        <v>276</v>
      </c>
      <c r="H670" s="231">
        <v>45114</v>
      </c>
    </row>
    <row r="671" spans="1:8" customFormat="1" ht="21.9">
      <c r="A671" s="221">
        <v>45114</v>
      </c>
      <c r="B671" s="217" t="s">
        <v>423</v>
      </c>
      <c r="C671" s="218" t="s">
        <v>267</v>
      </c>
      <c r="D671" s="219" t="s">
        <v>886</v>
      </c>
      <c r="E671" s="220" t="s">
        <v>887</v>
      </c>
      <c r="F671" s="220"/>
      <c r="G671" s="220" t="s">
        <v>291</v>
      </c>
      <c r="H671" s="231">
        <v>45114</v>
      </c>
    </row>
    <row r="672" spans="1:8" customFormat="1">
      <c r="A672" s="221">
        <v>45114</v>
      </c>
      <c r="B672" s="217" t="s">
        <v>423</v>
      </c>
      <c r="C672" s="218" t="s">
        <v>267</v>
      </c>
      <c r="D672" s="219" t="s">
        <v>1083</v>
      </c>
      <c r="E672" s="220" t="s">
        <v>1084</v>
      </c>
      <c r="F672" s="220"/>
      <c r="G672" s="220" t="s">
        <v>270</v>
      </c>
      <c r="H672" s="231">
        <v>45114</v>
      </c>
    </row>
    <row r="673" spans="1:8" customFormat="1">
      <c r="A673" s="221">
        <v>45114</v>
      </c>
      <c r="B673" s="217" t="s">
        <v>423</v>
      </c>
      <c r="C673" s="218" t="s">
        <v>267</v>
      </c>
      <c r="D673" s="219" t="s">
        <v>1336</v>
      </c>
      <c r="E673" s="220" t="s">
        <v>1337</v>
      </c>
      <c r="F673" s="220" t="s">
        <v>1338</v>
      </c>
      <c r="G673" s="220" t="s">
        <v>1339</v>
      </c>
      <c r="H673" s="231">
        <v>45114</v>
      </c>
    </row>
    <row r="674" spans="1:8" customFormat="1">
      <c r="A674" s="221">
        <v>45114</v>
      </c>
      <c r="B674" s="217" t="s">
        <v>423</v>
      </c>
      <c r="C674" s="218" t="s">
        <v>267</v>
      </c>
      <c r="D674" s="219" t="s">
        <v>1340</v>
      </c>
      <c r="E674" s="220" t="s">
        <v>1341</v>
      </c>
      <c r="F674" s="220"/>
      <c r="G674" s="220" t="s">
        <v>226</v>
      </c>
      <c r="H674" s="231">
        <v>45114</v>
      </c>
    </row>
    <row r="675" spans="1:8" customFormat="1" ht="21.9">
      <c r="A675" s="221">
        <v>45114</v>
      </c>
      <c r="B675" s="217" t="s">
        <v>423</v>
      </c>
      <c r="C675" s="218" t="s">
        <v>267</v>
      </c>
      <c r="D675" s="219" t="s">
        <v>1342</v>
      </c>
      <c r="E675" s="220" t="s">
        <v>1343</v>
      </c>
      <c r="F675" s="220" t="s">
        <v>1292</v>
      </c>
      <c r="G675" s="220" t="s">
        <v>288</v>
      </c>
      <c r="H675" s="231">
        <v>45114</v>
      </c>
    </row>
    <row r="676" spans="1:8" customFormat="1">
      <c r="A676" s="221">
        <v>45114</v>
      </c>
      <c r="B676" s="217" t="s">
        <v>423</v>
      </c>
      <c r="C676" s="218" t="s">
        <v>267</v>
      </c>
      <c r="D676" s="219" t="s">
        <v>1344</v>
      </c>
      <c r="E676" s="220" t="s">
        <v>960</v>
      </c>
      <c r="F676" s="220"/>
      <c r="G676" s="220" t="s">
        <v>291</v>
      </c>
      <c r="H676" s="231">
        <v>45114</v>
      </c>
    </row>
    <row r="677" spans="1:8" customFormat="1">
      <c r="A677" s="221">
        <v>45114</v>
      </c>
      <c r="B677" s="217" t="s">
        <v>423</v>
      </c>
      <c r="C677" s="218" t="s">
        <v>267</v>
      </c>
      <c r="D677" s="219" t="s">
        <v>1345</v>
      </c>
      <c r="E677" s="220" t="s">
        <v>1341</v>
      </c>
      <c r="F677" s="220"/>
      <c r="G677" s="220" t="s">
        <v>226</v>
      </c>
      <c r="H677" s="231">
        <v>45114</v>
      </c>
    </row>
    <row r="678" spans="1:8" customFormat="1">
      <c r="A678" s="221">
        <v>45114</v>
      </c>
      <c r="B678" s="217" t="s">
        <v>423</v>
      </c>
      <c r="C678" s="218" t="s">
        <v>267</v>
      </c>
      <c r="D678" s="219" t="s">
        <v>813</v>
      </c>
      <c r="E678" s="220" t="s">
        <v>1346</v>
      </c>
      <c r="F678" s="220"/>
      <c r="G678" s="220" t="s">
        <v>270</v>
      </c>
      <c r="H678" s="231">
        <v>45114</v>
      </c>
    </row>
    <row r="679" spans="1:8" customFormat="1">
      <c r="A679" s="221">
        <v>45051</v>
      </c>
      <c r="B679" s="217" t="s">
        <v>7</v>
      </c>
      <c r="C679" s="218" t="s">
        <v>220</v>
      </c>
      <c r="D679" s="219" t="s">
        <v>1347</v>
      </c>
      <c r="E679" s="220" t="s">
        <v>1025</v>
      </c>
      <c r="F679" s="220"/>
      <c r="G679" s="220" t="s">
        <v>1348</v>
      </c>
      <c r="H679" s="231">
        <v>45051</v>
      </c>
    </row>
    <row r="680" spans="1:8" customFormat="1">
      <c r="A680" s="221">
        <v>45051</v>
      </c>
      <c r="B680" s="217" t="s">
        <v>7</v>
      </c>
      <c r="C680" s="218" t="s">
        <v>220</v>
      </c>
      <c r="D680" s="219" t="s">
        <v>1144</v>
      </c>
      <c r="E680" s="220" t="s">
        <v>1025</v>
      </c>
      <c r="F680" s="220"/>
      <c r="G680" s="220" t="s">
        <v>1348</v>
      </c>
      <c r="H680" s="231">
        <v>45051</v>
      </c>
    </row>
    <row r="681" spans="1:8" customFormat="1">
      <c r="A681" s="221">
        <v>45051</v>
      </c>
      <c r="B681" s="217" t="s">
        <v>7</v>
      </c>
      <c r="C681" s="218" t="s">
        <v>220</v>
      </c>
      <c r="D681" s="219" t="s">
        <v>1027</v>
      </c>
      <c r="E681" s="220" t="s">
        <v>1025</v>
      </c>
      <c r="F681" s="220"/>
      <c r="G681" s="220" t="s">
        <v>1349</v>
      </c>
      <c r="H681" s="231">
        <v>45051</v>
      </c>
    </row>
    <row r="682" spans="1:8" customFormat="1">
      <c r="A682" s="221">
        <v>45051</v>
      </c>
      <c r="B682" s="217" t="s">
        <v>7</v>
      </c>
      <c r="C682" s="218" t="s">
        <v>220</v>
      </c>
      <c r="D682" s="219" t="s">
        <v>1350</v>
      </c>
      <c r="E682" s="220" t="s">
        <v>710</v>
      </c>
      <c r="F682" s="220"/>
      <c r="G682" s="220" t="s">
        <v>1351</v>
      </c>
      <c r="H682" s="231">
        <v>45051</v>
      </c>
    </row>
    <row r="683" spans="1:8" customFormat="1">
      <c r="A683" s="221">
        <v>45051</v>
      </c>
      <c r="B683" s="217" t="s">
        <v>7</v>
      </c>
      <c r="C683" s="218" t="s">
        <v>220</v>
      </c>
      <c r="D683" s="219" t="s">
        <v>1352</v>
      </c>
      <c r="E683" s="220" t="s">
        <v>1025</v>
      </c>
      <c r="F683" s="220"/>
      <c r="G683" s="220" t="s">
        <v>1348</v>
      </c>
      <c r="H683" s="231">
        <v>45051</v>
      </c>
    </row>
    <row r="684" spans="1:8" customFormat="1">
      <c r="A684" s="221">
        <v>45051</v>
      </c>
      <c r="B684" s="217" t="s">
        <v>7</v>
      </c>
      <c r="C684" s="218" t="s">
        <v>220</v>
      </c>
      <c r="D684" s="219" t="s">
        <v>1353</v>
      </c>
      <c r="E684" s="220" t="s">
        <v>1354</v>
      </c>
      <c r="F684" s="220"/>
      <c r="G684" s="220" t="s">
        <v>1348</v>
      </c>
      <c r="H684" s="231">
        <v>45051</v>
      </c>
    </row>
    <row r="685" spans="1:8" customFormat="1">
      <c r="A685" s="221">
        <v>45051</v>
      </c>
      <c r="B685" s="217" t="s">
        <v>7</v>
      </c>
      <c r="C685" s="218" t="s">
        <v>220</v>
      </c>
      <c r="D685" s="219" t="s">
        <v>1355</v>
      </c>
      <c r="E685" s="220" t="s">
        <v>1025</v>
      </c>
      <c r="F685" s="220"/>
      <c r="G685" s="220" t="s">
        <v>1348</v>
      </c>
      <c r="H685" s="231">
        <v>45051</v>
      </c>
    </row>
    <row r="686" spans="1:8" customFormat="1">
      <c r="A686" s="221">
        <v>45051</v>
      </c>
      <c r="B686" s="217" t="s">
        <v>7</v>
      </c>
      <c r="C686" s="218" t="s">
        <v>220</v>
      </c>
      <c r="D686" s="219" t="s">
        <v>1356</v>
      </c>
      <c r="E686" s="220" t="s">
        <v>636</v>
      </c>
      <c r="F686" s="220" t="s">
        <v>1357</v>
      </c>
      <c r="G686" s="220" t="s">
        <v>1348</v>
      </c>
      <c r="H686" s="231">
        <v>45051</v>
      </c>
    </row>
    <row r="687" spans="1:8" customFormat="1">
      <c r="A687" s="221">
        <v>45051</v>
      </c>
      <c r="B687" s="217" t="s">
        <v>7</v>
      </c>
      <c r="C687" s="218" t="s">
        <v>220</v>
      </c>
      <c r="D687" s="219" t="s">
        <v>1299</v>
      </c>
      <c r="E687" s="220" t="s">
        <v>1300</v>
      </c>
      <c r="F687" s="220" t="s">
        <v>1358</v>
      </c>
      <c r="G687" s="220" t="s">
        <v>1359</v>
      </c>
      <c r="H687" s="231">
        <v>45051</v>
      </c>
    </row>
    <row r="688" spans="1:8" customFormat="1" ht="21.9">
      <c r="A688" s="221">
        <v>45051</v>
      </c>
      <c r="B688" s="217" t="s">
        <v>7</v>
      </c>
      <c r="C688" s="218" t="s">
        <v>220</v>
      </c>
      <c r="D688" s="219" t="s">
        <v>1360</v>
      </c>
      <c r="E688" s="220" t="s">
        <v>1361</v>
      </c>
      <c r="F688" s="220"/>
      <c r="G688" s="220" t="s">
        <v>1362</v>
      </c>
      <c r="H688" s="231">
        <v>45051</v>
      </c>
    </row>
    <row r="689" spans="1:8" customFormat="1" ht="21.9">
      <c r="A689" s="221">
        <v>45051</v>
      </c>
      <c r="B689" s="217" t="s">
        <v>7</v>
      </c>
      <c r="C689" s="218" t="s">
        <v>220</v>
      </c>
      <c r="D689" s="219" t="s">
        <v>1363</v>
      </c>
      <c r="E689" s="220" t="s">
        <v>1209</v>
      </c>
      <c r="F689" s="220"/>
      <c r="G689" s="220" t="s">
        <v>1364</v>
      </c>
      <c r="H689" s="231">
        <v>45051</v>
      </c>
    </row>
    <row r="690" spans="1:8" customFormat="1" ht="32.15">
      <c r="A690" s="221">
        <v>45051</v>
      </c>
      <c r="B690" s="217" t="s">
        <v>7</v>
      </c>
      <c r="C690" s="218" t="s">
        <v>220</v>
      </c>
      <c r="D690" s="219" t="s">
        <v>1365</v>
      </c>
      <c r="E690" s="220" t="s">
        <v>230</v>
      </c>
      <c r="F690" s="220"/>
      <c r="G690" s="220" t="s">
        <v>1366</v>
      </c>
      <c r="H690" s="231">
        <v>45049</v>
      </c>
    </row>
    <row r="691" spans="1:8" customFormat="1">
      <c r="A691" s="221">
        <v>45051</v>
      </c>
      <c r="B691" s="217" t="s">
        <v>7</v>
      </c>
      <c r="C691" s="218" t="s">
        <v>220</v>
      </c>
      <c r="D691" s="219" t="s">
        <v>1367</v>
      </c>
      <c r="E691" s="220" t="s">
        <v>526</v>
      </c>
      <c r="F691" s="220"/>
      <c r="G691" s="220" t="s">
        <v>1349</v>
      </c>
      <c r="H691" s="231">
        <v>45051</v>
      </c>
    </row>
    <row r="692" spans="1:8" customFormat="1" ht="21.9">
      <c r="A692" s="221">
        <v>45051</v>
      </c>
      <c r="B692" s="217" t="s">
        <v>7</v>
      </c>
      <c r="C692" s="218" t="s">
        <v>220</v>
      </c>
      <c r="D692" s="219" t="s">
        <v>1368</v>
      </c>
      <c r="E692" s="220" t="s">
        <v>1209</v>
      </c>
      <c r="F692" s="220"/>
      <c r="G692" s="220" t="s">
        <v>1364</v>
      </c>
      <c r="H692" s="231">
        <v>45051</v>
      </c>
    </row>
    <row r="693" spans="1:8" customFormat="1">
      <c r="A693" s="221">
        <v>45051</v>
      </c>
      <c r="B693" s="217" t="s">
        <v>7</v>
      </c>
      <c r="C693" s="218" t="s">
        <v>220</v>
      </c>
      <c r="D693" s="219" t="s">
        <v>304</v>
      </c>
      <c r="E693" s="220" t="s">
        <v>305</v>
      </c>
      <c r="F693" s="220"/>
      <c r="G693" s="220" t="s">
        <v>1362</v>
      </c>
      <c r="H693" s="231">
        <v>45051</v>
      </c>
    </row>
    <row r="694" spans="1:8" customFormat="1">
      <c r="A694" s="221">
        <v>45051</v>
      </c>
      <c r="B694" s="217" t="s">
        <v>7</v>
      </c>
      <c r="C694" s="218" t="s">
        <v>267</v>
      </c>
      <c r="D694" s="219" t="s">
        <v>830</v>
      </c>
      <c r="E694" s="220" t="s">
        <v>831</v>
      </c>
      <c r="F694" s="220"/>
      <c r="G694" s="220" t="s">
        <v>288</v>
      </c>
      <c r="H694" s="231">
        <v>45051</v>
      </c>
    </row>
    <row r="695" spans="1:8" customFormat="1">
      <c r="A695" s="221">
        <v>45051</v>
      </c>
      <c r="B695" s="217" t="s">
        <v>7</v>
      </c>
      <c r="C695" s="218" t="s">
        <v>267</v>
      </c>
      <c r="D695" s="219" t="s">
        <v>1310</v>
      </c>
      <c r="E695" s="220" t="s">
        <v>1311</v>
      </c>
      <c r="F695" s="220" t="s">
        <v>1312</v>
      </c>
      <c r="G695" s="220" t="s">
        <v>288</v>
      </c>
      <c r="H695" s="231">
        <v>45051</v>
      </c>
    </row>
    <row r="696" spans="1:8" customFormat="1" ht="21.9">
      <c r="A696" s="221">
        <v>45051</v>
      </c>
      <c r="B696" s="217" t="s">
        <v>7</v>
      </c>
      <c r="C696" s="218" t="s">
        <v>267</v>
      </c>
      <c r="D696" s="219" t="s">
        <v>273</v>
      </c>
      <c r="E696" s="220" t="s">
        <v>1369</v>
      </c>
      <c r="F696" s="220" t="s">
        <v>1370</v>
      </c>
      <c r="G696" s="220" t="s">
        <v>291</v>
      </c>
      <c r="H696" s="231">
        <v>45051</v>
      </c>
    </row>
    <row r="697" spans="1:8" customFormat="1" ht="21.9">
      <c r="A697" s="221">
        <v>45051</v>
      </c>
      <c r="B697" s="217" t="s">
        <v>7</v>
      </c>
      <c r="C697" s="218" t="s">
        <v>267</v>
      </c>
      <c r="D697" s="219" t="s">
        <v>837</v>
      </c>
      <c r="E697" s="220" t="s">
        <v>838</v>
      </c>
      <c r="F697" s="220" t="s">
        <v>839</v>
      </c>
      <c r="G697" s="220" t="s">
        <v>288</v>
      </c>
      <c r="H697" s="231">
        <v>45051</v>
      </c>
    </row>
    <row r="698" spans="1:8" customFormat="1">
      <c r="A698" s="221">
        <v>45051</v>
      </c>
      <c r="B698" s="217" t="s">
        <v>7</v>
      </c>
      <c r="C698" s="218" t="s">
        <v>267</v>
      </c>
      <c r="D698" s="219" t="s">
        <v>600</v>
      </c>
      <c r="E698" s="220" t="s">
        <v>281</v>
      </c>
      <c r="F698" s="220"/>
      <c r="G698" s="220" t="s">
        <v>270</v>
      </c>
      <c r="H698" s="231">
        <v>45044</v>
      </c>
    </row>
    <row r="699" spans="1:8" customFormat="1" ht="21.9">
      <c r="A699" s="221">
        <v>45051</v>
      </c>
      <c r="B699" s="217" t="s">
        <v>7</v>
      </c>
      <c r="C699" s="218" t="s">
        <v>267</v>
      </c>
      <c r="D699" s="219" t="s">
        <v>1371</v>
      </c>
      <c r="E699" s="220" t="s">
        <v>1372</v>
      </c>
      <c r="F699" s="220" t="s">
        <v>1373</v>
      </c>
      <c r="G699" s="220" t="s">
        <v>276</v>
      </c>
      <c r="H699" s="231">
        <v>45051</v>
      </c>
    </row>
    <row r="700" spans="1:8" customFormat="1">
      <c r="A700" s="221">
        <v>45051</v>
      </c>
      <c r="B700" s="217" t="s">
        <v>7</v>
      </c>
      <c r="C700" s="218" t="s">
        <v>267</v>
      </c>
      <c r="D700" s="219" t="s">
        <v>1088</v>
      </c>
      <c r="E700" s="220" t="s">
        <v>654</v>
      </c>
      <c r="F700" s="220" t="s">
        <v>1089</v>
      </c>
      <c r="G700" s="220" t="s">
        <v>288</v>
      </c>
      <c r="H700" s="231">
        <v>45051</v>
      </c>
    </row>
    <row r="701" spans="1:8" customFormat="1">
      <c r="A701" s="221">
        <v>45051</v>
      </c>
      <c r="B701" s="217" t="s">
        <v>7</v>
      </c>
      <c r="C701" s="218" t="s">
        <v>267</v>
      </c>
      <c r="D701" s="219" t="s">
        <v>1162</v>
      </c>
      <c r="E701" s="220" t="s">
        <v>1374</v>
      </c>
      <c r="F701" s="220"/>
      <c r="G701" s="220" t="s">
        <v>288</v>
      </c>
      <c r="H701" s="231">
        <v>45051</v>
      </c>
    </row>
    <row r="702" spans="1:8" customFormat="1">
      <c r="A702" s="221">
        <v>45051</v>
      </c>
      <c r="B702" s="217" t="s">
        <v>7</v>
      </c>
      <c r="C702" s="218" t="s">
        <v>267</v>
      </c>
      <c r="D702" s="219" t="s">
        <v>851</v>
      </c>
      <c r="E702" s="220" t="s">
        <v>852</v>
      </c>
      <c r="F702" s="220"/>
      <c r="G702" s="220" t="s">
        <v>270</v>
      </c>
      <c r="H702" s="231">
        <v>45051</v>
      </c>
    </row>
    <row r="703" spans="1:8" customFormat="1" ht="21.9">
      <c r="A703" s="221">
        <v>45051</v>
      </c>
      <c r="B703" s="217" t="s">
        <v>7</v>
      </c>
      <c r="C703" s="218" t="s">
        <v>267</v>
      </c>
      <c r="D703" s="219" t="s">
        <v>930</v>
      </c>
      <c r="E703" s="220" t="s">
        <v>931</v>
      </c>
      <c r="F703" s="220" t="s">
        <v>932</v>
      </c>
      <c r="G703" s="220" t="s">
        <v>288</v>
      </c>
      <c r="H703" s="231">
        <v>45051</v>
      </c>
    </row>
    <row r="704" spans="1:8" customFormat="1" ht="32.15">
      <c r="A704" s="221">
        <v>45051</v>
      </c>
      <c r="B704" s="217" t="s">
        <v>7</v>
      </c>
      <c r="C704" s="218" t="s">
        <v>267</v>
      </c>
      <c r="D704" s="219" t="s">
        <v>297</v>
      </c>
      <c r="E704" s="220" t="s">
        <v>298</v>
      </c>
      <c r="F704" s="220" t="s">
        <v>1375</v>
      </c>
      <c r="G704" s="220" t="s">
        <v>285</v>
      </c>
      <c r="H704" s="231">
        <v>45051</v>
      </c>
    </row>
    <row r="705" spans="1:8" customFormat="1">
      <c r="A705" s="221">
        <v>45051</v>
      </c>
      <c r="B705" s="217" t="s">
        <v>7</v>
      </c>
      <c r="C705" s="218" t="s">
        <v>267</v>
      </c>
      <c r="D705" s="219" t="s">
        <v>1322</v>
      </c>
      <c r="E705" s="220" t="s">
        <v>1323</v>
      </c>
      <c r="F705" s="220" t="s">
        <v>1376</v>
      </c>
      <c r="G705" s="220" t="s">
        <v>288</v>
      </c>
      <c r="H705" s="231">
        <v>45051</v>
      </c>
    </row>
    <row r="706" spans="1:8" customFormat="1">
      <c r="A706" s="221">
        <v>45051</v>
      </c>
      <c r="B706" s="217" t="s">
        <v>7</v>
      </c>
      <c r="C706" s="218" t="s">
        <v>267</v>
      </c>
      <c r="D706" s="219" t="s">
        <v>1322</v>
      </c>
      <c r="E706" s="220" t="s">
        <v>1323</v>
      </c>
      <c r="F706" s="220" t="s">
        <v>1377</v>
      </c>
      <c r="G706" s="220" t="s">
        <v>288</v>
      </c>
      <c r="H706" s="231">
        <v>45051</v>
      </c>
    </row>
    <row r="707" spans="1:8" customFormat="1">
      <c r="A707" s="221">
        <v>45051</v>
      </c>
      <c r="B707" s="217" t="s">
        <v>7</v>
      </c>
      <c r="C707" s="218" t="s">
        <v>267</v>
      </c>
      <c r="D707" s="219" t="s">
        <v>1315</v>
      </c>
      <c r="E707" s="220" t="s">
        <v>1316</v>
      </c>
      <c r="F707" s="220"/>
      <c r="G707" s="220" t="s">
        <v>288</v>
      </c>
      <c r="H707" s="231">
        <v>45051</v>
      </c>
    </row>
    <row r="708" spans="1:8" customFormat="1">
      <c r="A708" s="221">
        <v>45051</v>
      </c>
      <c r="B708" s="217" t="s">
        <v>309</v>
      </c>
      <c r="C708" s="218" t="s">
        <v>220</v>
      </c>
      <c r="D708" s="219" t="s">
        <v>1171</v>
      </c>
      <c r="E708" s="220" t="s">
        <v>1172</v>
      </c>
      <c r="F708" s="220"/>
      <c r="G708" s="220" t="s">
        <v>1348</v>
      </c>
      <c r="H708" s="231">
        <v>45051</v>
      </c>
    </row>
    <row r="709" spans="1:8" customFormat="1">
      <c r="A709" s="221">
        <v>45051</v>
      </c>
      <c r="B709" s="217" t="s">
        <v>309</v>
      </c>
      <c r="C709" s="218" t="s">
        <v>220</v>
      </c>
      <c r="D709" s="219" t="s">
        <v>1378</v>
      </c>
      <c r="E709" s="220" t="s">
        <v>1379</v>
      </c>
      <c r="F709" s="220" t="s">
        <v>1380</v>
      </c>
      <c r="G709" s="220" t="s">
        <v>1381</v>
      </c>
      <c r="H709" s="231">
        <v>45051</v>
      </c>
    </row>
    <row r="710" spans="1:8" customFormat="1">
      <c r="A710" s="221">
        <v>45051</v>
      </c>
      <c r="B710" s="217" t="s">
        <v>309</v>
      </c>
      <c r="C710" s="218" t="s">
        <v>220</v>
      </c>
      <c r="D710" s="219" t="s">
        <v>1382</v>
      </c>
      <c r="E710" s="220" t="s">
        <v>422</v>
      </c>
      <c r="F710" s="220"/>
      <c r="G710" s="220" t="s">
        <v>1383</v>
      </c>
      <c r="H710" s="231">
        <v>45051</v>
      </c>
    </row>
    <row r="711" spans="1:8" customFormat="1">
      <c r="A711" s="221">
        <v>45051</v>
      </c>
      <c r="B711" s="217" t="s">
        <v>309</v>
      </c>
      <c r="C711" s="218" t="s">
        <v>220</v>
      </c>
      <c r="D711" s="219" t="s">
        <v>1384</v>
      </c>
      <c r="E711" s="220" t="s">
        <v>357</v>
      </c>
      <c r="F711" s="220" t="s">
        <v>1385</v>
      </c>
      <c r="G711" s="220" t="s">
        <v>226</v>
      </c>
      <c r="H711" s="231">
        <v>45051</v>
      </c>
    </row>
    <row r="712" spans="1:8" customFormat="1">
      <c r="A712" s="221">
        <v>45051</v>
      </c>
      <c r="B712" s="217" t="s">
        <v>309</v>
      </c>
      <c r="C712" s="218" t="s">
        <v>267</v>
      </c>
      <c r="D712" s="219" t="s">
        <v>1253</v>
      </c>
      <c r="E712" s="220" t="s">
        <v>616</v>
      </c>
      <c r="F712" s="220"/>
      <c r="G712" s="220" t="s">
        <v>288</v>
      </c>
      <c r="H712" s="231">
        <v>45051</v>
      </c>
    </row>
    <row r="713" spans="1:8" customFormat="1">
      <c r="A713" s="221">
        <v>45051</v>
      </c>
      <c r="B713" s="217" t="s">
        <v>309</v>
      </c>
      <c r="C713" s="218" t="s">
        <v>267</v>
      </c>
      <c r="D713" s="219" t="s">
        <v>1386</v>
      </c>
      <c r="E713" s="220" t="s">
        <v>1247</v>
      </c>
      <c r="F713" s="220"/>
      <c r="G713" s="220" t="s">
        <v>270</v>
      </c>
      <c r="H713" s="231">
        <v>45051</v>
      </c>
    </row>
    <row r="714" spans="1:8" customFormat="1">
      <c r="A714" s="221">
        <v>45051</v>
      </c>
      <c r="B714" s="217" t="s">
        <v>309</v>
      </c>
      <c r="C714" s="218" t="s">
        <v>267</v>
      </c>
      <c r="D714" s="219" t="s">
        <v>1256</v>
      </c>
      <c r="E714" s="220" t="s">
        <v>1257</v>
      </c>
      <c r="F714" s="220"/>
      <c r="G714" s="220" t="s">
        <v>288</v>
      </c>
      <c r="H714" s="231">
        <v>45051</v>
      </c>
    </row>
    <row r="715" spans="1:8" customFormat="1">
      <c r="A715" s="221">
        <v>45051</v>
      </c>
      <c r="B715" s="217" t="s">
        <v>309</v>
      </c>
      <c r="C715" s="218" t="s">
        <v>267</v>
      </c>
      <c r="D715" s="219" t="s">
        <v>1387</v>
      </c>
      <c r="E715" s="220" t="s">
        <v>1388</v>
      </c>
      <c r="F715" s="220" t="s">
        <v>1389</v>
      </c>
      <c r="G715" s="220" t="s">
        <v>276</v>
      </c>
      <c r="H715" s="231">
        <v>45051</v>
      </c>
    </row>
    <row r="716" spans="1:8" customFormat="1">
      <c r="A716" s="221">
        <v>45051</v>
      </c>
      <c r="B716" s="217" t="s">
        <v>309</v>
      </c>
      <c r="C716" s="218" t="s">
        <v>267</v>
      </c>
      <c r="D716" s="219" t="s">
        <v>1390</v>
      </c>
      <c r="E716" s="220" t="s">
        <v>1259</v>
      </c>
      <c r="F716" s="220"/>
      <c r="G716" s="220" t="s">
        <v>288</v>
      </c>
      <c r="H716" s="231">
        <v>45051</v>
      </c>
    </row>
    <row r="717" spans="1:8" customFormat="1" ht="21.9">
      <c r="A717" s="221">
        <v>45051</v>
      </c>
      <c r="B717" s="217" t="s">
        <v>309</v>
      </c>
      <c r="C717" s="218" t="s">
        <v>267</v>
      </c>
      <c r="D717" s="219" t="s">
        <v>371</v>
      </c>
      <c r="E717" s="220" t="s">
        <v>1260</v>
      </c>
      <c r="F717" s="220" t="s">
        <v>373</v>
      </c>
      <c r="G717" s="220" t="s">
        <v>288</v>
      </c>
      <c r="H717" s="231">
        <v>45051</v>
      </c>
    </row>
    <row r="718" spans="1:8" customFormat="1">
      <c r="A718" s="221">
        <v>45051</v>
      </c>
      <c r="B718" s="217" t="s">
        <v>309</v>
      </c>
      <c r="C718" s="218" t="s">
        <v>267</v>
      </c>
      <c r="D718" s="219" t="s">
        <v>966</v>
      </c>
      <c r="E718" s="220" t="s">
        <v>967</v>
      </c>
      <c r="F718" s="220" t="s">
        <v>968</v>
      </c>
      <c r="G718" s="220" t="s">
        <v>288</v>
      </c>
      <c r="H718" s="231">
        <v>45051</v>
      </c>
    </row>
    <row r="719" spans="1:8" customFormat="1">
      <c r="A719" s="221">
        <v>45051</v>
      </c>
      <c r="B719" s="217" t="s">
        <v>309</v>
      </c>
      <c r="C719" s="218" t="s">
        <v>267</v>
      </c>
      <c r="D719" s="219" t="s">
        <v>969</v>
      </c>
      <c r="E719" s="220" t="s">
        <v>970</v>
      </c>
      <c r="F719" s="220" t="s">
        <v>971</v>
      </c>
      <c r="G719" s="220" t="s">
        <v>288</v>
      </c>
      <c r="H719" s="231">
        <v>45051</v>
      </c>
    </row>
    <row r="720" spans="1:8" customFormat="1">
      <c r="A720" s="221">
        <v>45051</v>
      </c>
      <c r="B720" s="217" t="s">
        <v>309</v>
      </c>
      <c r="C720" s="218" t="s">
        <v>267</v>
      </c>
      <c r="D720" s="219" t="s">
        <v>972</v>
      </c>
      <c r="E720" s="220" t="s">
        <v>967</v>
      </c>
      <c r="F720" s="220" t="s">
        <v>973</v>
      </c>
      <c r="G720" s="220" t="s">
        <v>288</v>
      </c>
      <c r="H720" s="231">
        <v>45051</v>
      </c>
    </row>
    <row r="721" spans="1:8" customFormat="1">
      <c r="A721" s="221">
        <v>45051</v>
      </c>
      <c r="B721" s="217" t="s">
        <v>309</v>
      </c>
      <c r="C721" s="218" t="s">
        <v>267</v>
      </c>
      <c r="D721" s="219" t="s">
        <v>1391</v>
      </c>
      <c r="E721" s="220" t="s">
        <v>1392</v>
      </c>
      <c r="F721" s="220" t="s">
        <v>1393</v>
      </c>
      <c r="G721" s="220" t="s">
        <v>288</v>
      </c>
      <c r="H721" s="231">
        <v>45051</v>
      </c>
    </row>
    <row r="722" spans="1:8" customFormat="1">
      <c r="A722" s="221">
        <v>45051</v>
      </c>
      <c r="B722" s="217" t="s">
        <v>380</v>
      </c>
      <c r="C722" s="218" t="s">
        <v>220</v>
      </c>
      <c r="D722" s="219" t="s">
        <v>735</v>
      </c>
      <c r="E722" s="220" t="s">
        <v>736</v>
      </c>
      <c r="F722" s="220"/>
      <c r="G722" s="220" t="s">
        <v>346</v>
      </c>
      <c r="H722" s="231">
        <v>45051</v>
      </c>
    </row>
    <row r="723" spans="1:8" customFormat="1" ht="21.9">
      <c r="A723" s="221">
        <v>45051</v>
      </c>
      <c r="B723" s="217" t="s">
        <v>380</v>
      </c>
      <c r="C723" s="218" t="s">
        <v>220</v>
      </c>
      <c r="D723" s="219" t="s">
        <v>737</v>
      </c>
      <c r="E723" s="220" t="s">
        <v>738</v>
      </c>
      <c r="F723" s="220" t="s">
        <v>1394</v>
      </c>
      <c r="G723" s="220" t="s">
        <v>1395</v>
      </c>
      <c r="H723" s="231">
        <v>45051</v>
      </c>
    </row>
    <row r="724" spans="1:8" customFormat="1" ht="21.9">
      <c r="A724" s="221">
        <v>45051</v>
      </c>
      <c r="B724" s="217" t="s">
        <v>380</v>
      </c>
      <c r="C724" s="218" t="s">
        <v>220</v>
      </c>
      <c r="D724" s="219" t="s">
        <v>876</v>
      </c>
      <c r="E724" s="220" t="s">
        <v>877</v>
      </c>
      <c r="F724" s="220"/>
      <c r="G724" s="220" t="s">
        <v>1349</v>
      </c>
      <c r="H724" s="231">
        <v>45051</v>
      </c>
    </row>
    <row r="725" spans="1:8" customFormat="1" ht="21.9">
      <c r="A725" s="221">
        <v>45051</v>
      </c>
      <c r="B725" s="217" t="s">
        <v>380</v>
      </c>
      <c r="C725" s="218" t="s">
        <v>220</v>
      </c>
      <c r="D725" s="219" t="s">
        <v>1396</v>
      </c>
      <c r="E725" s="220" t="s">
        <v>1397</v>
      </c>
      <c r="F725" s="220"/>
      <c r="G725" s="220" t="s">
        <v>1398</v>
      </c>
      <c r="H725" s="231">
        <v>45051</v>
      </c>
    </row>
    <row r="726" spans="1:8" customFormat="1">
      <c r="A726" s="221">
        <v>45051</v>
      </c>
      <c r="B726" s="217" t="s">
        <v>380</v>
      </c>
      <c r="C726" s="218" t="s">
        <v>267</v>
      </c>
      <c r="D726" s="219" t="s">
        <v>1399</v>
      </c>
      <c r="E726" s="220" t="s">
        <v>1400</v>
      </c>
      <c r="F726" s="220" t="s">
        <v>1401</v>
      </c>
      <c r="G726" s="220" t="s">
        <v>471</v>
      </c>
      <c r="H726" s="231">
        <v>45051</v>
      </c>
    </row>
    <row r="727" spans="1:8" customFormat="1">
      <c r="A727" s="221">
        <v>45051</v>
      </c>
      <c r="B727" s="217" t="s">
        <v>380</v>
      </c>
      <c r="C727" s="218" t="s">
        <v>267</v>
      </c>
      <c r="D727" s="219" t="s">
        <v>1402</v>
      </c>
      <c r="E727" s="220" t="s">
        <v>1403</v>
      </c>
      <c r="F727" s="220" t="s">
        <v>1404</v>
      </c>
      <c r="G727" s="220" t="s">
        <v>276</v>
      </c>
      <c r="H727" s="231">
        <v>45051</v>
      </c>
    </row>
    <row r="728" spans="1:8" customFormat="1">
      <c r="A728" s="221">
        <v>45051</v>
      </c>
      <c r="B728" s="217" t="s">
        <v>380</v>
      </c>
      <c r="C728" s="218" t="s">
        <v>267</v>
      </c>
      <c r="D728" s="219" t="s">
        <v>1327</v>
      </c>
      <c r="E728" s="220" t="s">
        <v>1328</v>
      </c>
      <c r="F728" s="220"/>
      <c r="G728" s="220" t="s">
        <v>288</v>
      </c>
      <c r="H728" s="231">
        <v>45051</v>
      </c>
    </row>
    <row r="729" spans="1:8" customFormat="1">
      <c r="A729" s="221">
        <v>45051</v>
      </c>
      <c r="B729" s="217" t="s">
        <v>380</v>
      </c>
      <c r="C729" s="218" t="s">
        <v>267</v>
      </c>
      <c r="D729" s="219" t="s">
        <v>562</v>
      </c>
      <c r="E729" s="220" t="s">
        <v>269</v>
      </c>
      <c r="F729" s="220"/>
      <c r="G729" s="220" t="s">
        <v>288</v>
      </c>
      <c r="H729" s="231">
        <v>45051</v>
      </c>
    </row>
    <row r="730" spans="1:8" customFormat="1" ht="21.9">
      <c r="A730" s="221">
        <v>45051</v>
      </c>
      <c r="B730" s="217" t="s">
        <v>380</v>
      </c>
      <c r="C730" s="218" t="s">
        <v>267</v>
      </c>
      <c r="D730" s="219" t="s">
        <v>1130</v>
      </c>
      <c r="E730" s="220" t="s">
        <v>1131</v>
      </c>
      <c r="F730" s="220" t="s">
        <v>1329</v>
      </c>
      <c r="G730" s="220" t="s">
        <v>285</v>
      </c>
      <c r="H730" s="231">
        <v>45051</v>
      </c>
    </row>
    <row r="731" spans="1:8" customFormat="1">
      <c r="A731" s="221">
        <v>45051</v>
      </c>
      <c r="B731" s="217" t="s">
        <v>565</v>
      </c>
      <c r="C731" s="218" t="s">
        <v>220</v>
      </c>
      <c r="D731" s="219" t="s">
        <v>1405</v>
      </c>
      <c r="E731" s="220" t="s">
        <v>1406</v>
      </c>
      <c r="F731" s="220"/>
      <c r="G731" s="220" t="s">
        <v>1351</v>
      </c>
      <c r="H731" s="231">
        <v>45051</v>
      </c>
    </row>
    <row r="732" spans="1:8" customFormat="1">
      <c r="A732" s="221">
        <v>45051</v>
      </c>
      <c r="B732" s="217" t="s">
        <v>565</v>
      </c>
      <c r="C732" s="218" t="s">
        <v>220</v>
      </c>
      <c r="D732" s="219" t="s">
        <v>1407</v>
      </c>
      <c r="E732" s="220" t="s">
        <v>1406</v>
      </c>
      <c r="F732" s="220"/>
      <c r="G732" s="220" t="s">
        <v>1351</v>
      </c>
      <c r="H732" s="231">
        <v>45051</v>
      </c>
    </row>
    <row r="733" spans="1:8" customFormat="1">
      <c r="A733" s="221">
        <v>45051</v>
      </c>
      <c r="B733" s="217" t="s">
        <v>565</v>
      </c>
      <c r="C733" s="218" t="s">
        <v>220</v>
      </c>
      <c r="D733" s="219" t="s">
        <v>1408</v>
      </c>
      <c r="E733" s="220" t="s">
        <v>1406</v>
      </c>
      <c r="F733" s="220"/>
      <c r="G733" s="220" t="s">
        <v>1351</v>
      </c>
      <c r="H733" s="231">
        <v>45051</v>
      </c>
    </row>
    <row r="734" spans="1:8" customFormat="1" ht="21.9">
      <c r="A734" s="221">
        <v>45051</v>
      </c>
      <c r="B734" s="217" t="s">
        <v>565</v>
      </c>
      <c r="C734" s="218" t="s">
        <v>220</v>
      </c>
      <c r="D734" s="219" t="s">
        <v>1409</v>
      </c>
      <c r="E734" s="220" t="s">
        <v>1410</v>
      </c>
      <c r="F734" s="220"/>
      <c r="G734" s="220" t="s">
        <v>1411</v>
      </c>
      <c r="H734" s="231">
        <v>45051</v>
      </c>
    </row>
    <row r="735" spans="1:8" customFormat="1">
      <c r="A735" s="221">
        <v>45051</v>
      </c>
      <c r="B735" s="217" t="s">
        <v>565</v>
      </c>
      <c r="C735" s="218" t="s">
        <v>220</v>
      </c>
      <c r="D735" s="219" t="s">
        <v>1412</v>
      </c>
      <c r="E735" s="220" t="s">
        <v>1413</v>
      </c>
      <c r="F735" s="220"/>
      <c r="G735" s="220" t="s">
        <v>226</v>
      </c>
      <c r="H735" s="231">
        <v>45051</v>
      </c>
    </row>
    <row r="736" spans="1:8" customFormat="1">
      <c r="A736" s="221">
        <v>45051</v>
      </c>
      <c r="B736" s="217" t="s">
        <v>423</v>
      </c>
      <c r="C736" s="218" t="s">
        <v>220</v>
      </c>
      <c r="D736" s="219" t="s">
        <v>1414</v>
      </c>
      <c r="E736" s="220" t="s">
        <v>1025</v>
      </c>
      <c r="F736" s="220"/>
      <c r="G736" s="220" t="s">
        <v>1348</v>
      </c>
      <c r="H736" s="231">
        <v>45051</v>
      </c>
    </row>
    <row r="737" spans="1:8" customFormat="1">
      <c r="A737" s="221">
        <v>45051</v>
      </c>
      <c r="B737" s="217" t="s">
        <v>423</v>
      </c>
      <c r="C737" s="218" t="s">
        <v>220</v>
      </c>
      <c r="D737" s="219" t="s">
        <v>1415</v>
      </c>
      <c r="E737" s="220" t="s">
        <v>1000</v>
      </c>
      <c r="F737" s="220"/>
      <c r="G737" s="220" t="s">
        <v>226</v>
      </c>
      <c r="H737" s="231">
        <v>45051</v>
      </c>
    </row>
    <row r="738" spans="1:8" customFormat="1">
      <c r="A738" s="221">
        <v>45051</v>
      </c>
      <c r="B738" s="217" t="s">
        <v>423</v>
      </c>
      <c r="C738" s="218" t="s">
        <v>220</v>
      </c>
      <c r="D738" s="219" t="s">
        <v>1193</v>
      </c>
      <c r="E738" s="220" t="s">
        <v>1000</v>
      </c>
      <c r="F738" s="220"/>
      <c r="G738" s="220" t="s">
        <v>1348</v>
      </c>
      <c r="H738" s="231">
        <v>45051</v>
      </c>
    </row>
    <row r="739" spans="1:8" customFormat="1">
      <c r="A739" s="221">
        <v>45051</v>
      </c>
      <c r="B739" s="217" t="s">
        <v>423</v>
      </c>
      <c r="C739" s="218" t="s">
        <v>220</v>
      </c>
      <c r="D739" s="219" t="s">
        <v>1416</v>
      </c>
      <c r="E739" s="220" t="s">
        <v>710</v>
      </c>
      <c r="F739" s="220"/>
      <c r="G739" s="220" t="s">
        <v>1417</v>
      </c>
      <c r="H739" s="231">
        <v>45051</v>
      </c>
    </row>
    <row r="740" spans="1:8" customFormat="1">
      <c r="A740" s="221">
        <v>45051</v>
      </c>
      <c r="B740" s="217" t="s">
        <v>423</v>
      </c>
      <c r="C740" s="218" t="s">
        <v>220</v>
      </c>
      <c r="D740" s="219" t="s">
        <v>1021</v>
      </c>
      <c r="E740" s="220" t="s">
        <v>1022</v>
      </c>
      <c r="F740" s="220"/>
      <c r="G740" s="220" t="s">
        <v>1418</v>
      </c>
      <c r="H740" s="231">
        <v>45051</v>
      </c>
    </row>
    <row r="741" spans="1:8" customFormat="1">
      <c r="A741" s="221">
        <v>45051</v>
      </c>
      <c r="B741" s="217" t="s">
        <v>423</v>
      </c>
      <c r="C741" s="218" t="s">
        <v>267</v>
      </c>
      <c r="D741" s="219" t="s">
        <v>455</v>
      </c>
      <c r="E741" s="220" t="s">
        <v>985</v>
      </c>
      <c r="F741" s="220" t="s">
        <v>457</v>
      </c>
      <c r="G741" s="220" t="s">
        <v>288</v>
      </c>
      <c r="H741" s="231">
        <v>45051</v>
      </c>
    </row>
    <row r="742" spans="1:8" customFormat="1">
      <c r="A742" s="221">
        <v>45051</v>
      </c>
      <c r="B742" s="217" t="s">
        <v>423</v>
      </c>
      <c r="C742" s="218" t="s">
        <v>267</v>
      </c>
      <c r="D742" s="219" t="s">
        <v>1419</v>
      </c>
      <c r="E742" s="220" t="s">
        <v>1420</v>
      </c>
      <c r="F742" s="220"/>
      <c r="G742" s="220" t="s">
        <v>270</v>
      </c>
      <c r="H742" s="231">
        <v>45051</v>
      </c>
    </row>
    <row r="743" spans="1:8" customFormat="1">
      <c r="A743" s="221">
        <v>45051</v>
      </c>
      <c r="B743" s="217" t="s">
        <v>423</v>
      </c>
      <c r="C743" s="218" t="s">
        <v>267</v>
      </c>
      <c r="D743" s="219" t="s">
        <v>1142</v>
      </c>
      <c r="E743" s="220" t="s">
        <v>1421</v>
      </c>
      <c r="F743" s="220"/>
      <c r="G743" s="220" t="s">
        <v>285</v>
      </c>
      <c r="H743" s="231">
        <v>45051</v>
      </c>
    </row>
    <row r="744" spans="1:8" customFormat="1">
      <c r="A744" s="221">
        <v>45051</v>
      </c>
      <c r="B744" s="217" t="s">
        <v>423</v>
      </c>
      <c r="C744" s="218" t="s">
        <v>267</v>
      </c>
      <c r="D744" s="219" t="s">
        <v>1288</v>
      </c>
      <c r="E744" s="220" t="s">
        <v>1289</v>
      </c>
      <c r="F744" s="220"/>
      <c r="G744" s="220" t="s">
        <v>288</v>
      </c>
      <c r="H744" s="231">
        <v>45051</v>
      </c>
    </row>
    <row r="745" spans="1:8" customFormat="1">
      <c r="A745" s="221">
        <v>44949</v>
      </c>
      <c r="B745" s="217" t="s">
        <v>7</v>
      </c>
      <c r="C745" s="218" t="s">
        <v>267</v>
      </c>
      <c r="D745" s="219" t="s">
        <v>849</v>
      </c>
      <c r="E745" s="220" t="s">
        <v>850</v>
      </c>
      <c r="F745" s="220" t="s">
        <v>833</v>
      </c>
      <c r="G745" s="220" t="s">
        <v>1422</v>
      </c>
      <c r="H745" s="231">
        <v>44949</v>
      </c>
    </row>
    <row r="746" spans="1:8" customFormat="1">
      <c r="A746" s="221">
        <v>44949</v>
      </c>
      <c r="B746" s="217" t="s">
        <v>7</v>
      </c>
      <c r="C746" s="218" t="s">
        <v>267</v>
      </c>
      <c r="D746" s="219" t="s">
        <v>1423</v>
      </c>
      <c r="E746" s="220" t="s">
        <v>1424</v>
      </c>
      <c r="F746" s="220" t="s">
        <v>1425</v>
      </c>
      <c r="G746" s="220" t="s">
        <v>166</v>
      </c>
      <c r="H746" s="231">
        <v>44949</v>
      </c>
    </row>
    <row r="747" spans="1:8" customFormat="1">
      <c r="A747" s="221">
        <v>44949</v>
      </c>
      <c r="B747" s="217" t="s">
        <v>7</v>
      </c>
      <c r="C747" s="218" t="s">
        <v>267</v>
      </c>
      <c r="D747" s="219" t="s">
        <v>260</v>
      </c>
      <c r="E747" s="220" t="s">
        <v>1313</v>
      </c>
      <c r="F747" s="220" t="s">
        <v>1314</v>
      </c>
      <c r="G747" s="220" t="s">
        <v>28</v>
      </c>
      <c r="H747" s="231">
        <v>44949</v>
      </c>
    </row>
    <row r="748" spans="1:8" customFormat="1">
      <c r="A748" s="221">
        <v>44949</v>
      </c>
      <c r="B748" s="217" t="s">
        <v>7</v>
      </c>
      <c r="C748" s="218" t="s">
        <v>267</v>
      </c>
      <c r="D748" s="219" t="s">
        <v>1426</v>
      </c>
      <c r="E748" s="220" t="s">
        <v>1427</v>
      </c>
      <c r="F748" s="220" t="s">
        <v>1428</v>
      </c>
      <c r="G748" s="220" t="s">
        <v>166</v>
      </c>
      <c r="H748" s="231">
        <v>44949</v>
      </c>
    </row>
    <row r="749" spans="1:8" customFormat="1">
      <c r="A749" s="221">
        <v>44949</v>
      </c>
      <c r="B749" s="217" t="s">
        <v>309</v>
      </c>
      <c r="C749" s="218" t="s">
        <v>220</v>
      </c>
      <c r="D749" s="219" t="s">
        <v>1429</v>
      </c>
      <c r="E749" s="220" t="s">
        <v>1430</v>
      </c>
      <c r="F749" s="220"/>
      <c r="G749" s="220" t="s">
        <v>226</v>
      </c>
      <c r="H749" s="231">
        <v>44949</v>
      </c>
    </row>
    <row r="750" spans="1:8" customFormat="1">
      <c r="A750" s="221">
        <v>44949</v>
      </c>
      <c r="B750" s="217" t="s">
        <v>309</v>
      </c>
      <c r="C750" s="218" t="s">
        <v>267</v>
      </c>
      <c r="D750" s="219" t="s">
        <v>959</v>
      </c>
      <c r="E750" s="220" t="s">
        <v>960</v>
      </c>
      <c r="F750" s="220" t="s">
        <v>961</v>
      </c>
      <c r="G750" s="220" t="s">
        <v>166</v>
      </c>
      <c r="H750" s="231">
        <v>44949</v>
      </c>
    </row>
    <row r="751" spans="1:8" customFormat="1">
      <c r="A751" s="221">
        <v>44949</v>
      </c>
      <c r="B751" s="217" t="s">
        <v>309</v>
      </c>
      <c r="C751" s="218" t="s">
        <v>267</v>
      </c>
      <c r="D751" s="219" t="s">
        <v>1431</v>
      </c>
      <c r="E751" s="220" t="s">
        <v>1432</v>
      </c>
      <c r="F751" s="220" t="s">
        <v>1433</v>
      </c>
      <c r="G751" s="220" t="s">
        <v>166</v>
      </c>
      <c r="H751" s="231">
        <v>44949</v>
      </c>
    </row>
    <row r="752" spans="1:8" customFormat="1" ht="21.9">
      <c r="A752" s="221">
        <v>44949</v>
      </c>
      <c r="B752" s="217" t="s">
        <v>309</v>
      </c>
      <c r="C752" s="218" t="s">
        <v>267</v>
      </c>
      <c r="D752" s="219" t="s">
        <v>1434</v>
      </c>
      <c r="E752" s="220" t="s">
        <v>1435</v>
      </c>
      <c r="F752" s="220" t="s">
        <v>1436</v>
      </c>
      <c r="G752" s="220" t="s">
        <v>166</v>
      </c>
      <c r="H752" s="231">
        <v>44949</v>
      </c>
    </row>
    <row r="753" spans="1:8" customFormat="1">
      <c r="A753" s="221">
        <v>44949</v>
      </c>
      <c r="B753" s="217" t="s">
        <v>309</v>
      </c>
      <c r="C753" s="218" t="s">
        <v>267</v>
      </c>
      <c r="D753" s="219" t="s">
        <v>1437</v>
      </c>
      <c r="E753" s="220" t="s">
        <v>1438</v>
      </c>
      <c r="F753" s="220" t="s">
        <v>1439</v>
      </c>
      <c r="G753" s="220" t="s">
        <v>166</v>
      </c>
      <c r="H753" s="231">
        <v>44949</v>
      </c>
    </row>
    <row r="754" spans="1:8" customFormat="1">
      <c r="A754" s="221">
        <v>44949</v>
      </c>
      <c r="B754" s="217" t="s">
        <v>309</v>
      </c>
      <c r="C754" s="218" t="s">
        <v>267</v>
      </c>
      <c r="D754" s="219" t="s">
        <v>1440</v>
      </c>
      <c r="E754" s="220" t="s">
        <v>979</v>
      </c>
      <c r="F754" s="220" t="s">
        <v>833</v>
      </c>
      <c r="G754" s="220" t="s">
        <v>166</v>
      </c>
      <c r="H754" s="231">
        <v>44949</v>
      </c>
    </row>
    <row r="755" spans="1:8" customFormat="1">
      <c r="A755" s="221">
        <v>44949</v>
      </c>
      <c r="B755" s="217" t="s">
        <v>309</v>
      </c>
      <c r="C755" s="218" t="s">
        <v>267</v>
      </c>
      <c r="D755" s="219" t="s">
        <v>981</v>
      </c>
      <c r="E755" s="220" t="s">
        <v>1121</v>
      </c>
      <c r="F755" s="220" t="s">
        <v>1110</v>
      </c>
      <c r="G755" s="220" t="s">
        <v>28</v>
      </c>
      <c r="H755" s="231">
        <v>44949</v>
      </c>
    </row>
    <row r="756" spans="1:8" customFormat="1">
      <c r="A756" s="221">
        <v>44949</v>
      </c>
      <c r="B756" s="217" t="s">
        <v>380</v>
      </c>
      <c r="C756" s="218" t="s">
        <v>220</v>
      </c>
      <c r="D756" s="219" t="s">
        <v>1441</v>
      </c>
      <c r="E756" s="220" t="s">
        <v>1442</v>
      </c>
      <c r="F756" s="220"/>
      <c r="G756" s="220" t="s">
        <v>226</v>
      </c>
      <c r="H756" s="231">
        <v>44949</v>
      </c>
    </row>
    <row r="757" spans="1:8" customFormat="1">
      <c r="A757" s="221">
        <v>44949</v>
      </c>
      <c r="B757" s="217" t="s">
        <v>380</v>
      </c>
      <c r="C757" s="218" t="s">
        <v>267</v>
      </c>
      <c r="D757" s="219" t="s">
        <v>381</v>
      </c>
      <c r="E757" s="220" t="s">
        <v>710</v>
      </c>
      <c r="F757" s="220" t="s">
        <v>833</v>
      </c>
      <c r="G757" s="220" t="s">
        <v>28</v>
      </c>
      <c r="H757" s="231">
        <v>44949</v>
      </c>
    </row>
    <row r="758" spans="1:8" customFormat="1">
      <c r="A758" s="221">
        <v>44949</v>
      </c>
      <c r="B758" s="217" t="s">
        <v>380</v>
      </c>
      <c r="C758" s="218" t="s">
        <v>267</v>
      </c>
      <c r="D758" s="219" t="s">
        <v>405</v>
      </c>
      <c r="E758" s="220" t="s">
        <v>710</v>
      </c>
      <c r="F758" s="220" t="s">
        <v>407</v>
      </c>
      <c r="G758" s="220" t="s">
        <v>27</v>
      </c>
      <c r="H758" s="231">
        <v>44949</v>
      </c>
    </row>
    <row r="759" spans="1:8" customFormat="1">
      <c r="A759" s="221">
        <v>44949</v>
      </c>
      <c r="B759" s="217" t="s">
        <v>380</v>
      </c>
      <c r="C759" s="218" t="s">
        <v>267</v>
      </c>
      <c r="D759" s="219" t="s">
        <v>408</v>
      </c>
      <c r="E759" s="220" t="s">
        <v>710</v>
      </c>
      <c r="F759" s="220" t="s">
        <v>1056</v>
      </c>
      <c r="G759" s="220" t="s">
        <v>27</v>
      </c>
      <c r="H759" s="231">
        <v>44949</v>
      </c>
    </row>
    <row r="760" spans="1:8" customFormat="1">
      <c r="A760" s="221">
        <v>44949</v>
      </c>
      <c r="B760" s="217" t="s">
        <v>380</v>
      </c>
      <c r="C760" s="218" t="s">
        <v>267</v>
      </c>
      <c r="D760" s="219" t="s">
        <v>1443</v>
      </c>
      <c r="E760" s="220" t="s">
        <v>1444</v>
      </c>
      <c r="F760" s="220" t="s">
        <v>1445</v>
      </c>
      <c r="G760" s="220" t="s">
        <v>166</v>
      </c>
      <c r="H760" s="231">
        <v>44949</v>
      </c>
    </row>
    <row r="761" spans="1:8" customFormat="1">
      <c r="A761" s="221">
        <v>44949</v>
      </c>
      <c r="B761" s="217" t="s">
        <v>380</v>
      </c>
      <c r="C761" s="218" t="s">
        <v>267</v>
      </c>
      <c r="D761" s="219" t="s">
        <v>1446</v>
      </c>
      <c r="E761" s="220" t="s">
        <v>1447</v>
      </c>
      <c r="F761" s="220" t="s">
        <v>833</v>
      </c>
      <c r="G761" s="220" t="s">
        <v>166</v>
      </c>
      <c r="H761" s="231">
        <v>44949</v>
      </c>
    </row>
    <row r="762" spans="1:8" customFormat="1">
      <c r="A762" s="221">
        <v>44949</v>
      </c>
      <c r="B762" s="217" t="s">
        <v>380</v>
      </c>
      <c r="C762" s="218" t="s">
        <v>267</v>
      </c>
      <c r="D762" s="219" t="s">
        <v>1448</v>
      </c>
      <c r="E762" s="220" t="s">
        <v>1328</v>
      </c>
      <c r="F762" s="220" t="s">
        <v>833</v>
      </c>
      <c r="G762" s="220" t="s">
        <v>166</v>
      </c>
      <c r="H762" s="231">
        <v>44949</v>
      </c>
    </row>
    <row r="763" spans="1:8" customFormat="1">
      <c r="A763" s="221">
        <v>44949</v>
      </c>
      <c r="B763" s="217" t="s">
        <v>380</v>
      </c>
      <c r="C763" s="218" t="s">
        <v>267</v>
      </c>
      <c r="D763" s="219" t="s">
        <v>1449</v>
      </c>
      <c r="E763" s="220" t="s">
        <v>1450</v>
      </c>
      <c r="F763" s="220" t="s">
        <v>1451</v>
      </c>
      <c r="G763" s="220" t="s">
        <v>166</v>
      </c>
      <c r="H763" s="231">
        <v>44949</v>
      </c>
    </row>
    <row r="764" spans="1:8" customFormat="1">
      <c r="A764" s="221">
        <v>44949</v>
      </c>
      <c r="B764" s="217" t="s">
        <v>423</v>
      </c>
      <c r="C764" s="218" t="s">
        <v>220</v>
      </c>
      <c r="D764" s="219" t="s">
        <v>1452</v>
      </c>
      <c r="E764" s="220" t="s">
        <v>1156</v>
      </c>
      <c r="F764" s="220"/>
      <c r="G764" s="220" t="s">
        <v>226</v>
      </c>
      <c r="H764" s="231">
        <v>44949</v>
      </c>
    </row>
    <row r="765" spans="1:8" customFormat="1">
      <c r="A765" s="221">
        <v>44949</v>
      </c>
      <c r="B765" s="217" t="s">
        <v>423</v>
      </c>
      <c r="C765" s="218" t="s">
        <v>220</v>
      </c>
      <c r="D765" s="219" t="s">
        <v>1453</v>
      </c>
      <c r="E765" s="220" t="s">
        <v>1179</v>
      </c>
      <c r="F765" s="220"/>
      <c r="G765" s="220" t="s">
        <v>226</v>
      </c>
      <c r="H765" s="231">
        <v>44949</v>
      </c>
    </row>
    <row r="766" spans="1:8" customFormat="1" ht="21.9">
      <c r="A766" s="221">
        <v>44949</v>
      </c>
      <c r="B766" s="217" t="s">
        <v>423</v>
      </c>
      <c r="C766" s="218" t="s">
        <v>267</v>
      </c>
      <c r="D766" s="219" t="s">
        <v>1454</v>
      </c>
      <c r="E766" s="220" t="s">
        <v>746</v>
      </c>
      <c r="F766" s="220" t="s">
        <v>1455</v>
      </c>
      <c r="G766" s="220" t="s">
        <v>166</v>
      </c>
      <c r="H766" s="231">
        <v>44949</v>
      </c>
    </row>
    <row r="767" spans="1:8" customFormat="1">
      <c r="A767" s="221">
        <v>44949</v>
      </c>
      <c r="B767" s="217" t="s">
        <v>423</v>
      </c>
      <c r="C767" s="218" t="s">
        <v>267</v>
      </c>
      <c r="D767" s="219" t="s">
        <v>462</v>
      </c>
      <c r="E767" s="220" t="s">
        <v>473</v>
      </c>
      <c r="F767" s="220"/>
      <c r="G767" s="220" t="s">
        <v>28</v>
      </c>
      <c r="H767" s="231">
        <v>44949</v>
      </c>
    </row>
    <row r="768" spans="1:8" customFormat="1">
      <c r="A768" s="221">
        <v>44949</v>
      </c>
      <c r="B768" s="217" t="s">
        <v>423</v>
      </c>
      <c r="C768" s="218" t="s">
        <v>267</v>
      </c>
      <c r="D768" s="219" t="s">
        <v>817</v>
      </c>
      <c r="E768" s="220" t="s">
        <v>1456</v>
      </c>
      <c r="F768" s="220" t="s">
        <v>833</v>
      </c>
      <c r="G768" s="220" t="s">
        <v>27</v>
      </c>
      <c r="H768" s="231">
        <v>44949</v>
      </c>
    </row>
    <row r="769" spans="1:8" customFormat="1" ht="21.9">
      <c r="A769" s="221">
        <v>44895</v>
      </c>
      <c r="B769" s="217" t="s">
        <v>380</v>
      </c>
      <c r="C769" s="218" t="s">
        <v>66</v>
      </c>
      <c r="D769" s="219" t="s">
        <v>390</v>
      </c>
      <c r="E769" s="220" t="s">
        <v>391</v>
      </c>
      <c r="F769" s="220" t="s">
        <v>1457</v>
      </c>
      <c r="G769" s="220" t="s">
        <v>1458</v>
      </c>
      <c r="H769" s="231">
        <v>44890</v>
      </c>
    </row>
    <row r="770" spans="1:8" customFormat="1">
      <c r="A770" s="221">
        <v>44865</v>
      </c>
      <c r="B770" s="217" t="s">
        <v>7</v>
      </c>
      <c r="C770" s="218" t="s">
        <v>220</v>
      </c>
      <c r="D770" s="219" t="s">
        <v>1459</v>
      </c>
      <c r="E770" s="220" t="s">
        <v>249</v>
      </c>
      <c r="F770" s="220"/>
      <c r="G770" s="220" t="s">
        <v>226</v>
      </c>
      <c r="H770" s="231">
        <v>44865</v>
      </c>
    </row>
    <row r="771" spans="1:8" customFormat="1">
      <c r="A771" s="221">
        <v>44865</v>
      </c>
      <c r="B771" s="217" t="s">
        <v>7</v>
      </c>
      <c r="C771" s="218" t="s">
        <v>220</v>
      </c>
      <c r="D771" s="219" t="s">
        <v>1460</v>
      </c>
      <c r="E771" s="220" t="s">
        <v>249</v>
      </c>
      <c r="F771" s="220"/>
      <c r="G771" s="220" t="s">
        <v>226</v>
      </c>
      <c r="H771" s="231">
        <v>44865</v>
      </c>
    </row>
    <row r="772" spans="1:8" customFormat="1">
      <c r="A772" s="221">
        <v>44865</v>
      </c>
      <c r="B772" s="217" t="s">
        <v>7</v>
      </c>
      <c r="C772" s="218" t="s">
        <v>267</v>
      </c>
      <c r="D772" s="219" t="s">
        <v>958</v>
      </c>
      <c r="E772" s="220" t="s">
        <v>205</v>
      </c>
      <c r="F772" s="220" t="s">
        <v>833</v>
      </c>
      <c r="G772" s="220" t="s">
        <v>134</v>
      </c>
      <c r="H772" s="231">
        <v>44865</v>
      </c>
    </row>
    <row r="773" spans="1:8" customFormat="1" ht="21.9">
      <c r="A773" s="221">
        <v>44865</v>
      </c>
      <c r="B773" s="217" t="s">
        <v>7</v>
      </c>
      <c r="C773" s="218" t="s">
        <v>267</v>
      </c>
      <c r="D773" s="219" t="s">
        <v>837</v>
      </c>
      <c r="E773" s="220" t="s">
        <v>838</v>
      </c>
      <c r="F773" s="220" t="s">
        <v>839</v>
      </c>
      <c r="G773" s="220" t="s">
        <v>166</v>
      </c>
      <c r="H773" s="231">
        <v>44865</v>
      </c>
    </row>
    <row r="774" spans="1:8" customFormat="1">
      <c r="A774" s="221">
        <v>44865</v>
      </c>
      <c r="B774" s="217" t="s">
        <v>7</v>
      </c>
      <c r="C774" s="218" t="s">
        <v>267</v>
      </c>
      <c r="D774" s="219" t="s">
        <v>277</v>
      </c>
      <c r="E774" s="220" t="s">
        <v>278</v>
      </c>
      <c r="F774" s="220" t="s">
        <v>833</v>
      </c>
      <c r="G774" s="220" t="s">
        <v>28</v>
      </c>
      <c r="H774" s="231">
        <v>44865</v>
      </c>
    </row>
    <row r="775" spans="1:8" customFormat="1">
      <c r="A775" s="221">
        <v>44865</v>
      </c>
      <c r="B775" s="217" t="s">
        <v>7</v>
      </c>
      <c r="C775" s="218" t="s">
        <v>267</v>
      </c>
      <c r="D775" s="219" t="s">
        <v>1220</v>
      </c>
      <c r="E775" s="220" t="s">
        <v>540</v>
      </c>
      <c r="F775" s="220" t="s">
        <v>833</v>
      </c>
      <c r="G775" s="220" t="s">
        <v>27</v>
      </c>
      <c r="H775" s="231">
        <v>44865</v>
      </c>
    </row>
    <row r="776" spans="1:8" customFormat="1">
      <c r="A776" s="221">
        <v>44865</v>
      </c>
      <c r="B776" s="217" t="s">
        <v>7</v>
      </c>
      <c r="C776" s="218" t="s">
        <v>267</v>
      </c>
      <c r="D776" s="219" t="s">
        <v>1461</v>
      </c>
      <c r="E776" s="220" t="s">
        <v>1462</v>
      </c>
      <c r="F776" s="220" t="s">
        <v>1463</v>
      </c>
      <c r="G776" s="220" t="s">
        <v>166</v>
      </c>
      <c r="H776" s="231">
        <v>44865</v>
      </c>
    </row>
    <row r="777" spans="1:8" customFormat="1" ht="21.9">
      <c r="A777" s="221">
        <v>44865</v>
      </c>
      <c r="B777" s="217" t="s">
        <v>7</v>
      </c>
      <c r="C777" s="218" t="s">
        <v>267</v>
      </c>
      <c r="D777" s="219" t="s">
        <v>1464</v>
      </c>
      <c r="E777" s="220" t="s">
        <v>1465</v>
      </c>
      <c r="F777" s="220" t="s">
        <v>1466</v>
      </c>
      <c r="G777" s="220" t="s">
        <v>166</v>
      </c>
      <c r="H777" s="231">
        <v>44865</v>
      </c>
    </row>
    <row r="778" spans="1:8" customFormat="1">
      <c r="A778" s="221">
        <v>44865</v>
      </c>
      <c r="B778" s="217" t="s">
        <v>7</v>
      </c>
      <c r="C778" s="218" t="s">
        <v>267</v>
      </c>
      <c r="D778" s="219" t="s">
        <v>1162</v>
      </c>
      <c r="E778" s="220" t="s">
        <v>1282</v>
      </c>
      <c r="F778" s="220" t="s">
        <v>833</v>
      </c>
      <c r="G778" s="220" t="s">
        <v>27</v>
      </c>
      <c r="H778" s="231">
        <v>44865</v>
      </c>
    </row>
    <row r="779" spans="1:8" customFormat="1">
      <c r="A779" s="221">
        <v>44865</v>
      </c>
      <c r="B779" s="217" t="s">
        <v>7</v>
      </c>
      <c r="C779" s="218" t="s">
        <v>267</v>
      </c>
      <c r="D779" s="219" t="s">
        <v>1467</v>
      </c>
      <c r="E779" s="220" t="s">
        <v>1468</v>
      </c>
      <c r="F779" s="220"/>
      <c r="G779" s="220" t="s">
        <v>28</v>
      </c>
      <c r="H779" s="231">
        <v>44865</v>
      </c>
    </row>
    <row r="780" spans="1:8" customFormat="1">
      <c r="A780" s="221">
        <v>44865</v>
      </c>
      <c r="B780" s="217" t="s">
        <v>7</v>
      </c>
      <c r="C780" s="218" t="s">
        <v>267</v>
      </c>
      <c r="D780" s="219" t="s">
        <v>1223</v>
      </c>
      <c r="E780" s="220" t="s">
        <v>540</v>
      </c>
      <c r="F780" s="220" t="s">
        <v>833</v>
      </c>
      <c r="G780" s="220" t="s">
        <v>27</v>
      </c>
      <c r="H780" s="231">
        <v>44865</v>
      </c>
    </row>
    <row r="781" spans="1:8" customFormat="1">
      <c r="A781" s="221">
        <v>44865</v>
      </c>
      <c r="B781" s="217" t="s">
        <v>7</v>
      </c>
      <c r="C781" s="218" t="s">
        <v>267</v>
      </c>
      <c r="D781" s="219" t="s">
        <v>1224</v>
      </c>
      <c r="E781" s="220" t="s">
        <v>540</v>
      </c>
      <c r="F781" s="220" t="s">
        <v>833</v>
      </c>
      <c r="G781" s="220" t="s">
        <v>27</v>
      </c>
      <c r="H781" s="231">
        <v>44865</v>
      </c>
    </row>
    <row r="782" spans="1:8" customFormat="1" ht="21.9">
      <c r="A782" s="221">
        <v>44865</v>
      </c>
      <c r="B782" s="217" t="s">
        <v>7</v>
      </c>
      <c r="C782" s="218" t="s">
        <v>267</v>
      </c>
      <c r="D782" s="219" t="s">
        <v>930</v>
      </c>
      <c r="E782" s="220" t="s">
        <v>931</v>
      </c>
      <c r="F782" s="220" t="s">
        <v>932</v>
      </c>
      <c r="G782" s="220" t="s">
        <v>166</v>
      </c>
      <c r="H782" s="231">
        <v>44865</v>
      </c>
    </row>
    <row r="783" spans="1:8" customFormat="1">
      <c r="A783" s="221">
        <v>44865</v>
      </c>
      <c r="B783" s="217" t="s">
        <v>309</v>
      </c>
      <c r="C783" s="218" t="s">
        <v>220</v>
      </c>
      <c r="D783" s="219" t="s">
        <v>1469</v>
      </c>
      <c r="E783" s="220" t="s">
        <v>1470</v>
      </c>
      <c r="F783" s="220"/>
      <c r="G783" s="220" t="s">
        <v>226</v>
      </c>
      <c r="H783" s="231">
        <v>44865</v>
      </c>
    </row>
    <row r="784" spans="1:8" customFormat="1">
      <c r="A784" s="221">
        <v>44865</v>
      </c>
      <c r="B784" s="217" t="s">
        <v>309</v>
      </c>
      <c r="C784" s="218" t="s">
        <v>267</v>
      </c>
      <c r="D784" s="219" t="s">
        <v>1184</v>
      </c>
      <c r="E784" s="220" t="s">
        <v>872</v>
      </c>
      <c r="F784" s="220" t="s">
        <v>833</v>
      </c>
      <c r="G784" s="220" t="s">
        <v>28</v>
      </c>
      <c r="H784" s="231">
        <v>44865</v>
      </c>
    </row>
    <row r="785" spans="1:8" customFormat="1">
      <c r="A785" s="221">
        <v>44865</v>
      </c>
      <c r="B785" s="217" t="s">
        <v>380</v>
      </c>
      <c r="C785" s="218" t="s">
        <v>267</v>
      </c>
      <c r="D785" s="219" t="s">
        <v>766</v>
      </c>
      <c r="E785" s="220" t="s">
        <v>400</v>
      </c>
      <c r="F785" s="220" t="s">
        <v>1471</v>
      </c>
      <c r="G785" s="220" t="s">
        <v>166</v>
      </c>
      <c r="H785" s="231">
        <v>44865</v>
      </c>
    </row>
    <row r="786" spans="1:8" customFormat="1">
      <c r="A786" s="221">
        <v>44865</v>
      </c>
      <c r="B786" s="217" t="s">
        <v>380</v>
      </c>
      <c r="C786" s="218" t="s">
        <v>267</v>
      </c>
      <c r="D786" s="219" t="s">
        <v>1399</v>
      </c>
      <c r="E786" s="220" t="s">
        <v>1400</v>
      </c>
      <c r="F786" s="220" t="s">
        <v>1401</v>
      </c>
      <c r="G786" s="220" t="s">
        <v>27</v>
      </c>
      <c r="H786" s="231">
        <v>44865</v>
      </c>
    </row>
    <row r="787" spans="1:8" customFormat="1">
      <c r="A787" s="221">
        <v>44865</v>
      </c>
      <c r="B787" s="217" t="s">
        <v>380</v>
      </c>
      <c r="C787" s="218" t="s">
        <v>267</v>
      </c>
      <c r="D787" s="219" t="s">
        <v>1472</v>
      </c>
      <c r="E787" s="220" t="s">
        <v>400</v>
      </c>
      <c r="F787" s="220" t="s">
        <v>1473</v>
      </c>
      <c r="G787" s="220" t="s">
        <v>166</v>
      </c>
      <c r="H787" s="231">
        <v>44865</v>
      </c>
    </row>
    <row r="788" spans="1:8" customFormat="1">
      <c r="A788" s="221">
        <v>44865</v>
      </c>
      <c r="B788" s="217" t="s">
        <v>380</v>
      </c>
      <c r="C788" s="218" t="s">
        <v>267</v>
      </c>
      <c r="D788" s="219" t="s">
        <v>399</v>
      </c>
      <c r="E788" s="220" t="s">
        <v>400</v>
      </c>
      <c r="F788" s="220" t="s">
        <v>1474</v>
      </c>
      <c r="G788" s="220" t="s">
        <v>166</v>
      </c>
      <c r="H788" s="231">
        <v>44865</v>
      </c>
    </row>
    <row r="789" spans="1:8" customFormat="1" ht="21.9">
      <c r="A789" s="221">
        <v>44865</v>
      </c>
      <c r="B789" s="217" t="s">
        <v>380</v>
      </c>
      <c r="C789" s="218" t="s">
        <v>267</v>
      </c>
      <c r="D789" s="219" t="s">
        <v>876</v>
      </c>
      <c r="E789" s="220" t="s">
        <v>877</v>
      </c>
      <c r="F789" s="220" t="s">
        <v>833</v>
      </c>
      <c r="G789" s="220" t="s">
        <v>28</v>
      </c>
      <c r="H789" s="231">
        <v>44865</v>
      </c>
    </row>
    <row r="790" spans="1:8" customFormat="1">
      <c r="A790" s="221">
        <v>44865</v>
      </c>
      <c r="B790" s="217" t="s">
        <v>380</v>
      </c>
      <c r="C790" s="218" t="s">
        <v>267</v>
      </c>
      <c r="D790" s="219" t="s">
        <v>1475</v>
      </c>
      <c r="E790" s="220" t="s">
        <v>400</v>
      </c>
      <c r="F790" s="220" t="s">
        <v>1476</v>
      </c>
      <c r="G790" s="220" t="s">
        <v>166</v>
      </c>
      <c r="H790" s="231">
        <v>44865</v>
      </c>
    </row>
    <row r="791" spans="1:8" customFormat="1">
      <c r="A791" s="221">
        <v>44865</v>
      </c>
      <c r="B791" s="217" t="s">
        <v>380</v>
      </c>
      <c r="C791" s="218" t="s">
        <v>267</v>
      </c>
      <c r="D791" s="219" t="s">
        <v>1477</v>
      </c>
      <c r="E791" s="220" t="s">
        <v>400</v>
      </c>
      <c r="F791" s="220" t="s">
        <v>1478</v>
      </c>
      <c r="G791" s="220" t="s">
        <v>166</v>
      </c>
      <c r="H791" s="231">
        <v>44865</v>
      </c>
    </row>
    <row r="792" spans="1:8" customFormat="1">
      <c r="A792" s="221">
        <v>44865</v>
      </c>
      <c r="B792" s="217" t="s">
        <v>380</v>
      </c>
      <c r="C792" s="218" t="s">
        <v>267</v>
      </c>
      <c r="D792" s="219" t="s">
        <v>1479</v>
      </c>
      <c r="E792" s="220" t="s">
        <v>400</v>
      </c>
      <c r="F792" s="220" t="s">
        <v>1480</v>
      </c>
      <c r="G792" s="220" t="s">
        <v>166</v>
      </c>
      <c r="H792" s="231">
        <v>44865</v>
      </c>
    </row>
    <row r="793" spans="1:8" customFormat="1">
      <c r="A793" s="221">
        <v>44865</v>
      </c>
      <c r="B793" s="217" t="s">
        <v>380</v>
      </c>
      <c r="C793" s="218" t="s">
        <v>267</v>
      </c>
      <c r="D793" s="219" t="s">
        <v>1446</v>
      </c>
      <c r="E793" s="220" t="s">
        <v>1447</v>
      </c>
      <c r="F793" s="220" t="s">
        <v>833</v>
      </c>
      <c r="G793" s="220" t="s">
        <v>27</v>
      </c>
      <c r="H793" s="231">
        <v>44865</v>
      </c>
    </row>
    <row r="794" spans="1:8" customFormat="1">
      <c r="A794" s="221">
        <v>44865</v>
      </c>
      <c r="B794" s="217" t="s">
        <v>380</v>
      </c>
      <c r="C794" s="218" t="s">
        <v>267</v>
      </c>
      <c r="D794" s="219" t="s">
        <v>1481</v>
      </c>
      <c r="E794" s="220" t="s">
        <v>400</v>
      </c>
      <c r="F794" s="220" t="s">
        <v>1482</v>
      </c>
      <c r="G794" s="220" t="s">
        <v>166</v>
      </c>
      <c r="H794" s="231">
        <v>44865</v>
      </c>
    </row>
    <row r="795" spans="1:8" customFormat="1">
      <c r="A795" s="221">
        <v>44865</v>
      </c>
      <c r="B795" s="217" t="s">
        <v>380</v>
      </c>
      <c r="C795" s="218" t="s">
        <v>267</v>
      </c>
      <c r="D795" s="219" t="s">
        <v>1483</v>
      </c>
      <c r="E795" s="220" t="s">
        <v>400</v>
      </c>
      <c r="F795" s="220" t="s">
        <v>1484</v>
      </c>
      <c r="G795" s="220" t="s">
        <v>166</v>
      </c>
      <c r="H795" s="231">
        <v>44865</v>
      </c>
    </row>
    <row r="796" spans="1:8" customFormat="1">
      <c r="A796" s="221">
        <v>44865</v>
      </c>
      <c r="B796" s="217" t="s">
        <v>380</v>
      </c>
      <c r="C796" s="218" t="s">
        <v>267</v>
      </c>
      <c r="D796" s="219" t="s">
        <v>1485</v>
      </c>
      <c r="E796" s="220" t="s">
        <v>400</v>
      </c>
      <c r="F796" s="220" t="s">
        <v>1486</v>
      </c>
      <c r="G796" s="220" t="s">
        <v>166</v>
      </c>
      <c r="H796" s="231">
        <v>44865</v>
      </c>
    </row>
    <row r="797" spans="1:8" customFormat="1">
      <c r="A797" s="221">
        <v>44865</v>
      </c>
      <c r="B797" s="217" t="s">
        <v>380</v>
      </c>
      <c r="C797" s="218" t="s">
        <v>267</v>
      </c>
      <c r="D797" s="219" t="s">
        <v>1487</v>
      </c>
      <c r="E797" s="220" t="s">
        <v>400</v>
      </c>
      <c r="F797" s="220" t="s">
        <v>1488</v>
      </c>
      <c r="G797" s="220" t="s">
        <v>166</v>
      </c>
      <c r="H797" s="231">
        <v>44865</v>
      </c>
    </row>
    <row r="798" spans="1:8" customFormat="1">
      <c r="A798" s="221">
        <v>44865</v>
      </c>
      <c r="B798" s="217" t="s">
        <v>380</v>
      </c>
      <c r="C798" s="218" t="s">
        <v>267</v>
      </c>
      <c r="D798" s="219" t="s">
        <v>1489</v>
      </c>
      <c r="E798" s="220" t="s">
        <v>400</v>
      </c>
      <c r="F798" s="220" t="s">
        <v>1490</v>
      </c>
      <c r="G798" s="220" t="s">
        <v>166</v>
      </c>
      <c r="H798" s="231">
        <v>44865</v>
      </c>
    </row>
    <row r="799" spans="1:8" customFormat="1">
      <c r="A799" s="221">
        <v>44865</v>
      </c>
      <c r="B799" s="217" t="s">
        <v>380</v>
      </c>
      <c r="C799" s="218" t="s">
        <v>267</v>
      </c>
      <c r="D799" s="219" t="s">
        <v>419</v>
      </c>
      <c r="E799" s="220" t="s">
        <v>269</v>
      </c>
      <c r="F799" s="220" t="s">
        <v>833</v>
      </c>
      <c r="G799" s="220" t="s">
        <v>27</v>
      </c>
      <c r="H799" s="231">
        <v>44865</v>
      </c>
    </row>
    <row r="800" spans="1:8" customFormat="1">
      <c r="A800" s="221">
        <v>44865</v>
      </c>
      <c r="B800" s="217" t="s">
        <v>423</v>
      </c>
      <c r="C800" s="218" t="s">
        <v>220</v>
      </c>
      <c r="D800" s="219" t="s">
        <v>1491</v>
      </c>
      <c r="E800" s="220" t="s">
        <v>249</v>
      </c>
      <c r="F800" s="220"/>
      <c r="G800" s="220" t="s">
        <v>226</v>
      </c>
      <c r="H800" s="231">
        <v>44865</v>
      </c>
    </row>
    <row r="801" spans="1:8" customFormat="1">
      <c r="A801" s="221">
        <v>44865</v>
      </c>
      <c r="B801" s="217" t="s">
        <v>423</v>
      </c>
      <c r="C801" s="218" t="s">
        <v>220</v>
      </c>
      <c r="D801" s="219" t="s">
        <v>1492</v>
      </c>
      <c r="E801" s="220" t="s">
        <v>249</v>
      </c>
      <c r="F801" s="220"/>
      <c r="G801" s="220" t="s">
        <v>226</v>
      </c>
      <c r="H801" s="231">
        <v>44865</v>
      </c>
    </row>
    <row r="802" spans="1:8" customFormat="1">
      <c r="A802" s="221">
        <v>44865</v>
      </c>
      <c r="B802" s="217" t="s">
        <v>423</v>
      </c>
      <c r="C802" s="218" t="s">
        <v>267</v>
      </c>
      <c r="D802" s="219" t="s">
        <v>1493</v>
      </c>
      <c r="E802" s="220" t="s">
        <v>1494</v>
      </c>
      <c r="F802" s="220" t="s">
        <v>1495</v>
      </c>
      <c r="G802" s="220" t="s">
        <v>166</v>
      </c>
      <c r="H802" s="231">
        <v>44865</v>
      </c>
    </row>
    <row r="803" spans="1:8" customFormat="1">
      <c r="A803" s="221">
        <v>44865</v>
      </c>
      <c r="B803" s="217" t="s">
        <v>423</v>
      </c>
      <c r="C803" s="218" t="s">
        <v>267</v>
      </c>
      <c r="D803" s="219" t="s">
        <v>1496</v>
      </c>
      <c r="E803" s="220" t="s">
        <v>1497</v>
      </c>
      <c r="F803" s="220" t="s">
        <v>833</v>
      </c>
      <c r="G803" s="220" t="s">
        <v>28</v>
      </c>
      <c r="H803" s="231">
        <v>44865</v>
      </c>
    </row>
    <row r="804" spans="1:8" customFormat="1">
      <c r="A804" s="221">
        <v>44865</v>
      </c>
      <c r="B804" s="217" t="s">
        <v>423</v>
      </c>
      <c r="C804" s="218" t="s">
        <v>267</v>
      </c>
      <c r="D804" s="219" t="s">
        <v>1498</v>
      </c>
      <c r="E804" s="220" t="s">
        <v>1499</v>
      </c>
      <c r="F804" s="220" t="s">
        <v>833</v>
      </c>
      <c r="G804" s="220" t="s">
        <v>166</v>
      </c>
      <c r="H804" s="231">
        <v>44865</v>
      </c>
    </row>
    <row r="805" spans="1:8" customFormat="1">
      <c r="A805" s="221">
        <v>44865</v>
      </c>
      <c r="B805" s="217" t="s">
        <v>423</v>
      </c>
      <c r="C805" s="218" t="s">
        <v>267</v>
      </c>
      <c r="D805" s="219" t="s">
        <v>1142</v>
      </c>
      <c r="E805" s="220" t="s">
        <v>1421</v>
      </c>
      <c r="F805" s="220" t="s">
        <v>833</v>
      </c>
      <c r="G805" s="220" t="s">
        <v>28</v>
      </c>
      <c r="H805" s="231">
        <v>44865</v>
      </c>
    </row>
    <row r="806" spans="1:8" customFormat="1" ht="21.9">
      <c r="A806" s="221">
        <v>44865</v>
      </c>
      <c r="B806" s="217" t="s">
        <v>423</v>
      </c>
      <c r="C806" s="218" t="s">
        <v>267</v>
      </c>
      <c r="D806" s="219" t="s">
        <v>886</v>
      </c>
      <c r="E806" s="220" t="s">
        <v>887</v>
      </c>
      <c r="F806" s="220" t="s">
        <v>833</v>
      </c>
      <c r="G806" s="220" t="s">
        <v>28</v>
      </c>
      <c r="H806" s="231">
        <v>44865</v>
      </c>
    </row>
    <row r="807" spans="1:8" customFormat="1" ht="21.9">
      <c r="A807" s="221">
        <v>44865</v>
      </c>
      <c r="B807" s="217" t="s">
        <v>423</v>
      </c>
      <c r="C807" s="218" t="s">
        <v>267</v>
      </c>
      <c r="D807" s="219" t="s">
        <v>1500</v>
      </c>
      <c r="E807" s="220" t="s">
        <v>1286</v>
      </c>
      <c r="F807" s="220" t="s">
        <v>1287</v>
      </c>
      <c r="G807" s="220" t="s">
        <v>27</v>
      </c>
      <c r="H807" s="231">
        <v>44865</v>
      </c>
    </row>
    <row r="808" spans="1:8" customFormat="1" ht="21.9">
      <c r="A808" s="221">
        <v>44865</v>
      </c>
      <c r="B808" s="217" t="s">
        <v>423</v>
      </c>
      <c r="C808" s="218" t="s">
        <v>267</v>
      </c>
      <c r="D808" s="219" t="s">
        <v>1501</v>
      </c>
      <c r="E808" s="220" t="s">
        <v>1502</v>
      </c>
      <c r="F808" s="220" t="s">
        <v>1503</v>
      </c>
      <c r="G808" s="220" t="s">
        <v>166</v>
      </c>
      <c r="H808" s="231">
        <v>44865</v>
      </c>
    </row>
    <row r="809" spans="1:8" customFormat="1">
      <c r="A809" s="221">
        <v>44865</v>
      </c>
      <c r="B809" s="217" t="s">
        <v>423</v>
      </c>
      <c r="C809" s="218" t="s">
        <v>267</v>
      </c>
      <c r="D809" s="219" t="s">
        <v>486</v>
      </c>
      <c r="E809" s="220" t="s">
        <v>487</v>
      </c>
      <c r="F809" s="220" t="s">
        <v>833</v>
      </c>
      <c r="G809" s="220" t="s">
        <v>28</v>
      </c>
      <c r="H809" s="231">
        <v>44865</v>
      </c>
    </row>
    <row r="810" spans="1:8" customFormat="1">
      <c r="A810" s="221">
        <v>44865</v>
      </c>
      <c r="B810" s="217" t="s">
        <v>423</v>
      </c>
      <c r="C810" s="218" t="s">
        <v>267</v>
      </c>
      <c r="D810" s="219" t="s">
        <v>1504</v>
      </c>
      <c r="E810" s="220" t="s">
        <v>1505</v>
      </c>
      <c r="F810" s="220" t="s">
        <v>1506</v>
      </c>
      <c r="G810" s="220" t="s">
        <v>166</v>
      </c>
      <c r="H810" s="231">
        <v>44865</v>
      </c>
    </row>
    <row r="811" spans="1:8" customFormat="1">
      <c r="A811" s="221">
        <v>44865</v>
      </c>
      <c r="B811" s="217" t="s">
        <v>423</v>
      </c>
      <c r="C811" s="218" t="s">
        <v>267</v>
      </c>
      <c r="D811" s="219" t="s">
        <v>1507</v>
      </c>
      <c r="E811" s="220" t="s">
        <v>1508</v>
      </c>
      <c r="F811" s="220" t="s">
        <v>1509</v>
      </c>
      <c r="G811" s="220" t="s">
        <v>166</v>
      </c>
      <c r="H811" s="231">
        <v>44865</v>
      </c>
    </row>
    <row r="812" spans="1:8" customFormat="1">
      <c r="A812" s="221">
        <v>44804</v>
      </c>
      <c r="B812" s="217" t="s">
        <v>423</v>
      </c>
      <c r="C812" s="218" t="s">
        <v>267</v>
      </c>
      <c r="D812" s="219" t="s">
        <v>1288</v>
      </c>
      <c r="E812" s="220" t="s">
        <v>1289</v>
      </c>
      <c r="F812" s="220"/>
      <c r="G812" s="220" t="s">
        <v>27</v>
      </c>
      <c r="H812" s="231">
        <v>44804</v>
      </c>
    </row>
    <row r="813" spans="1:8" customFormat="1">
      <c r="A813" s="221">
        <v>44764</v>
      </c>
      <c r="B813" s="217" t="s">
        <v>7</v>
      </c>
      <c r="C813" s="218" t="s">
        <v>220</v>
      </c>
      <c r="D813" s="219" t="s">
        <v>1510</v>
      </c>
      <c r="E813" s="220" t="s">
        <v>1511</v>
      </c>
      <c r="F813" s="220"/>
      <c r="G813" s="220" t="s">
        <v>226</v>
      </c>
      <c r="H813" s="231">
        <v>44764</v>
      </c>
    </row>
    <row r="814" spans="1:8" customFormat="1">
      <c r="A814" s="221">
        <v>44764</v>
      </c>
      <c r="B814" s="217" t="s">
        <v>7</v>
      </c>
      <c r="C814" s="218" t="s">
        <v>267</v>
      </c>
      <c r="D814" s="219" t="s">
        <v>1220</v>
      </c>
      <c r="E814" s="220" t="s">
        <v>540</v>
      </c>
      <c r="F814" s="220"/>
      <c r="G814" s="220" t="s">
        <v>28</v>
      </c>
      <c r="H814" s="231">
        <v>44764</v>
      </c>
    </row>
    <row r="815" spans="1:8" customFormat="1">
      <c r="A815" s="221">
        <v>44764</v>
      </c>
      <c r="B815" s="217" t="s">
        <v>7</v>
      </c>
      <c r="C815" s="218" t="s">
        <v>267</v>
      </c>
      <c r="D815" s="219" t="s">
        <v>1223</v>
      </c>
      <c r="E815" s="220" t="s">
        <v>540</v>
      </c>
      <c r="F815" s="220"/>
      <c r="G815" s="220" t="s">
        <v>28</v>
      </c>
      <c r="H815" s="231">
        <v>44764</v>
      </c>
    </row>
    <row r="816" spans="1:8" customFormat="1">
      <c r="A816" s="221">
        <v>44764</v>
      </c>
      <c r="B816" s="217" t="s">
        <v>7</v>
      </c>
      <c r="C816" s="218" t="s">
        <v>267</v>
      </c>
      <c r="D816" s="219" t="s">
        <v>1224</v>
      </c>
      <c r="E816" s="220" t="s">
        <v>540</v>
      </c>
      <c r="F816" s="220"/>
      <c r="G816" s="220" t="s">
        <v>28</v>
      </c>
      <c r="H816" s="231">
        <v>44764</v>
      </c>
    </row>
    <row r="817" spans="1:8" customFormat="1">
      <c r="A817" s="221">
        <v>44764</v>
      </c>
      <c r="B817" s="217" t="s">
        <v>309</v>
      </c>
      <c r="C817" s="218" t="s">
        <v>220</v>
      </c>
      <c r="D817" s="219" t="s">
        <v>1512</v>
      </c>
      <c r="E817" s="220" t="s">
        <v>1017</v>
      </c>
      <c r="F817" s="220"/>
      <c r="G817" s="220" t="s">
        <v>226</v>
      </c>
      <c r="H817" s="231">
        <v>44764</v>
      </c>
    </row>
    <row r="818" spans="1:8" customFormat="1">
      <c r="A818" s="221">
        <v>44764</v>
      </c>
      <c r="B818" s="217" t="s">
        <v>309</v>
      </c>
      <c r="C818" s="218" t="s">
        <v>220</v>
      </c>
      <c r="D818" s="219" t="s">
        <v>1512</v>
      </c>
      <c r="E818" s="220" t="s">
        <v>1017</v>
      </c>
      <c r="F818" s="220"/>
      <c r="G818" s="220" t="s">
        <v>226</v>
      </c>
      <c r="H818" s="231">
        <v>44764</v>
      </c>
    </row>
    <row r="819" spans="1:8" customFormat="1">
      <c r="A819" s="221">
        <v>44764</v>
      </c>
      <c r="B819" s="217" t="s">
        <v>309</v>
      </c>
      <c r="C819" s="218" t="s">
        <v>267</v>
      </c>
      <c r="D819" s="219" t="s">
        <v>719</v>
      </c>
      <c r="E819" s="220" t="s">
        <v>1513</v>
      </c>
      <c r="F819" s="220" t="s">
        <v>1514</v>
      </c>
      <c r="G819" s="220" t="s">
        <v>27</v>
      </c>
      <c r="H819" s="231">
        <v>44764</v>
      </c>
    </row>
    <row r="820" spans="1:8" customFormat="1">
      <c r="A820" s="221">
        <v>44764</v>
      </c>
      <c r="B820" s="217" t="s">
        <v>309</v>
      </c>
      <c r="C820" s="218" t="s">
        <v>267</v>
      </c>
      <c r="D820" s="219" t="s">
        <v>719</v>
      </c>
      <c r="E820" s="220" t="s">
        <v>1513</v>
      </c>
      <c r="F820" s="220" t="s">
        <v>1515</v>
      </c>
      <c r="G820" s="220" t="s">
        <v>27</v>
      </c>
      <c r="H820" s="231">
        <v>44764</v>
      </c>
    </row>
    <row r="821" spans="1:8" customFormat="1">
      <c r="A821" s="221">
        <v>44764</v>
      </c>
      <c r="B821" s="217" t="s">
        <v>309</v>
      </c>
      <c r="C821" s="218" t="s">
        <v>267</v>
      </c>
      <c r="D821" s="219" t="s">
        <v>959</v>
      </c>
      <c r="E821" s="220" t="s">
        <v>960</v>
      </c>
      <c r="F821" s="220" t="s">
        <v>961</v>
      </c>
      <c r="G821" s="220" t="s">
        <v>164</v>
      </c>
      <c r="H821" s="231">
        <v>44764</v>
      </c>
    </row>
    <row r="822" spans="1:8" customFormat="1">
      <c r="A822" s="221">
        <v>44764</v>
      </c>
      <c r="B822" s="217" t="s">
        <v>309</v>
      </c>
      <c r="C822" s="218" t="s">
        <v>267</v>
      </c>
      <c r="D822" s="219" t="s">
        <v>1175</v>
      </c>
      <c r="E822" s="220" t="s">
        <v>1176</v>
      </c>
      <c r="F822" s="220"/>
      <c r="G822" s="220" t="s">
        <v>28</v>
      </c>
      <c r="H822" s="231">
        <v>44764</v>
      </c>
    </row>
    <row r="823" spans="1:8" customFormat="1" ht="32.15">
      <c r="A823" s="221">
        <v>44764</v>
      </c>
      <c r="B823" s="217" t="s">
        <v>380</v>
      </c>
      <c r="C823" s="218" t="s">
        <v>220</v>
      </c>
      <c r="D823" s="219" t="s">
        <v>1516</v>
      </c>
      <c r="E823" s="220" t="s">
        <v>400</v>
      </c>
      <c r="F823" s="220" t="s">
        <v>1517</v>
      </c>
      <c r="G823" s="220" t="s">
        <v>1518</v>
      </c>
      <c r="H823" s="231">
        <v>44764</v>
      </c>
    </row>
    <row r="824" spans="1:8" customFormat="1">
      <c r="A824" s="221">
        <v>44764</v>
      </c>
      <c r="B824" s="217" t="s">
        <v>423</v>
      </c>
      <c r="C824" s="218" t="s">
        <v>220</v>
      </c>
      <c r="D824" s="219" t="s">
        <v>1519</v>
      </c>
      <c r="E824" s="220" t="s">
        <v>1121</v>
      </c>
      <c r="F824" s="220"/>
      <c r="G824" s="220" t="s">
        <v>226</v>
      </c>
      <c r="H824" s="231">
        <v>44764</v>
      </c>
    </row>
    <row r="825" spans="1:8" customFormat="1">
      <c r="A825" s="221">
        <v>44764</v>
      </c>
      <c r="B825" s="217" t="s">
        <v>423</v>
      </c>
      <c r="C825" s="218" t="s">
        <v>267</v>
      </c>
      <c r="D825" s="219" t="s">
        <v>1334</v>
      </c>
      <c r="E825" s="220" t="s">
        <v>1284</v>
      </c>
      <c r="F825" s="220"/>
      <c r="G825" s="220" t="s">
        <v>27</v>
      </c>
      <c r="H825" s="231">
        <v>44764</v>
      </c>
    </row>
    <row r="826" spans="1:8" customFormat="1">
      <c r="A826" s="221">
        <v>44764</v>
      </c>
      <c r="B826" s="217" t="s">
        <v>423</v>
      </c>
      <c r="C826" s="218" t="s">
        <v>267</v>
      </c>
      <c r="D826" s="219" t="s">
        <v>1520</v>
      </c>
      <c r="E826" s="220" t="s">
        <v>1521</v>
      </c>
      <c r="F826" s="220" t="s">
        <v>1522</v>
      </c>
      <c r="G826" s="220" t="s">
        <v>166</v>
      </c>
      <c r="H826" s="231">
        <v>44764</v>
      </c>
    </row>
    <row r="827" spans="1:8" customFormat="1">
      <c r="A827" s="221">
        <v>44727</v>
      </c>
      <c r="B827" s="217" t="s">
        <v>7</v>
      </c>
      <c r="C827" s="218" t="s">
        <v>220</v>
      </c>
      <c r="D827" s="219" t="s">
        <v>1523</v>
      </c>
      <c r="E827" s="220" t="s">
        <v>1511</v>
      </c>
      <c r="F827" s="220"/>
      <c r="G827" s="220" t="s">
        <v>1524</v>
      </c>
      <c r="H827" s="231">
        <v>44727</v>
      </c>
    </row>
    <row r="828" spans="1:8" customFormat="1">
      <c r="A828" s="221">
        <v>44727</v>
      </c>
      <c r="B828" s="217" t="s">
        <v>7</v>
      </c>
      <c r="C828" s="218" t="s">
        <v>220</v>
      </c>
      <c r="D828" s="219" t="s">
        <v>1525</v>
      </c>
      <c r="E828" s="220" t="s">
        <v>1025</v>
      </c>
      <c r="F828" s="220"/>
      <c r="G828" s="220" t="s">
        <v>1524</v>
      </c>
      <c r="H828" s="231">
        <v>44727</v>
      </c>
    </row>
    <row r="829" spans="1:8" customFormat="1">
      <c r="A829" s="221">
        <v>44727</v>
      </c>
      <c r="B829" s="217" t="s">
        <v>7</v>
      </c>
      <c r="C829" s="218" t="s">
        <v>220</v>
      </c>
      <c r="D829" s="219" t="s">
        <v>1526</v>
      </c>
      <c r="E829" s="220" t="s">
        <v>1527</v>
      </c>
      <c r="F829" s="220"/>
      <c r="G829" s="220" t="s">
        <v>1524</v>
      </c>
      <c r="H829" s="231">
        <v>44727</v>
      </c>
    </row>
    <row r="830" spans="1:8" customFormat="1">
      <c r="A830" s="221">
        <v>44727</v>
      </c>
      <c r="B830" s="217" t="s">
        <v>7</v>
      </c>
      <c r="C830" s="218" t="s">
        <v>220</v>
      </c>
      <c r="D830" s="219" t="s">
        <v>1528</v>
      </c>
      <c r="E830" s="220" t="s">
        <v>1529</v>
      </c>
      <c r="F830" s="220"/>
      <c r="G830" s="220" t="s">
        <v>1524</v>
      </c>
      <c r="H830" s="231">
        <v>44727</v>
      </c>
    </row>
    <row r="831" spans="1:8" customFormat="1">
      <c r="A831" s="221">
        <v>44727</v>
      </c>
      <c r="B831" s="217" t="s">
        <v>7</v>
      </c>
      <c r="C831" s="218" t="s">
        <v>267</v>
      </c>
      <c r="D831" s="219" t="s">
        <v>1530</v>
      </c>
      <c r="E831" s="220" t="s">
        <v>1531</v>
      </c>
      <c r="F831" s="220" t="s">
        <v>1532</v>
      </c>
      <c r="G831" s="220" t="s">
        <v>166</v>
      </c>
      <c r="H831" s="231">
        <v>44727</v>
      </c>
    </row>
    <row r="832" spans="1:8" customFormat="1">
      <c r="A832" s="221">
        <v>44727</v>
      </c>
      <c r="B832" s="217" t="s">
        <v>309</v>
      </c>
      <c r="C832" s="218" t="s">
        <v>220</v>
      </c>
      <c r="D832" s="219" t="s">
        <v>1533</v>
      </c>
      <c r="E832" s="220" t="s">
        <v>269</v>
      </c>
      <c r="F832" s="220"/>
      <c r="G832" s="220" t="s">
        <v>1524</v>
      </c>
      <c r="H832" s="231">
        <v>44727</v>
      </c>
    </row>
    <row r="833" spans="1:8" customFormat="1">
      <c r="A833" s="221">
        <v>44727</v>
      </c>
      <c r="B833" s="217" t="s">
        <v>309</v>
      </c>
      <c r="C833" s="218" t="s">
        <v>220</v>
      </c>
      <c r="D833" s="219" t="s">
        <v>1534</v>
      </c>
      <c r="E833" s="220" t="s">
        <v>1535</v>
      </c>
      <c r="F833" s="220"/>
      <c r="G833" s="220" t="s">
        <v>1524</v>
      </c>
      <c r="H833" s="231">
        <v>44727</v>
      </c>
    </row>
    <row r="834" spans="1:8" customFormat="1">
      <c r="A834" s="221">
        <v>44727</v>
      </c>
      <c r="B834" s="217" t="s">
        <v>309</v>
      </c>
      <c r="C834" s="218" t="s">
        <v>220</v>
      </c>
      <c r="D834" s="219" t="s">
        <v>1536</v>
      </c>
      <c r="E834" s="220" t="s">
        <v>1470</v>
      </c>
      <c r="F834" s="220"/>
      <c r="G834" s="220" t="s">
        <v>1524</v>
      </c>
      <c r="H834" s="231">
        <v>44727</v>
      </c>
    </row>
    <row r="835" spans="1:8" customFormat="1">
      <c r="A835" s="221">
        <v>44727</v>
      </c>
      <c r="B835" s="217" t="s">
        <v>309</v>
      </c>
      <c r="C835" s="218" t="s">
        <v>220</v>
      </c>
      <c r="D835" s="219" t="s">
        <v>1537</v>
      </c>
      <c r="E835" s="220" t="s">
        <v>1017</v>
      </c>
      <c r="F835" s="220"/>
      <c r="G835" s="220" t="s">
        <v>1524</v>
      </c>
      <c r="H835" s="231">
        <v>44727</v>
      </c>
    </row>
    <row r="836" spans="1:8" customFormat="1">
      <c r="A836" s="221">
        <v>44727</v>
      </c>
      <c r="B836" s="217" t="s">
        <v>309</v>
      </c>
      <c r="C836" s="218" t="s">
        <v>220</v>
      </c>
      <c r="D836" s="219" t="s">
        <v>1538</v>
      </c>
      <c r="E836" s="220" t="s">
        <v>1017</v>
      </c>
      <c r="F836" s="220" t="s">
        <v>1539</v>
      </c>
      <c r="G836" s="220" t="s">
        <v>1524</v>
      </c>
      <c r="H836" s="231">
        <v>44727</v>
      </c>
    </row>
    <row r="837" spans="1:8" customFormat="1">
      <c r="A837" s="221">
        <v>44727</v>
      </c>
      <c r="B837" s="217" t="s">
        <v>309</v>
      </c>
      <c r="C837" s="218" t="s">
        <v>220</v>
      </c>
      <c r="D837" s="219" t="s">
        <v>1540</v>
      </c>
      <c r="E837" s="220" t="s">
        <v>1470</v>
      </c>
      <c r="F837" s="220"/>
      <c r="G837" s="220" t="s">
        <v>1524</v>
      </c>
      <c r="H837" s="231">
        <v>44727</v>
      </c>
    </row>
    <row r="838" spans="1:8" customFormat="1">
      <c r="A838" s="221">
        <v>44727</v>
      </c>
      <c r="B838" s="217" t="s">
        <v>309</v>
      </c>
      <c r="C838" s="218" t="s">
        <v>220</v>
      </c>
      <c r="D838" s="219" t="s">
        <v>1541</v>
      </c>
      <c r="E838" s="220" t="s">
        <v>1470</v>
      </c>
      <c r="F838" s="220"/>
      <c r="G838" s="220" t="s">
        <v>1524</v>
      </c>
      <c r="H838" s="231">
        <v>44727</v>
      </c>
    </row>
    <row r="839" spans="1:8" customFormat="1">
      <c r="A839" s="221">
        <v>44727</v>
      </c>
      <c r="B839" s="217" t="s">
        <v>309</v>
      </c>
      <c r="C839" s="218" t="s">
        <v>267</v>
      </c>
      <c r="D839" s="219" t="s">
        <v>978</v>
      </c>
      <c r="E839" s="220" t="s">
        <v>979</v>
      </c>
      <c r="F839" s="220" t="s">
        <v>980</v>
      </c>
      <c r="G839" s="220" t="s">
        <v>27</v>
      </c>
      <c r="H839" s="231">
        <v>44727</v>
      </c>
    </row>
    <row r="840" spans="1:8" customFormat="1">
      <c r="A840" s="221">
        <v>44727</v>
      </c>
      <c r="B840" s="217" t="s">
        <v>380</v>
      </c>
      <c r="C840" s="218" t="s">
        <v>220</v>
      </c>
      <c r="D840" s="219" t="s">
        <v>1542</v>
      </c>
      <c r="E840" s="220" t="s">
        <v>391</v>
      </c>
      <c r="F840" s="220"/>
      <c r="G840" s="220" t="s">
        <v>1524</v>
      </c>
      <c r="H840" s="231">
        <v>44727</v>
      </c>
    </row>
    <row r="841" spans="1:8" customFormat="1">
      <c r="A841" s="221">
        <v>44727</v>
      </c>
      <c r="B841" s="217" t="s">
        <v>380</v>
      </c>
      <c r="C841" s="218" t="s">
        <v>267</v>
      </c>
      <c r="D841" s="219" t="s">
        <v>766</v>
      </c>
      <c r="E841" s="220" t="s">
        <v>400</v>
      </c>
      <c r="F841" s="220" t="s">
        <v>1543</v>
      </c>
      <c r="G841" s="220" t="s">
        <v>27</v>
      </c>
      <c r="H841" s="231">
        <v>44727</v>
      </c>
    </row>
    <row r="842" spans="1:8" customFormat="1">
      <c r="A842" s="221">
        <v>44727</v>
      </c>
      <c r="B842" s="217" t="s">
        <v>380</v>
      </c>
      <c r="C842" s="218" t="s">
        <v>267</v>
      </c>
      <c r="D842" s="219" t="s">
        <v>766</v>
      </c>
      <c r="E842" s="220" t="s">
        <v>400</v>
      </c>
      <c r="F842" s="220" t="s">
        <v>991</v>
      </c>
      <c r="G842" s="220" t="s">
        <v>27</v>
      </c>
      <c r="H842" s="231">
        <v>44727</v>
      </c>
    </row>
    <row r="843" spans="1:8" customFormat="1">
      <c r="A843" s="221">
        <v>44727</v>
      </c>
      <c r="B843" s="217" t="s">
        <v>380</v>
      </c>
      <c r="C843" s="218" t="s">
        <v>267</v>
      </c>
      <c r="D843" s="219" t="s">
        <v>766</v>
      </c>
      <c r="E843" s="220" t="s">
        <v>400</v>
      </c>
      <c r="F843" s="220" t="s">
        <v>992</v>
      </c>
      <c r="G843" s="220" t="s">
        <v>27</v>
      </c>
      <c r="H843" s="231">
        <v>44727</v>
      </c>
    </row>
    <row r="844" spans="1:8" customFormat="1">
      <c r="A844" s="221">
        <v>44727</v>
      </c>
      <c r="B844" s="217" t="s">
        <v>380</v>
      </c>
      <c r="C844" s="218" t="s">
        <v>267</v>
      </c>
      <c r="D844" s="219" t="s">
        <v>1472</v>
      </c>
      <c r="E844" s="220" t="s">
        <v>400</v>
      </c>
      <c r="F844" s="220" t="s">
        <v>1544</v>
      </c>
      <c r="G844" s="220" t="s">
        <v>27</v>
      </c>
      <c r="H844" s="231">
        <v>44727</v>
      </c>
    </row>
    <row r="845" spans="1:8" customFormat="1">
      <c r="A845" s="221">
        <v>44727</v>
      </c>
      <c r="B845" s="217" t="s">
        <v>380</v>
      </c>
      <c r="C845" s="218" t="s">
        <v>267</v>
      </c>
      <c r="D845" s="219" t="s">
        <v>1477</v>
      </c>
      <c r="E845" s="220" t="s">
        <v>400</v>
      </c>
      <c r="F845" s="220" t="s">
        <v>1478</v>
      </c>
      <c r="G845" s="220" t="s">
        <v>27</v>
      </c>
      <c r="H845" s="231">
        <v>44727</v>
      </c>
    </row>
    <row r="846" spans="1:8" customFormat="1">
      <c r="A846" s="221">
        <v>44727</v>
      </c>
      <c r="B846" s="217" t="s">
        <v>380</v>
      </c>
      <c r="C846" s="218" t="s">
        <v>267</v>
      </c>
      <c r="D846" s="219" t="s">
        <v>1479</v>
      </c>
      <c r="E846" s="220" t="s">
        <v>400</v>
      </c>
      <c r="F846" s="220" t="s">
        <v>1480</v>
      </c>
      <c r="G846" s="220" t="s">
        <v>134</v>
      </c>
      <c r="H846" s="231">
        <v>44727</v>
      </c>
    </row>
    <row r="847" spans="1:8" customFormat="1" ht="21.9">
      <c r="A847" s="221">
        <v>44727</v>
      </c>
      <c r="B847" s="217" t="s">
        <v>565</v>
      </c>
      <c r="C847" s="218" t="s">
        <v>220</v>
      </c>
      <c r="D847" s="219" t="s">
        <v>1545</v>
      </c>
      <c r="E847" s="220" t="s">
        <v>1546</v>
      </c>
      <c r="F847" s="220" t="s">
        <v>1547</v>
      </c>
      <c r="G847" s="220" t="s">
        <v>1548</v>
      </c>
      <c r="H847" s="231">
        <v>44727</v>
      </c>
    </row>
    <row r="848" spans="1:8" customFormat="1">
      <c r="A848" s="221">
        <v>44727</v>
      </c>
      <c r="B848" s="217" t="s">
        <v>423</v>
      </c>
      <c r="C848" s="218" t="s">
        <v>220</v>
      </c>
      <c r="D848" s="219" t="s">
        <v>1549</v>
      </c>
      <c r="E848" s="220" t="s">
        <v>1100</v>
      </c>
      <c r="F848" s="220"/>
      <c r="G848" s="220" t="s">
        <v>1524</v>
      </c>
      <c r="H848" s="231">
        <v>44727</v>
      </c>
    </row>
    <row r="849" spans="1:8" customFormat="1">
      <c r="A849" s="221">
        <v>44727</v>
      </c>
      <c r="B849" s="217" t="s">
        <v>423</v>
      </c>
      <c r="C849" s="218" t="s">
        <v>220</v>
      </c>
      <c r="D849" s="219" t="s">
        <v>1550</v>
      </c>
      <c r="E849" s="220" t="s">
        <v>680</v>
      </c>
      <c r="F849" s="220"/>
      <c r="G849" s="220" t="s">
        <v>1524</v>
      </c>
      <c r="H849" s="231">
        <v>44727</v>
      </c>
    </row>
    <row r="850" spans="1:8" customFormat="1">
      <c r="A850" s="221">
        <v>44727</v>
      </c>
      <c r="B850" s="217" t="s">
        <v>423</v>
      </c>
      <c r="C850" s="218" t="s">
        <v>267</v>
      </c>
      <c r="D850" s="219" t="s">
        <v>1551</v>
      </c>
      <c r="E850" s="220" t="s">
        <v>1552</v>
      </c>
      <c r="F850" s="220" t="s">
        <v>1553</v>
      </c>
      <c r="G850" s="220" t="s">
        <v>166</v>
      </c>
      <c r="H850" s="231">
        <v>44727</v>
      </c>
    </row>
    <row r="851" spans="1:8" customFormat="1">
      <c r="A851" s="221">
        <v>44727</v>
      </c>
      <c r="B851" s="217" t="s">
        <v>423</v>
      </c>
      <c r="C851" s="218" t="s">
        <v>267</v>
      </c>
      <c r="D851" s="219" t="s">
        <v>1554</v>
      </c>
      <c r="E851" s="220" t="s">
        <v>1555</v>
      </c>
      <c r="F851" s="220" t="s">
        <v>1556</v>
      </c>
      <c r="G851" s="220" t="s">
        <v>166</v>
      </c>
      <c r="H851" s="231">
        <v>44727</v>
      </c>
    </row>
    <row r="852" spans="1:8" customFormat="1" ht="21.9">
      <c r="A852" s="221">
        <v>44727</v>
      </c>
      <c r="B852" s="217" t="s">
        <v>423</v>
      </c>
      <c r="C852" s="218" t="s">
        <v>267</v>
      </c>
      <c r="D852" s="219" t="s">
        <v>1557</v>
      </c>
      <c r="E852" s="220" t="s">
        <v>1558</v>
      </c>
      <c r="F852" s="220" t="s">
        <v>1559</v>
      </c>
      <c r="G852" s="220" t="s">
        <v>166</v>
      </c>
      <c r="H852" s="231">
        <v>44727</v>
      </c>
    </row>
    <row r="853" spans="1:8" customFormat="1">
      <c r="A853" s="221">
        <v>44712</v>
      </c>
      <c r="B853" s="217" t="s">
        <v>7</v>
      </c>
      <c r="C853" s="218" t="s">
        <v>267</v>
      </c>
      <c r="D853" s="219" t="s">
        <v>210</v>
      </c>
      <c r="E853" s="220" t="s">
        <v>780</v>
      </c>
      <c r="F853" s="220"/>
      <c r="G853" s="220" t="s">
        <v>28</v>
      </c>
      <c r="H853" s="231">
        <v>44712</v>
      </c>
    </row>
    <row r="854" spans="1:8" customFormat="1">
      <c r="A854" s="221">
        <v>44712</v>
      </c>
      <c r="B854" s="217" t="s">
        <v>7</v>
      </c>
      <c r="C854" s="218" t="s">
        <v>267</v>
      </c>
      <c r="D854" s="219" t="s">
        <v>1315</v>
      </c>
      <c r="E854" s="220" t="s">
        <v>1316</v>
      </c>
      <c r="F854" s="220"/>
      <c r="G854" s="220" t="s">
        <v>27</v>
      </c>
      <c r="H854" s="231">
        <v>44712</v>
      </c>
    </row>
    <row r="855" spans="1:8" customFormat="1">
      <c r="A855" s="221">
        <v>44712</v>
      </c>
      <c r="B855" s="217" t="s">
        <v>7</v>
      </c>
      <c r="C855" s="218" t="s">
        <v>267</v>
      </c>
      <c r="D855" s="219" t="s">
        <v>304</v>
      </c>
      <c r="E855" s="220" t="s">
        <v>305</v>
      </c>
      <c r="F855" s="220"/>
      <c r="G855" s="220" t="s">
        <v>27</v>
      </c>
      <c r="H855" s="231">
        <v>44712</v>
      </c>
    </row>
    <row r="856" spans="1:8" customFormat="1">
      <c r="A856" s="221">
        <v>44712</v>
      </c>
      <c r="B856" s="217" t="s">
        <v>309</v>
      </c>
      <c r="C856" s="218" t="s">
        <v>267</v>
      </c>
      <c r="D856" s="219" t="s">
        <v>865</v>
      </c>
      <c r="E856" s="220" t="s">
        <v>780</v>
      </c>
      <c r="F856" s="220"/>
      <c r="G856" s="220" t="s">
        <v>28</v>
      </c>
      <c r="H856" s="231">
        <v>44712</v>
      </c>
    </row>
    <row r="857" spans="1:8" customFormat="1">
      <c r="A857" s="221">
        <v>44712</v>
      </c>
      <c r="B857" s="217" t="s">
        <v>380</v>
      </c>
      <c r="C857" s="218" t="s">
        <v>267</v>
      </c>
      <c r="D857" s="219" t="s">
        <v>1472</v>
      </c>
      <c r="E857" s="220" t="s">
        <v>400</v>
      </c>
      <c r="F857" s="220" t="s">
        <v>1560</v>
      </c>
      <c r="G857" s="220" t="s">
        <v>27</v>
      </c>
      <c r="H857" s="231">
        <v>44712</v>
      </c>
    </row>
    <row r="858" spans="1:8" customFormat="1">
      <c r="A858" s="221">
        <v>44712</v>
      </c>
      <c r="B858" s="217" t="s">
        <v>380</v>
      </c>
      <c r="C858" s="218" t="s">
        <v>267</v>
      </c>
      <c r="D858" s="219" t="s">
        <v>399</v>
      </c>
      <c r="E858" s="220" t="s">
        <v>400</v>
      </c>
      <c r="F858" s="220" t="s">
        <v>1561</v>
      </c>
      <c r="G858" s="220" t="s">
        <v>27</v>
      </c>
      <c r="H858" s="231">
        <v>44712</v>
      </c>
    </row>
    <row r="859" spans="1:8" customFormat="1">
      <c r="A859" s="221">
        <v>44712</v>
      </c>
      <c r="B859" s="217" t="s">
        <v>380</v>
      </c>
      <c r="C859" s="218" t="s">
        <v>267</v>
      </c>
      <c r="D859" s="219" t="s">
        <v>399</v>
      </c>
      <c r="E859" s="220" t="s">
        <v>400</v>
      </c>
      <c r="F859" s="220" t="s">
        <v>402</v>
      </c>
      <c r="G859" s="220" t="s">
        <v>27</v>
      </c>
      <c r="H859" s="231">
        <v>44712</v>
      </c>
    </row>
    <row r="860" spans="1:8" customFormat="1">
      <c r="A860" s="221">
        <v>44712</v>
      </c>
      <c r="B860" s="217" t="s">
        <v>380</v>
      </c>
      <c r="C860" s="218" t="s">
        <v>267</v>
      </c>
      <c r="D860" s="219" t="s">
        <v>1475</v>
      </c>
      <c r="E860" s="220" t="s">
        <v>400</v>
      </c>
      <c r="F860" s="220" t="s">
        <v>1562</v>
      </c>
      <c r="G860" s="220" t="s">
        <v>27</v>
      </c>
      <c r="H860" s="231">
        <v>44712</v>
      </c>
    </row>
    <row r="861" spans="1:8" customFormat="1">
      <c r="A861" s="221">
        <v>44712</v>
      </c>
      <c r="B861" s="217" t="s">
        <v>380</v>
      </c>
      <c r="C861" s="218" t="s">
        <v>267</v>
      </c>
      <c r="D861" s="219" t="s">
        <v>1475</v>
      </c>
      <c r="E861" s="220" t="s">
        <v>400</v>
      </c>
      <c r="F861" s="220" t="s">
        <v>1563</v>
      </c>
      <c r="G861" s="220" t="s">
        <v>27</v>
      </c>
      <c r="H861" s="231">
        <v>44712</v>
      </c>
    </row>
    <row r="862" spans="1:8" customFormat="1">
      <c r="A862" s="221">
        <v>44712</v>
      </c>
      <c r="B862" s="217" t="s">
        <v>380</v>
      </c>
      <c r="C862" s="218" t="s">
        <v>267</v>
      </c>
      <c r="D862" s="219" t="s">
        <v>1564</v>
      </c>
      <c r="E862" s="220" t="s">
        <v>1444</v>
      </c>
      <c r="F862" s="220" t="s">
        <v>1445</v>
      </c>
      <c r="G862" s="220" t="s">
        <v>164</v>
      </c>
      <c r="H862" s="231">
        <v>44712</v>
      </c>
    </row>
    <row r="863" spans="1:8" customFormat="1">
      <c r="A863" s="221">
        <v>44712</v>
      </c>
      <c r="B863" s="217" t="s">
        <v>380</v>
      </c>
      <c r="C863" s="218" t="s">
        <v>267</v>
      </c>
      <c r="D863" s="219" t="s">
        <v>1449</v>
      </c>
      <c r="E863" s="220" t="s">
        <v>1565</v>
      </c>
      <c r="F863" s="220" t="s">
        <v>1451</v>
      </c>
      <c r="G863" s="220" t="s">
        <v>164</v>
      </c>
      <c r="H863" s="231">
        <v>44712</v>
      </c>
    </row>
    <row r="864" spans="1:8" customFormat="1">
      <c r="A864" s="221">
        <v>44712</v>
      </c>
      <c r="B864" s="217" t="s">
        <v>380</v>
      </c>
      <c r="C864" s="218" t="s">
        <v>267</v>
      </c>
      <c r="D864" s="219" t="s">
        <v>419</v>
      </c>
      <c r="E864" s="220" t="s">
        <v>269</v>
      </c>
      <c r="F864" s="220"/>
      <c r="G864" s="220" t="s">
        <v>28</v>
      </c>
      <c r="H864" s="231">
        <v>44712</v>
      </c>
    </row>
    <row r="865" spans="1:8" customFormat="1">
      <c r="A865" s="221">
        <v>44712</v>
      </c>
      <c r="B865" s="217" t="s">
        <v>380</v>
      </c>
      <c r="C865" s="218" t="s">
        <v>267</v>
      </c>
      <c r="D865" s="219" t="s">
        <v>562</v>
      </c>
      <c r="E865" s="220" t="s">
        <v>269</v>
      </c>
      <c r="F865" s="220"/>
      <c r="G865" s="220" t="s">
        <v>27</v>
      </c>
      <c r="H865" s="231">
        <v>44712</v>
      </c>
    </row>
    <row r="866" spans="1:8" customFormat="1">
      <c r="A866" s="221">
        <v>44712</v>
      </c>
      <c r="B866" s="217" t="s">
        <v>423</v>
      </c>
      <c r="C866" s="218" t="s">
        <v>267</v>
      </c>
      <c r="D866" s="219" t="s">
        <v>1566</v>
      </c>
      <c r="E866" s="220" t="s">
        <v>586</v>
      </c>
      <c r="F866" s="220"/>
      <c r="G866" s="220" t="s">
        <v>28</v>
      </c>
      <c r="H866" s="231">
        <v>44712</v>
      </c>
    </row>
    <row r="867" spans="1:8" customFormat="1">
      <c r="A867" s="221">
        <v>44614</v>
      </c>
      <c r="B867" s="217" t="s">
        <v>7</v>
      </c>
      <c r="C867" s="218" t="s">
        <v>199</v>
      </c>
      <c r="D867" s="219" t="s">
        <v>1070</v>
      </c>
      <c r="E867" s="220" t="s">
        <v>1071</v>
      </c>
      <c r="F867" s="220" t="s">
        <v>1072</v>
      </c>
      <c r="G867" s="220" t="s">
        <v>1567</v>
      </c>
      <c r="H867" s="231">
        <v>44614</v>
      </c>
    </row>
    <row r="868" spans="1:8" customFormat="1" ht="21.9">
      <c r="A868" s="221">
        <v>44614</v>
      </c>
      <c r="B868" s="217" t="s">
        <v>7</v>
      </c>
      <c r="C868" s="218" t="s">
        <v>66</v>
      </c>
      <c r="D868" s="219" t="s">
        <v>1568</v>
      </c>
      <c r="E868" s="220" t="s">
        <v>1569</v>
      </c>
      <c r="F868" s="220" t="s">
        <v>1570</v>
      </c>
      <c r="G868" s="220" t="s">
        <v>1571</v>
      </c>
      <c r="H868" s="231">
        <v>44614</v>
      </c>
    </row>
    <row r="869" spans="1:8" customFormat="1">
      <c r="A869" s="221">
        <v>44614</v>
      </c>
      <c r="B869" s="217" t="s">
        <v>7</v>
      </c>
      <c r="C869" s="218" t="s">
        <v>267</v>
      </c>
      <c r="D869" s="219" t="s">
        <v>1572</v>
      </c>
      <c r="E869" s="220" t="s">
        <v>1573</v>
      </c>
      <c r="F869" s="220"/>
      <c r="G869" s="220" t="s">
        <v>134</v>
      </c>
      <c r="H869" s="231">
        <v>44614</v>
      </c>
    </row>
    <row r="870" spans="1:8" customFormat="1" ht="21.9">
      <c r="A870" s="221">
        <v>44614</v>
      </c>
      <c r="B870" s="217" t="s">
        <v>7</v>
      </c>
      <c r="C870" s="218" t="s">
        <v>1574</v>
      </c>
      <c r="D870" s="219" t="s">
        <v>1575</v>
      </c>
      <c r="E870" s="220" t="s">
        <v>1576</v>
      </c>
      <c r="F870" s="220"/>
      <c r="G870" s="220" t="s">
        <v>1577</v>
      </c>
      <c r="H870" s="231">
        <v>44614</v>
      </c>
    </row>
    <row r="871" spans="1:8" customFormat="1" ht="21.9">
      <c r="A871" s="221">
        <v>44614</v>
      </c>
      <c r="B871" s="217" t="s">
        <v>423</v>
      </c>
      <c r="C871" s="218" t="s">
        <v>66</v>
      </c>
      <c r="D871" s="219" t="s">
        <v>1336</v>
      </c>
      <c r="E871" s="220" t="s">
        <v>1578</v>
      </c>
      <c r="F871" s="220" t="s">
        <v>1579</v>
      </c>
      <c r="G871" s="220" t="s">
        <v>1580</v>
      </c>
      <c r="H871" s="231">
        <v>44614</v>
      </c>
    </row>
    <row r="872" spans="1:8" customFormat="1">
      <c r="A872" s="221">
        <v>44600</v>
      </c>
      <c r="B872" s="217" t="s">
        <v>423</v>
      </c>
      <c r="C872" s="218" t="s">
        <v>267</v>
      </c>
      <c r="D872" s="219" t="s">
        <v>1581</v>
      </c>
      <c r="E872" s="220" t="s">
        <v>1582</v>
      </c>
      <c r="F872" s="220" t="s">
        <v>1583</v>
      </c>
      <c r="G872" s="220" t="s">
        <v>166</v>
      </c>
      <c r="H872" s="231">
        <v>44600</v>
      </c>
    </row>
    <row r="873" spans="1:8" customFormat="1" ht="21.9">
      <c r="A873" s="221">
        <v>44582</v>
      </c>
      <c r="B873" s="217" t="s">
        <v>7</v>
      </c>
      <c r="C873" s="218" t="s">
        <v>220</v>
      </c>
      <c r="D873" s="219" t="s">
        <v>1584</v>
      </c>
      <c r="E873" s="220" t="s">
        <v>1585</v>
      </c>
      <c r="F873" s="220" t="s">
        <v>1586</v>
      </c>
      <c r="G873" s="220" t="s">
        <v>1587</v>
      </c>
      <c r="H873" s="231">
        <v>44582</v>
      </c>
    </row>
    <row r="874" spans="1:8" customFormat="1">
      <c r="A874" s="221">
        <v>44582</v>
      </c>
      <c r="B874" s="217" t="s">
        <v>7</v>
      </c>
      <c r="C874" s="218" t="s">
        <v>220</v>
      </c>
      <c r="D874" s="219" t="s">
        <v>1588</v>
      </c>
      <c r="E874" s="220" t="s">
        <v>1589</v>
      </c>
      <c r="F874" s="220" t="s">
        <v>1590</v>
      </c>
      <c r="G874" s="220" t="s">
        <v>1591</v>
      </c>
      <c r="H874" s="231">
        <v>44582</v>
      </c>
    </row>
    <row r="875" spans="1:8" customFormat="1">
      <c r="A875" s="221">
        <v>44582</v>
      </c>
      <c r="B875" s="217" t="s">
        <v>7</v>
      </c>
      <c r="C875" s="218" t="s">
        <v>267</v>
      </c>
      <c r="D875" s="219" t="s">
        <v>830</v>
      </c>
      <c r="E875" s="220" t="s">
        <v>831</v>
      </c>
      <c r="F875" s="220"/>
      <c r="G875" s="220" t="s">
        <v>27</v>
      </c>
      <c r="H875" s="231">
        <v>44582</v>
      </c>
    </row>
    <row r="876" spans="1:8" customFormat="1" ht="21.9">
      <c r="A876" s="221">
        <v>44582</v>
      </c>
      <c r="B876" s="217" t="s">
        <v>7</v>
      </c>
      <c r="C876" s="218" t="s">
        <v>267</v>
      </c>
      <c r="D876" s="219" t="s">
        <v>1592</v>
      </c>
      <c r="E876" s="220" t="s">
        <v>1593</v>
      </c>
      <c r="F876" s="220" t="s">
        <v>1594</v>
      </c>
      <c r="G876" s="220" t="s">
        <v>166</v>
      </c>
      <c r="H876" s="231">
        <v>44582</v>
      </c>
    </row>
    <row r="877" spans="1:8" customFormat="1" ht="21.9">
      <c r="A877" s="221">
        <v>44582</v>
      </c>
      <c r="B877" s="217" t="s">
        <v>7</v>
      </c>
      <c r="C877" s="218" t="s">
        <v>267</v>
      </c>
      <c r="D877" s="219" t="s">
        <v>1595</v>
      </c>
      <c r="E877" s="220" t="s">
        <v>1372</v>
      </c>
      <c r="F877" s="220" t="s">
        <v>1373</v>
      </c>
      <c r="G877" s="220" t="s">
        <v>164</v>
      </c>
      <c r="H877" s="231">
        <v>44582</v>
      </c>
    </row>
    <row r="878" spans="1:8" customFormat="1">
      <c r="A878" s="221">
        <v>44582</v>
      </c>
      <c r="B878" s="217" t="s">
        <v>7</v>
      </c>
      <c r="C878" s="218" t="s">
        <v>267</v>
      </c>
      <c r="D878" s="219" t="s">
        <v>1356</v>
      </c>
      <c r="E878" s="220" t="s">
        <v>636</v>
      </c>
      <c r="F878" s="220" t="s">
        <v>1357</v>
      </c>
      <c r="G878" s="220" t="s">
        <v>30</v>
      </c>
      <c r="H878" s="231">
        <v>44582</v>
      </c>
    </row>
    <row r="879" spans="1:8" customFormat="1">
      <c r="A879" s="221">
        <v>44582</v>
      </c>
      <c r="B879" s="217" t="s">
        <v>7</v>
      </c>
      <c r="C879" s="218" t="s">
        <v>267</v>
      </c>
      <c r="D879" s="219" t="s">
        <v>1467</v>
      </c>
      <c r="E879" s="220" t="s">
        <v>1468</v>
      </c>
      <c r="F879" s="220"/>
      <c r="G879" s="220" t="s">
        <v>28</v>
      </c>
      <c r="H879" s="231">
        <v>44582</v>
      </c>
    </row>
    <row r="880" spans="1:8" customFormat="1" ht="21.9">
      <c r="A880" s="221">
        <v>44582</v>
      </c>
      <c r="B880" s="217" t="s">
        <v>7</v>
      </c>
      <c r="C880" s="218" t="s">
        <v>267</v>
      </c>
      <c r="D880" s="219" t="s">
        <v>930</v>
      </c>
      <c r="E880" s="220" t="s">
        <v>931</v>
      </c>
      <c r="F880" s="220" t="s">
        <v>932</v>
      </c>
      <c r="G880" s="220" t="s">
        <v>1596</v>
      </c>
      <c r="H880" s="231">
        <v>44582</v>
      </c>
    </row>
    <row r="881" spans="1:8" customFormat="1">
      <c r="A881" s="221">
        <v>44582</v>
      </c>
      <c r="B881" s="217" t="s">
        <v>7</v>
      </c>
      <c r="C881" s="218" t="s">
        <v>267</v>
      </c>
      <c r="D881" s="219" t="s">
        <v>1423</v>
      </c>
      <c r="E881" s="220" t="s">
        <v>1424</v>
      </c>
      <c r="F881" s="220" t="s">
        <v>1425</v>
      </c>
      <c r="G881" s="220" t="s">
        <v>164</v>
      </c>
      <c r="H881" s="231">
        <v>44582</v>
      </c>
    </row>
    <row r="882" spans="1:8" customFormat="1">
      <c r="A882" s="221">
        <v>44582</v>
      </c>
      <c r="B882" s="217" t="s">
        <v>7</v>
      </c>
      <c r="C882" s="218" t="s">
        <v>267</v>
      </c>
      <c r="D882" s="219" t="s">
        <v>656</v>
      </c>
      <c r="E882" s="220" t="s">
        <v>1597</v>
      </c>
      <c r="F882" s="220"/>
      <c r="G882" s="220" t="s">
        <v>27</v>
      </c>
      <c r="H882" s="231">
        <v>44582</v>
      </c>
    </row>
    <row r="883" spans="1:8" customFormat="1" ht="21.9">
      <c r="A883" s="221">
        <v>44582</v>
      </c>
      <c r="B883" s="217" t="s">
        <v>309</v>
      </c>
      <c r="C883" s="218" t="s">
        <v>267</v>
      </c>
      <c r="D883" s="219" t="s">
        <v>374</v>
      </c>
      <c r="E883" s="220" t="s">
        <v>375</v>
      </c>
      <c r="F883" s="220"/>
      <c r="G883" s="220" t="s">
        <v>28</v>
      </c>
      <c r="H883" s="231">
        <v>44582</v>
      </c>
    </row>
    <row r="884" spans="1:8" customFormat="1">
      <c r="A884" s="221">
        <v>44582</v>
      </c>
      <c r="B884" s="217" t="s">
        <v>380</v>
      </c>
      <c r="C884" s="218" t="s">
        <v>267</v>
      </c>
      <c r="D884" s="219" t="s">
        <v>766</v>
      </c>
      <c r="E884" s="220" t="s">
        <v>400</v>
      </c>
      <c r="F884" s="220" t="s">
        <v>992</v>
      </c>
      <c r="G884" s="220" t="s">
        <v>134</v>
      </c>
      <c r="H884" s="231">
        <v>44582</v>
      </c>
    </row>
    <row r="885" spans="1:8" customFormat="1">
      <c r="A885" s="221">
        <v>44582</v>
      </c>
      <c r="B885" s="217" t="s">
        <v>380</v>
      </c>
      <c r="C885" s="218" t="s">
        <v>267</v>
      </c>
      <c r="D885" s="219" t="s">
        <v>1472</v>
      </c>
      <c r="E885" s="220" t="s">
        <v>400</v>
      </c>
      <c r="F885" s="220" t="s">
        <v>1544</v>
      </c>
      <c r="G885" s="220" t="s">
        <v>134</v>
      </c>
      <c r="H885" s="231">
        <v>44582</v>
      </c>
    </row>
    <row r="886" spans="1:8" customFormat="1">
      <c r="A886" s="221">
        <v>44582</v>
      </c>
      <c r="B886" s="217" t="s">
        <v>380</v>
      </c>
      <c r="C886" s="218" t="s">
        <v>267</v>
      </c>
      <c r="D886" s="219" t="s">
        <v>1477</v>
      </c>
      <c r="E886" s="220" t="s">
        <v>400</v>
      </c>
      <c r="F886" s="220" t="s">
        <v>1478</v>
      </c>
      <c r="G886" s="220" t="s">
        <v>134</v>
      </c>
      <c r="H886" s="231">
        <v>44582</v>
      </c>
    </row>
    <row r="887" spans="1:8" customFormat="1">
      <c r="A887" s="221">
        <v>44582</v>
      </c>
      <c r="B887" s="217" t="s">
        <v>380</v>
      </c>
      <c r="C887" s="218" t="s">
        <v>267</v>
      </c>
      <c r="D887" s="219" t="s">
        <v>1516</v>
      </c>
      <c r="E887" s="220" t="s">
        <v>400</v>
      </c>
      <c r="F887" s="220" t="s">
        <v>1517</v>
      </c>
      <c r="G887" s="220" t="s">
        <v>134</v>
      </c>
      <c r="H887" s="231">
        <v>44582</v>
      </c>
    </row>
    <row r="888" spans="1:8" customFormat="1">
      <c r="A888" s="221">
        <v>44582</v>
      </c>
      <c r="B888" s="217" t="s">
        <v>380</v>
      </c>
      <c r="C888" s="218" t="s">
        <v>267</v>
      </c>
      <c r="D888" s="219" t="s">
        <v>1489</v>
      </c>
      <c r="E888" s="220" t="s">
        <v>400</v>
      </c>
      <c r="F888" s="220" t="s">
        <v>1490</v>
      </c>
      <c r="G888" s="220" t="s">
        <v>134</v>
      </c>
      <c r="H888" s="231">
        <v>44582</v>
      </c>
    </row>
    <row r="889" spans="1:8" customFormat="1">
      <c r="A889" s="221">
        <v>44582</v>
      </c>
      <c r="B889" s="217" t="s">
        <v>380</v>
      </c>
      <c r="C889" s="218" t="s">
        <v>267</v>
      </c>
      <c r="D889" s="219" t="s">
        <v>1327</v>
      </c>
      <c r="E889" s="220" t="s">
        <v>1328</v>
      </c>
      <c r="F889" s="220"/>
      <c r="G889" s="220" t="s">
        <v>27</v>
      </c>
      <c r="H889" s="231">
        <v>44582</v>
      </c>
    </row>
    <row r="890" spans="1:8" customFormat="1">
      <c r="A890" s="221">
        <v>44582</v>
      </c>
      <c r="B890" s="217" t="s">
        <v>380</v>
      </c>
      <c r="C890" s="218" t="s">
        <v>267</v>
      </c>
      <c r="D890" s="219" t="s">
        <v>1448</v>
      </c>
      <c r="E890" s="220" t="s">
        <v>1328</v>
      </c>
      <c r="F890" s="220"/>
      <c r="G890" s="220" t="s">
        <v>27</v>
      </c>
      <c r="H890" s="231">
        <v>44582</v>
      </c>
    </row>
    <row r="891" spans="1:8" customFormat="1">
      <c r="A891" s="221">
        <v>44582</v>
      </c>
      <c r="B891" s="217" t="s">
        <v>380</v>
      </c>
      <c r="C891" s="218" t="s">
        <v>267</v>
      </c>
      <c r="D891" s="219" t="s">
        <v>1598</v>
      </c>
      <c r="E891" s="220" t="s">
        <v>1599</v>
      </c>
      <c r="F891" s="220"/>
      <c r="G891" s="220" t="s">
        <v>28</v>
      </c>
      <c r="H891" s="231">
        <v>44582</v>
      </c>
    </row>
    <row r="892" spans="1:8" customFormat="1">
      <c r="A892" s="221">
        <v>44582</v>
      </c>
      <c r="B892" s="217" t="s">
        <v>423</v>
      </c>
      <c r="C892" s="218" t="s">
        <v>267</v>
      </c>
      <c r="D892" s="219" t="s">
        <v>1600</v>
      </c>
      <c r="E892" s="220" t="s">
        <v>1601</v>
      </c>
      <c r="F892" s="220"/>
      <c r="G892" s="220" t="s">
        <v>166</v>
      </c>
      <c r="H892" s="231">
        <v>44582</v>
      </c>
    </row>
    <row r="893" spans="1:8" customFormat="1">
      <c r="A893" s="221">
        <v>44582</v>
      </c>
      <c r="B893" s="217" t="s">
        <v>423</v>
      </c>
      <c r="C893" s="218" t="s">
        <v>267</v>
      </c>
      <c r="D893" s="219" t="s">
        <v>1602</v>
      </c>
      <c r="E893" s="220" t="s">
        <v>1603</v>
      </c>
      <c r="F893" s="220" t="s">
        <v>1604</v>
      </c>
      <c r="G893" s="220" t="s">
        <v>166</v>
      </c>
      <c r="H893" s="231">
        <v>44582</v>
      </c>
    </row>
    <row r="894" spans="1:8" customFormat="1">
      <c r="A894" s="221">
        <v>44530</v>
      </c>
      <c r="B894" s="217" t="s">
        <v>380</v>
      </c>
      <c r="C894" s="218" t="s">
        <v>267</v>
      </c>
      <c r="D894" s="219" t="s">
        <v>1449</v>
      </c>
      <c r="E894" s="220" t="s">
        <v>1565</v>
      </c>
      <c r="F894" s="220" t="s">
        <v>833</v>
      </c>
      <c r="G894" s="220" t="s">
        <v>27</v>
      </c>
      <c r="H894" s="231">
        <v>44530</v>
      </c>
    </row>
    <row r="895" spans="1:8" customFormat="1">
      <c r="A895" s="221">
        <v>44484</v>
      </c>
      <c r="B895" s="217" t="s">
        <v>7</v>
      </c>
      <c r="C895" s="218" t="s">
        <v>220</v>
      </c>
      <c r="D895" s="219" t="s">
        <v>1605</v>
      </c>
      <c r="E895" s="220" t="s">
        <v>1606</v>
      </c>
      <c r="F895" s="220"/>
      <c r="G895" s="220" t="s">
        <v>1524</v>
      </c>
      <c r="H895" s="231">
        <v>44484</v>
      </c>
    </row>
    <row r="896" spans="1:8" customFormat="1" ht="21.9">
      <c r="A896" s="221">
        <v>44484</v>
      </c>
      <c r="B896" s="217" t="s">
        <v>7</v>
      </c>
      <c r="C896" s="218" t="s">
        <v>220</v>
      </c>
      <c r="D896" s="219" t="s">
        <v>1299</v>
      </c>
      <c r="E896" s="220" t="s">
        <v>1300</v>
      </c>
      <c r="F896" s="220" t="s">
        <v>1607</v>
      </c>
      <c r="G896" s="220" t="s">
        <v>1608</v>
      </c>
      <c r="H896" s="231">
        <v>44484</v>
      </c>
    </row>
    <row r="897" spans="1:8" customFormat="1">
      <c r="A897" s="221">
        <v>44484</v>
      </c>
      <c r="B897" s="217" t="s">
        <v>7</v>
      </c>
      <c r="C897" s="218" t="s">
        <v>267</v>
      </c>
      <c r="D897" s="219" t="s">
        <v>830</v>
      </c>
      <c r="E897" s="220" t="s">
        <v>1609</v>
      </c>
      <c r="F897" s="220" t="s">
        <v>833</v>
      </c>
      <c r="G897" s="220" t="s">
        <v>28</v>
      </c>
      <c r="H897" s="231">
        <v>44484</v>
      </c>
    </row>
    <row r="898" spans="1:8" customFormat="1">
      <c r="A898" s="221">
        <v>44484</v>
      </c>
      <c r="B898" s="217" t="s">
        <v>7</v>
      </c>
      <c r="C898" s="218" t="s">
        <v>267</v>
      </c>
      <c r="D898" s="219" t="s">
        <v>1610</v>
      </c>
      <c r="E898" s="220" t="s">
        <v>1100</v>
      </c>
      <c r="F898" s="220" t="s">
        <v>1611</v>
      </c>
      <c r="G898" s="220" t="s">
        <v>166</v>
      </c>
      <c r="H898" s="231">
        <v>44484</v>
      </c>
    </row>
    <row r="899" spans="1:8" customFormat="1">
      <c r="A899" s="221">
        <v>44484</v>
      </c>
      <c r="B899" s="217" t="s">
        <v>7</v>
      </c>
      <c r="C899" s="218" t="s">
        <v>267</v>
      </c>
      <c r="D899" s="219" t="s">
        <v>1461</v>
      </c>
      <c r="E899" s="220" t="s">
        <v>1612</v>
      </c>
      <c r="F899" s="220" t="s">
        <v>833</v>
      </c>
      <c r="G899" s="220" t="s">
        <v>27</v>
      </c>
      <c r="H899" s="231">
        <v>44484</v>
      </c>
    </row>
    <row r="900" spans="1:8" customFormat="1">
      <c r="A900" s="221">
        <v>44484</v>
      </c>
      <c r="B900" s="217" t="s">
        <v>7</v>
      </c>
      <c r="C900" s="218" t="s">
        <v>267</v>
      </c>
      <c r="D900" s="219" t="s">
        <v>1530</v>
      </c>
      <c r="E900" s="220" t="s">
        <v>1531</v>
      </c>
      <c r="F900" s="220" t="s">
        <v>1532</v>
      </c>
      <c r="G900" s="220" t="s">
        <v>164</v>
      </c>
      <c r="H900" s="231">
        <v>44484</v>
      </c>
    </row>
    <row r="901" spans="1:8" customFormat="1">
      <c r="A901" s="221">
        <v>44484</v>
      </c>
      <c r="B901" s="217" t="s">
        <v>7</v>
      </c>
      <c r="C901" s="218" t="s">
        <v>267</v>
      </c>
      <c r="D901" s="219" t="s">
        <v>922</v>
      </c>
      <c r="E901" s="220" t="s">
        <v>236</v>
      </c>
      <c r="F901" s="220" t="s">
        <v>833</v>
      </c>
      <c r="G901" s="220" t="s">
        <v>27</v>
      </c>
      <c r="H901" s="231">
        <v>44484</v>
      </c>
    </row>
    <row r="902" spans="1:8" customFormat="1" ht="21.9">
      <c r="A902" s="221">
        <v>44484</v>
      </c>
      <c r="B902" s="217" t="s">
        <v>7</v>
      </c>
      <c r="C902" s="218" t="s">
        <v>267</v>
      </c>
      <c r="D902" s="219" t="s">
        <v>930</v>
      </c>
      <c r="E902" s="220" t="s">
        <v>931</v>
      </c>
      <c r="F902" s="220" t="s">
        <v>833</v>
      </c>
      <c r="G902" s="220" t="s">
        <v>28</v>
      </c>
      <c r="H902" s="231">
        <v>44484</v>
      </c>
    </row>
    <row r="903" spans="1:8" customFormat="1" ht="32.15">
      <c r="A903" s="221">
        <v>44484</v>
      </c>
      <c r="B903" s="217" t="s">
        <v>7</v>
      </c>
      <c r="C903" s="218" t="s">
        <v>267</v>
      </c>
      <c r="D903" s="219" t="s">
        <v>297</v>
      </c>
      <c r="E903" s="220" t="s">
        <v>298</v>
      </c>
      <c r="F903" s="220" t="s">
        <v>833</v>
      </c>
      <c r="G903" s="220" t="s">
        <v>28</v>
      </c>
      <c r="H903" s="231">
        <v>44484</v>
      </c>
    </row>
    <row r="904" spans="1:8" customFormat="1">
      <c r="A904" s="221">
        <v>44484</v>
      </c>
      <c r="B904" s="217" t="s">
        <v>7</v>
      </c>
      <c r="C904" s="218" t="s">
        <v>267</v>
      </c>
      <c r="D904" s="219" t="s">
        <v>1426</v>
      </c>
      <c r="E904" s="220" t="s">
        <v>1427</v>
      </c>
      <c r="F904" s="220" t="s">
        <v>1613</v>
      </c>
      <c r="G904" s="220" t="s">
        <v>164</v>
      </c>
      <c r="H904" s="231">
        <v>44484</v>
      </c>
    </row>
    <row r="905" spans="1:8" customFormat="1">
      <c r="A905" s="221">
        <v>44484</v>
      </c>
      <c r="B905" s="217" t="s">
        <v>7</v>
      </c>
      <c r="C905" s="218" t="s">
        <v>267</v>
      </c>
      <c r="D905" s="219" t="s">
        <v>1228</v>
      </c>
      <c r="E905" s="220" t="s">
        <v>1614</v>
      </c>
      <c r="F905" s="220" t="s">
        <v>833</v>
      </c>
      <c r="G905" s="220" t="s">
        <v>28</v>
      </c>
      <c r="H905" s="231">
        <v>44484</v>
      </c>
    </row>
    <row r="906" spans="1:8" customFormat="1">
      <c r="A906" s="221">
        <v>44484</v>
      </c>
      <c r="B906" s="217" t="s">
        <v>309</v>
      </c>
      <c r="C906" s="218" t="s">
        <v>1615</v>
      </c>
      <c r="D906" s="219" t="s">
        <v>732</v>
      </c>
      <c r="E906" s="220" t="s">
        <v>1190</v>
      </c>
      <c r="F906" s="220"/>
      <c r="G906" s="220" t="s">
        <v>1616</v>
      </c>
      <c r="H906" s="231"/>
    </row>
    <row r="907" spans="1:8" customFormat="1">
      <c r="A907" s="221">
        <v>44484</v>
      </c>
      <c r="B907" s="217" t="s">
        <v>309</v>
      </c>
      <c r="C907" s="218" t="s">
        <v>267</v>
      </c>
      <c r="D907" s="219" t="s">
        <v>1187</v>
      </c>
      <c r="E907" s="220" t="s">
        <v>1609</v>
      </c>
      <c r="F907" s="220" t="s">
        <v>833</v>
      </c>
      <c r="G907" s="220" t="s">
        <v>27</v>
      </c>
      <c r="H907" s="231">
        <v>44484</v>
      </c>
    </row>
    <row r="908" spans="1:8" customFormat="1">
      <c r="A908" s="221">
        <v>44484</v>
      </c>
      <c r="B908" s="217" t="s">
        <v>309</v>
      </c>
      <c r="C908" s="218" t="s">
        <v>267</v>
      </c>
      <c r="D908" s="219" t="s">
        <v>1390</v>
      </c>
      <c r="E908" s="220" t="s">
        <v>1259</v>
      </c>
      <c r="F908" s="220" t="s">
        <v>833</v>
      </c>
      <c r="G908" s="220" t="s">
        <v>27</v>
      </c>
      <c r="H908" s="231">
        <v>44484</v>
      </c>
    </row>
    <row r="909" spans="1:8" customFormat="1" ht="21.9">
      <c r="A909" s="221">
        <v>44484</v>
      </c>
      <c r="B909" s="217" t="s">
        <v>309</v>
      </c>
      <c r="C909" s="218" t="s">
        <v>267</v>
      </c>
      <c r="D909" s="219" t="s">
        <v>1617</v>
      </c>
      <c r="E909" s="220" t="s">
        <v>1618</v>
      </c>
      <c r="F909" s="220"/>
      <c r="G909" s="220" t="s">
        <v>27</v>
      </c>
      <c r="H909" s="231">
        <v>44484</v>
      </c>
    </row>
    <row r="910" spans="1:8" customFormat="1">
      <c r="A910" s="221">
        <v>44484</v>
      </c>
      <c r="B910" s="217" t="s">
        <v>309</v>
      </c>
      <c r="C910" s="218" t="s">
        <v>267</v>
      </c>
      <c r="D910" s="219" t="s">
        <v>966</v>
      </c>
      <c r="E910" s="220" t="s">
        <v>967</v>
      </c>
      <c r="F910" s="220" t="s">
        <v>968</v>
      </c>
      <c r="G910" s="220" t="s">
        <v>27</v>
      </c>
      <c r="H910" s="231">
        <v>44484</v>
      </c>
    </row>
    <row r="911" spans="1:8" customFormat="1">
      <c r="A911" s="221">
        <v>44484</v>
      </c>
      <c r="B911" s="217" t="s">
        <v>309</v>
      </c>
      <c r="C911" s="218" t="s">
        <v>267</v>
      </c>
      <c r="D911" s="219" t="s">
        <v>969</v>
      </c>
      <c r="E911" s="220" t="s">
        <v>970</v>
      </c>
      <c r="F911" s="220" t="s">
        <v>971</v>
      </c>
      <c r="G911" s="220" t="s">
        <v>27</v>
      </c>
      <c r="H911" s="231">
        <v>44484</v>
      </c>
    </row>
    <row r="912" spans="1:8" customFormat="1">
      <c r="A912" s="221">
        <v>44484</v>
      </c>
      <c r="B912" s="217" t="s">
        <v>309</v>
      </c>
      <c r="C912" s="218" t="s">
        <v>267</v>
      </c>
      <c r="D912" s="219" t="s">
        <v>972</v>
      </c>
      <c r="E912" s="220" t="s">
        <v>967</v>
      </c>
      <c r="F912" s="220" t="s">
        <v>973</v>
      </c>
      <c r="G912" s="220" t="s">
        <v>27</v>
      </c>
      <c r="H912" s="231">
        <v>44484</v>
      </c>
    </row>
    <row r="913" spans="1:8" customFormat="1">
      <c r="A913" s="221">
        <v>44484</v>
      </c>
      <c r="B913" s="217" t="s">
        <v>309</v>
      </c>
      <c r="C913" s="218" t="s">
        <v>267</v>
      </c>
      <c r="D913" s="219" t="s">
        <v>1619</v>
      </c>
      <c r="E913" s="220" t="s">
        <v>1620</v>
      </c>
      <c r="F913" s="220" t="s">
        <v>1621</v>
      </c>
      <c r="G913" s="220" t="s">
        <v>166</v>
      </c>
      <c r="H913" s="231">
        <v>44484</v>
      </c>
    </row>
    <row r="914" spans="1:8" customFormat="1" ht="21.9">
      <c r="A914" s="221">
        <v>44484</v>
      </c>
      <c r="B914" s="217" t="s">
        <v>309</v>
      </c>
      <c r="C914" s="218" t="s">
        <v>267</v>
      </c>
      <c r="D914" s="219" t="s">
        <v>1434</v>
      </c>
      <c r="E914" s="220" t="s">
        <v>1622</v>
      </c>
      <c r="F914" s="220"/>
      <c r="G914" s="220" t="s">
        <v>27</v>
      </c>
      <c r="H914" s="231">
        <v>44484</v>
      </c>
    </row>
    <row r="915" spans="1:8" customFormat="1">
      <c r="A915" s="221">
        <v>44484</v>
      </c>
      <c r="B915" s="217" t="s">
        <v>309</v>
      </c>
      <c r="C915" s="218" t="s">
        <v>267</v>
      </c>
      <c r="D915" s="219" t="s">
        <v>1623</v>
      </c>
      <c r="E915" s="220" t="s">
        <v>1624</v>
      </c>
      <c r="F915" s="220" t="s">
        <v>833</v>
      </c>
      <c r="G915" s="220" t="s">
        <v>929</v>
      </c>
      <c r="H915" s="231">
        <v>44484</v>
      </c>
    </row>
    <row r="916" spans="1:8" customFormat="1">
      <c r="A916" s="221">
        <v>44484</v>
      </c>
      <c r="B916" s="217" t="s">
        <v>309</v>
      </c>
      <c r="C916" s="218" t="s">
        <v>267</v>
      </c>
      <c r="D916" s="219" t="s">
        <v>1625</v>
      </c>
      <c r="E916" s="220" t="s">
        <v>1626</v>
      </c>
      <c r="F916" s="220" t="s">
        <v>1627</v>
      </c>
      <c r="G916" s="220" t="s">
        <v>166</v>
      </c>
      <c r="H916" s="231">
        <v>44484</v>
      </c>
    </row>
    <row r="917" spans="1:8" customFormat="1">
      <c r="A917" s="221">
        <v>44484</v>
      </c>
      <c r="B917" s="217" t="s">
        <v>380</v>
      </c>
      <c r="C917" s="218" t="s">
        <v>220</v>
      </c>
      <c r="D917" s="219" t="s">
        <v>1628</v>
      </c>
      <c r="E917" s="220" t="s">
        <v>1629</v>
      </c>
      <c r="F917" s="220"/>
      <c r="G917" s="220" t="s">
        <v>1524</v>
      </c>
      <c r="H917" s="231">
        <v>44484</v>
      </c>
    </row>
    <row r="918" spans="1:8" customFormat="1" ht="42.45">
      <c r="A918" s="221">
        <v>44484</v>
      </c>
      <c r="B918" s="217" t="s">
        <v>380</v>
      </c>
      <c r="C918" s="218" t="s">
        <v>220</v>
      </c>
      <c r="D918" s="219" t="s">
        <v>1265</v>
      </c>
      <c r="E918" s="220" t="s">
        <v>391</v>
      </c>
      <c r="F918" s="220" t="s">
        <v>1630</v>
      </c>
      <c r="G918" s="220" t="s">
        <v>1631</v>
      </c>
      <c r="H918" s="231">
        <v>44484</v>
      </c>
    </row>
    <row r="919" spans="1:8" customFormat="1" ht="21.9">
      <c r="A919" s="221">
        <v>44484</v>
      </c>
      <c r="B919" s="217" t="s">
        <v>380</v>
      </c>
      <c r="C919" s="218" t="s">
        <v>267</v>
      </c>
      <c r="D919" s="219" t="s">
        <v>1265</v>
      </c>
      <c r="E919" s="220" t="s">
        <v>391</v>
      </c>
      <c r="F919" s="220" t="s">
        <v>1632</v>
      </c>
      <c r="G919" s="220" t="s">
        <v>1633</v>
      </c>
      <c r="H919" s="231"/>
    </row>
    <row r="920" spans="1:8" customFormat="1">
      <c r="A920" s="221">
        <v>44484</v>
      </c>
      <c r="B920" s="217" t="s">
        <v>380</v>
      </c>
      <c r="C920" s="218" t="s">
        <v>267</v>
      </c>
      <c r="D920" s="219" t="s">
        <v>1130</v>
      </c>
      <c r="E920" s="220" t="s">
        <v>1131</v>
      </c>
      <c r="F920" s="220" t="s">
        <v>833</v>
      </c>
      <c r="G920" s="220" t="s">
        <v>28</v>
      </c>
      <c r="H920" s="231">
        <v>44484</v>
      </c>
    </row>
    <row r="921" spans="1:8" customFormat="1">
      <c r="A921" s="221">
        <v>44484</v>
      </c>
      <c r="B921" s="217" t="s">
        <v>423</v>
      </c>
      <c r="C921" s="218" t="s">
        <v>267</v>
      </c>
      <c r="D921" s="219" t="s">
        <v>1334</v>
      </c>
      <c r="E921" s="220" t="s">
        <v>1284</v>
      </c>
      <c r="F921" s="220" t="s">
        <v>1634</v>
      </c>
      <c r="G921" s="220" t="s">
        <v>166</v>
      </c>
      <c r="H921" s="231">
        <v>44484</v>
      </c>
    </row>
    <row r="922" spans="1:8" customFormat="1">
      <c r="A922" s="221">
        <v>44484</v>
      </c>
      <c r="B922" s="217" t="s">
        <v>423</v>
      </c>
      <c r="C922" s="218" t="s">
        <v>267</v>
      </c>
      <c r="D922" s="219" t="s">
        <v>1498</v>
      </c>
      <c r="E922" s="220" t="s">
        <v>1499</v>
      </c>
      <c r="F922" s="220"/>
      <c r="G922" s="220" t="s">
        <v>27</v>
      </c>
      <c r="H922" s="231">
        <v>44484</v>
      </c>
    </row>
    <row r="923" spans="1:8" customFormat="1">
      <c r="A923" s="221">
        <v>44484</v>
      </c>
      <c r="B923" s="217" t="s">
        <v>423</v>
      </c>
      <c r="C923" s="218" t="s">
        <v>267</v>
      </c>
      <c r="D923" s="219" t="s">
        <v>1504</v>
      </c>
      <c r="E923" s="220" t="s">
        <v>1505</v>
      </c>
      <c r="F923" s="220" t="s">
        <v>1506</v>
      </c>
      <c r="G923" s="220" t="s">
        <v>164</v>
      </c>
      <c r="H923" s="231">
        <v>44484</v>
      </c>
    </row>
    <row r="924" spans="1:8" customFormat="1" ht="21.9">
      <c r="A924" s="221">
        <v>44484</v>
      </c>
      <c r="B924" s="217" t="s">
        <v>423</v>
      </c>
      <c r="C924" s="218" t="s">
        <v>267</v>
      </c>
      <c r="D924" s="219" t="s">
        <v>1557</v>
      </c>
      <c r="E924" s="220" t="s">
        <v>1558</v>
      </c>
      <c r="F924" s="220" t="s">
        <v>1559</v>
      </c>
      <c r="G924" s="220" t="s">
        <v>164</v>
      </c>
      <c r="H924" s="231">
        <v>44484</v>
      </c>
    </row>
    <row r="925" spans="1:8" customFormat="1">
      <c r="A925" s="221">
        <v>44484</v>
      </c>
      <c r="B925" s="217" t="s">
        <v>423</v>
      </c>
      <c r="C925" s="218" t="s">
        <v>267</v>
      </c>
      <c r="D925" s="219" t="s">
        <v>813</v>
      </c>
      <c r="E925" s="220" t="s">
        <v>1635</v>
      </c>
      <c r="F925" s="220" t="s">
        <v>833</v>
      </c>
      <c r="G925" s="220" t="s">
        <v>28</v>
      </c>
      <c r="H925" s="231">
        <v>44484</v>
      </c>
    </row>
    <row r="926" spans="1:8" customFormat="1" ht="32.15">
      <c r="A926" s="221">
        <v>44384</v>
      </c>
      <c r="B926" s="217" t="s">
        <v>7</v>
      </c>
      <c r="C926" s="218" t="s">
        <v>1636</v>
      </c>
      <c r="D926" s="219" t="s">
        <v>837</v>
      </c>
      <c r="E926" s="220" t="s">
        <v>838</v>
      </c>
      <c r="F926" s="220" t="s">
        <v>839</v>
      </c>
      <c r="G926" s="220" t="s">
        <v>1637</v>
      </c>
      <c r="H926" s="231">
        <v>44384</v>
      </c>
    </row>
    <row r="927" spans="1:8" customFormat="1">
      <c r="A927" s="221">
        <v>44384</v>
      </c>
      <c r="B927" s="217" t="s">
        <v>7</v>
      </c>
      <c r="C927" s="218" t="s">
        <v>267</v>
      </c>
      <c r="D927" s="219" t="s">
        <v>1638</v>
      </c>
      <c r="E927" s="220" t="s">
        <v>1639</v>
      </c>
      <c r="F927" s="220"/>
      <c r="G927" s="220" t="s">
        <v>27</v>
      </c>
      <c r="H927" s="231">
        <v>44384</v>
      </c>
    </row>
    <row r="928" spans="1:8" customFormat="1">
      <c r="A928" s="221">
        <v>44384</v>
      </c>
      <c r="B928" s="217" t="s">
        <v>7</v>
      </c>
      <c r="C928" s="218" t="s">
        <v>267</v>
      </c>
      <c r="D928" s="219" t="s">
        <v>1575</v>
      </c>
      <c r="E928" s="220" t="s">
        <v>230</v>
      </c>
      <c r="F928" s="220"/>
      <c r="G928" s="220" t="s">
        <v>27</v>
      </c>
      <c r="H928" s="231">
        <v>44384</v>
      </c>
    </row>
    <row r="929" spans="1:8" customFormat="1">
      <c r="A929" s="221">
        <v>44384</v>
      </c>
      <c r="B929" s="217" t="s">
        <v>7</v>
      </c>
      <c r="C929" s="218" t="s">
        <v>267</v>
      </c>
      <c r="D929" s="219" t="s">
        <v>1088</v>
      </c>
      <c r="E929" s="220" t="s">
        <v>1640</v>
      </c>
      <c r="F929" s="220"/>
      <c r="G929" s="220" t="s">
        <v>27</v>
      </c>
      <c r="H929" s="231">
        <v>44384</v>
      </c>
    </row>
    <row r="930" spans="1:8" customFormat="1">
      <c r="A930" s="221">
        <v>44384</v>
      </c>
      <c r="B930" s="217" t="s">
        <v>7</v>
      </c>
      <c r="C930" s="218" t="s">
        <v>267</v>
      </c>
      <c r="D930" s="219" t="s">
        <v>292</v>
      </c>
      <c r="E930" s="220" t="s">
        <v>293</v>
      </c>
      <c r="F930" s="220"/>
      <c r="G930" s="220" t="s">
        <v>27</v>
      </c>
      <c r="H930" s="231">
        <v>44384</v>
      </c>
    </row>
    <row r="931" spans="1:8" customFormat="1">
      <c r="A931" s="221">
        <v>44384</v>
      </c>
      <c r="B931" s="217" t="s">
        <v>7</v>
      </c>
      <c r="C931" s="218" t="s">
        <v>267</v>
      </c>
      <c r="D931" s="219" t="s">
        <v>1641</v>
      </c>
      <c r="E931" s="220" t="s">
        <v>1642</v>
      </c>
      <c r="F931" s="220"/>
      <c r="G931" s="220" t="s">
        <v>27</v>
      </c>
      <c r="H931" s="231">
        <v>44384</v>
      </c>
    </row>
    <row r="932" spans="1:8" customFormat="1">
      <c r="A932" s="221">
        <v>44384</v>
      </c>
      <c r="B932" s="217" t="s">
        <v>7</v>
      </c>
      <c r="C932" s="218" t="s">
        <v>267</v>
      </c>
      <c r="D932" s="219" t="s">
        <v>1423</v>
      </c>
      <c r="E932" s="220" t="s">
        <v>1424</v>
      </c>
      <c r="F932" s="220"/>
      <c r="G932" s="220" t="s">
        <v>27</v>
      </c>
      <c r="H932" s="231">
        <v>44384</v>
      </c>
    </row>
    <row r="933" spans="1:8" customFormat="1">
      <c r="A933" s="221">
        <v>44384</v>
      </c>
      <c r="B933" s="217" t="s">
        <v>309</v>
      </c>
      <c r="C933" s="218" t="s">
        <v>220</v>
      </c>
      <c r="D933" s="219" t="s">
        <v>1643</v>
      </c>
      <c r="E933" s="220" t="s">
        <v>1644</v>
      </c>
      <c r="F933" s="220"/>
      <c r="G933" s="220" t="s">
        <v>1645</v>
      </c>
      <c r="H933" s="231">
        <v>44384</v>
      </c>
    </row>
    <row r="934" spans="1:8" customFormat="1">
      <c r="A934" s="221">
        <v>44384</v>
      </c>
      <c r="B934" s="217" t="s">
        <v>309</v>
      </c>
      <c r="C934" s="218" t="s">
        <v>267</v>
      </c>
      <c r="D934" s="219" t="s">
        <v>1253</v>
      </c>
      <c r="E934" s="220" t="s">
        <v>616</v>
      </c>
      <c r="F934" s="220"/>
      <c r="G934" s="220" t="s">
        <v>27</v>
      </c>
      <c r="H934" s="231">
        <v>44384</v>
      </c>
    </row>
    <row r="935" spans="1:8" customFormat="1">
      <c r="A935" s="221">
        <v>44384</v>
      </c>
      <c r="B935" s="217" t="s">
        <v>309</v>
      </c>
      <c r="C935" s="218" t="s">
        <v>267</v>
      </c>
      <c r="D935" s="219" t="s">
        <v>1256</v>
      </c>
      <c r="E935" s="220" t="s">
        <v>1257</v>
      </c>
      <c r="F935" s="220"/>
      <c r="G935" s="220" t="s">
        <v>27</v>
      </c>
      <c r="H935" s="231">
        <v>44384</v>
      </c>
    </row>
    <row r="936" spans="1:8" customFormat="1">
      <c r="A936" s="221">
        <v>44384</v>
      </c>
      <c r="B936" s="217" t="s">
        <v>309</v>
      </c>
      <c r="C936" s="218" t="s">
        <v>267</v>
      </c>
      <c r="D936" s="219" t="s">
        <v>1646</v>
      </c>
      <c r="E936" s="220" t="s">
        <v>1121</v>
      </c>
      <c r="F936" s="220"/>
      <c r="G936" s="220" t="s">
        <v>1647</v>
      </c>
      <c r="H936" s="231">
        <v>44384</v>
      </c>
    </row>
    <row r="937" spans="1:8" customFormat="1">
      <c r="A937" s="221">
        <v>44384</v>
      </c>
      <c r="B937" s="217" t="s">
        <v>309</v>
      </c>
      <c r="C937" s="218" t="s">
        <v>267</v>
      </c>
      <c r="D937" s="219" t="s">
        <v>1617</v>
      </c>
      <c r="E937" s="220" t="s">
        <v>1121</v>
      </c>
      <c r="F937" s="220"/>
      <c r="G937" s="220" t="s">
        <v>134</v>
      </c>
      <c r="H937" s="231">
        <v>44384</v>
      </c>
    </row>
    <row r="938" spans="1:8" customFormat="1">
      <c r="A938" s="221">
        <v>44384</v>
      </c>
      <c r="B938" s="217" t="s">
        <v>309</v>
      </c>
      <c r="C938" s="218" t="s">
        <v>267</v>
      </c>
      <c r="D938" s="219" t="s">
        <v>1648</v>
      </c>
      <c r="E938" s="220" t="s">
        <v>357</v>
      </c>
      <c r="F938" s="220" t="s">
        <v>1649</v>
      </c>
      <c r="G938" s="220" t="s">
        <v>1650</v>
      </c>
      <c r="H938" s="231">
        <v>44384</v>
      </c>
    </row>
    <row r="939" spans="1:8" customFormat="1">
      <c r="A939" s="221">
        <v>44384</v>
      </c>
      <c r="B939" s="217" t="s">
        <v>309</v>
      </c>
      <c r="C939" s="218" t="s">
        <v>267</v>
      </c>
      <c r="D939" s="219" t="s">
        <v>1440</v>
      </c>
      <c r="E939" s="220" t="s">
        <v>979</v>
      </c>
      <c r="F939" s="220"/>
      <c r="G939" s="220" t="s">
        <v>27</v>
      </c>
      <c r="H939" s="231">
        <v>44384</v>
      </c>
    </row>
    <row r="940" spans="1:8" customFormat="1">
      <c r="A940" s="221">
        <v>44384</v>
      </c>
      <c r="B940" s="217" t="s">
        <v>309</v>
      </c>
      <c r="C940" s="218" t="s">
        <v>267</v>
      </c>
      <c r="D940" s="219" t="s">
        <v>1111</v>
      </c>
      <c r="E940" s="220" t="s">
        <v>1112</v>
      </c>
      <c r="F940" s="220"/>
      <c r="G940" s="220" t="s">
        <v>27</v>
      </c>
      <c r="H940" s="231">
        <v>44384</v>
      </c>
    </row>
    <row r="941" spans="1:8" customFormat="1" ht="32.15">
      <c r="A941" s="221">
        <v>44384</v>
      </c>
      <c r="B941" s="217" t="s">
        <v>380</v>
      </c>
      <c r="C941" s="218" t="s">
        <v>220</v>
      </c>
      <c r="D941" s="219" t="s">
        <v>390</v>
      </c>
      <c r="E941" s="220" t="s">
        <v>391</v>
      </c>
      <c r="F941" s="220" t="s">
        <v>1268</v>
      </c>
      <c r="G941" s="220" t="s">
        <v>1651</v>
      </c>
      <c r="H941" s="231">
        <v>44384</v>
      </c>
    </row>
    <row r="942" spans="1:8" customFormat="1">
      <c r="A942" s="221">
        <v>44384</v>
      </c>
      <c r="B942" s="217" t="s">
        <v>380</v>
      </c>
      <c r="C942" s="218" t="s">
        <v>267</v>
      </c>
      <c r="D942" s="219" t="s">
        <v>1327</v>
      </c>
      <c r="E942" s="220" t="s">
        <v>1328</v>
      </c>
      <c r="F942" s="220"/>
      <c r="G942" s="220" t="s">
        <v>1652</v>
      </c>
      <c r="H942" s="231">
        <v>44384</v>
      </c>
    </row>
    <row r="943" spans="1:8" customFormat="1">
      <c r="A943" s="221">
        <v>44384</v>
      </c>
      <c r="B943" s="217" t="s">
        <v>380</v>
      </c>
      <c r="C943" s="218" t="s">
        <v>267</v>
      </c>
      <c r="D943" s="219" t="s">
        <v>1448</v>
      </c>
      <c r="E943" s="220" t="s">
        <v>1328</v>
      </c>
      <c r="F943" s="220"/>
      <c r="G943" s="220" t="s">
        <v>1652</v>
      </c>
      <c r="H943" s="231">
        <v>44384</v>
      </c>
    </row>
    <row r="944" spans="1:8" customFormat="1">
      <c r="A944" s="221">
        <v>44384</v>
      </c>
      <c r="B944" s="217" t="s">
        <v>380</v>
      </c>
      <c r="C944" s="218" t="s">
        <v>267</v>
      </c>
      <c r="D944" s="219" t="s">
        <v>1449</v>
      </c>
      <c r="E944" s="220" t="s">
        <v>1565</v>
      </c>
      <c r="F944" s="220"/>
      <c r="G944" s="220" t="s">
        <v>134</v>
      </c>
      <c r="H944" s="231">
        <v>44384</v>
      </c>
    </row>
    <row r="945" spans="1:8" customFormat="1">
      <c r="A945" s="221">
        <v>44384</v>
      </c>
      <c r="B945" s="217" t="s">
        <v>423</v>
      </c>
      <c r="C945" s="218" t="s">
        <v>267</v>
      </c>
      <c r="D945" s="219" t="s">
        <v>1653</v>
      </c>
      <c r="E945" s="220" t="s">
        <v>1494</v>
      </c>
      <c r="F945" s="220" t="s">
        <v>1654</v>
      </c>
      <c r="G945" s="220" t="s">
        <v>166</v>
      </c>
      <c r="H945" s="231">
        <v>44384</v>
      </c>
    </row>
    <row r="946" spans="1:8" customFormat="1">
      <c r="A946" s="221">
        <v>44384</v>
      </c>
      <c r="B946" s="217" t="s">
        <v>423</v>
      </c>
      <c r="C946" s="218" t="s">
        <v>267</v>
      </c>
      <c r="D946" s="219" t="s">
        <v>1655</v>
      </c>
      <c r="E946" s="220" t="s">
        <v>1656</v>
      </c>
      <c r="F946" s="220" t="s">
        <v>1657</v>
      </c>
      <c r="G946" s="220" t="s">
        <v>166</v>
      </c>
      <c r="H946" s="231">
        <v>44384</v>
      </c>
    </row>
    <row r="947" spans="1:8" customFormat="1">
      <c r="A947" s="221">
        <v>44384</v>
      </c>
      <c r="B947" s="217" t="s">
        <v>423</v>
      </c>
      <c r="C947" s="218" t="s">
        <v>267</v>
      </c>
      <c r="D947" s="219" t="s">
        <v>1581</v>
      </c>
      <c r="E947" s="220" t="s">
        <v>1582</v>
      </c>
      <c r="F947" s="220"/>
      <c r="G947" s="220" t="s">
        <v>27</v>
      </c>
      <c r="H947" s="231">
        <v>44384</v>
      </c>
    </row>
    <row r="948" spans="1:8" customFormat="1">
      <c r="A948" s="221">
        <v>44384</v>
      </c>
      <c r="B948" s="217" t="s">
        <v>423</v>
      </c>
      <c r="C948" s="218" t="s">
        <v>267</v>
      </c>
      <c r="D948" s="219" t="s">
        <v>1602</v>
      </c>
      <c r="E948" s="220" t="s">
        <v>1603</v>
      </c>
      <c r="F948" s="220" t="s">
        <v>1604</v>
      </c>
      <c r="G948" s="220" t="s">
        <v>164</v>
      </c>
      <c r="H948" s="231">
        <v>44384</v>
      </c>
    </row>
    <row r="949" spans="1:8" customFormat="1">
      <c r="A949" s="221">
        <v>44320</v>
      </c>
      <c r="B949" s="217" t="s">
        <v>7</v>
      </c>
      <c r="C949" s="218" t="s">
        <v>220</v>
      </c>
      <c r="D949" s="219" t="s">
        <v>1658</v>
      </c>
      <c r="E949" s="220" t="s">
        <v>1209</v>
      </c>
      <c r="F949" s="220"/>
      <c r="G949" s="220" t="s">
        <v>1645</v>
      </c>
      <c r="H949" s="231">
        <v>44320</v>
      </c>
    </row>
    <row r="950" spans="1:8" customFormat="1">
      <c r="A950" s="221">
        <v>44320</v>
      </c>
      <c r="B950" s="217" t="s">
        <v>7</v>
      </c>
      <c r="C950" s="218" t="s">
        <v>267</v>
      </c>
      <c r="D950" s="219" t="s">
        <v>1659</v>
      </c>
      <c r="E950" s="220" t="s">
        <v>1311</v>
      </c>
      <c r="F950" s="220" t="s">
        <v>1660</v>
      </c>
      <c r="G950" s="220" t="s">
        <v>166</v>
      </c>
      <c r="H950" s="231">
        <v>44320</v>
      </c>
    </row>
    <row r="951" spans="1:8" customFormat="1">
      <c r="A951" s="221">
        <v>44320</v>
      </c>
      <c r="B951" s="217" t="s">
        <v>7</v>
      </c>
      <c r="C951" s="218" t="s">
        <v>267</v>
      </c>
      <c r="D951" s="219" t="s">
        <v>1661</v>
      </c>
      <c r="E951" s="220" t="s">
        <v>1662</v>
      </c>
      <c r="F951" s="220" t="s">
        <v>833</v>
      </c>
      <c r="G951" s="220" t="s">
        <v>1663</v>
      </c>
      <c r="H951" s="231">
        <v>44320</v>
      </c>
    </row>
    <row r="952" spans="1:8" customFormat="1">
      <c r="A952" s="221">
        <v>44320</v>
      </c>
      <c r="B952" s="217" t="s">
        <v>7</v>
      </c>
      <c r="C952" s="218" t="s">
        <v>267</v>
      </c>
      <c r="D952" s="219" t="s">
        <v>1664</v>
      </c>
      <c r="E952" s="220" t="s">
        <v>1665</v>
      </c>
      <c r="F952" s="220" t="s">
        <v>833</v>
      </c>
      <c r="G952" s="220" t="s">
        <v>1663</v>
      </c>
      <c r="H952" s="231">
        <v>44320</v>
      </c>
    </row>
    <row r="953" spans="1:8" customFormat="1">
      <c r="A953" s="221">
        <v>44320</v>
      </c>
      <c r="B953" s="217" t="s">
        <v>7</v>
      </c>
      <c r="C953" s="218" t="s">
        <v>267</v>
      </c>
      <c r="D953" s="219" t="s">
        <v>1666</v>
      </c>
      <c r="E953" s="220" t="s">
        <v>1667</v>
      </c>
      <c r="F953" s="220" t="s">
        <v>1668</v>
      </c>
      <c r="G953" s="220" t="s">
        <v>166</v>
      </c>
      <c r="H953" s="231">
        <v>44320</v>
      </c>
    </row>
    <row r="954" spans="1:8" customFormat="1">
      <c r="A954" s="221">
        <v>44320</v>
      </c>
      <c r="B954" s="217" t="s">
        <v>7</v>
      </c>
      <c r="C954" s="218" t="s">
        <v>267</v>
      </c>
      <c r="D954" s="219" t="s">
        <v>1610</v>
      </c>
      <c r="E954" s="220" t="s">
        <v>1100</v>
      </c>
      <c r="F954" s="220" t="s">
        <v>1611</v>
      </c>
      <c r="G954" s="220" t="s">
        <v>164</v>
      </c>
      <c r="H954" s="231">
        <v>44320</v>
      </c>
    </row>
    <row r="955" spans="1:8" customFormat="1" ht="21.9">
      <c r="A955" s="221">
        <v>44320</v>
      </c>
      <c r="B955" s="217" t="s">
        <v>7</v>
      </c>
      <c r="C955" s="218" t="s">
        <v>267</v>
      </c>
      <c r="D955" s="219" t="s">
        <v>837</v>
      </c>
      <c r="E955" s="220" t="s">
        <v>838</v>
      </c>
      <c r="F955" s="220" t="s">
        <v>839</v>
      </c>
      <c r="G955" s="220" t="s">
        <v>166</v>
      </c>
      <c r="H955" s="231">
        <v>44320</v>
      </c>
    </row>
    <row r="956" spans="1:8" customFormat="1">
      <c r="A956" s="221">
        <v>44320</v>
      </c>
      <c r="B956" s="217" t="s">
        <v>7</v>
      </c>
      <c r="C956" s="218" t="s">
        <v>267</v>
      </c>
      <c r="D956" s="219" t="s">
        <v>1584</v>
      </c>
      <c r="E956" s="220" t="s">
        <v>1669</v>
      </c>
      <c r="F956" s="220" t="s">
        <v>1586</v>
      </c>
      <c r="G956" s="220" t="s">
        <v>164</v>
      </c>
      <c r="H956" s="231">
        <v>44320</v>
      </c>
    </row>
    <row r="957" spans="1:8" customFormat="1">
      <c r="A957" s="221">
        <v>44320</v>
      </c>
      <c r="B957" s="217" t="s">
        <v>7</v>
      </c>
      <c r="C957" s="218" t="s">
        <v>267</v>
      </c>
      <c r="D957" s="219" t="s">
        <v>1670</v>
      </c>
      <c r="E957" s="220" t="s">
        <v>1671</v>
      </c>
      <c r="F957" s="220" t="s">
        <v>833</v>
      </c>
      <c r="G957" s="220" t="s">
        <v>166</v>
      </c>
      <c r="H957" s="231">
        <v>44320</v>
      </c>
    </row>
    <row r="958" spans="1:8" customFormat="1">
      <c r="A958" s="221">
        <v>44320</v>
      </c>
      <c r="B958" s="217" t="s">
        <v>7</v>
      </c>
      <c r="C958" s="218" t="s">
        <v>267</v>
      </c>
      <c r="D958" s="219" t="s">
        <v>1672</v>
      </c>
      <c r="E958" s="220" t="s">
        <v>1673</v>
      </c>
      <c r="F958" s="220" t="s">
        <v>833</v>
      </c>
      <c r="G958" s="220" t="s">
        <v>164</v>
      </c>
      <c r="H958" s="231">
        <v>44320</v>
      </c>
    </row>
    <row r="959" spans="1:8" customFormat="1" ht="21.9">
      <c r="A959" s="221">
        <v>44320</v>
      </c>
      <c r="B959" s="217" t="s">
        <v>7</v>
      </c>
      <c r="C959" s="218" t="s">
        <v>267</v>
      </c>
      <c r="D959" s="219" t="s">
        <v>1085</v>
      </c>
      <c r="E959" s="220" t="s">
        <v>1086</v>
      </c>
      <c r="F959" s="220" t="s">
        <v>833</v>
      </c>
      <c r="G959" s="220" t="s">
        <v>27</v>
      </c>
      <c r="H959" s="231">
        <v>44320</v>
      </c>
    </row>
    <row r="960" spans="1:8" customFormat="1" ht="21.9">
      <c r="A960" s="221">
        <v>44320</v>
      </c>
      <c r="B960" s="217" t="s">
        <v>7</v>
      </c>
      <c r="C960" s="218" t="s">
        <v>267</v>
      </c>
      <c r="D960" s="219" t="s">
        <v>1674</v>
      </c>
      <c r="E960" s="220" t="s">
        <v>1675</v>
      </c>
      <c r="F960" s="220" t="s">
        <v>1676</v>
      </c>
      <c r="G960" s="220" t="s">
        <v>166</v>
      </c>
      <c r="H960" s="231">
        <v>44320</v>
      </c>
    </row>
    <row r="961" spans="1:8" customFormat="1">
      <c r="A961" s="221">
        <v>44320</v>
      </c>
      <c r="B961" s="217" t="s">
        <v>7</v>
      </c>
      <c r="C961" s="218" t="s">
        <v>267</v>
      </c>
      <c r="D961" s="219" t="s">
        <v>1677</v>
      </c>
      <c r="E961" s="220" t="s">
        <v>1662</v>
      </c>
      <c r="F961" s="220" t="s">
        <v>833</v>
      </c>
      <c r="G961" s="220" t="s">
        <v>1663</v>
      </c>
      <c r="H961" s="231">
        <v>44320</v>
      </c>
    </row>
    <row r="962" spans="1:8" customFormat="1">
      <c r="A962" s="221">
        <v>44320</v>
      </c>
      <c r="B962" s="217" t="s">
        <v>7</v>
      </c>
      <c r="C962" s="218" t="s">
        <v>267</v>
      </c>
      <c r="D962" s="219" t="s">
        <v>1678</v>
      </c>
      <c r="E962" s="220" t="s">
        <v>1679</v>
      </c>
      <c r="F962" s="220" t="s">
        <v>833</v>
      </c>
      <c r="G962" s="220" t="s">
        <v>1663</v>
      </c>
      <c r="H962" s="231">
        <v>44320</v>
      </c>
    </row>
    <row r="963" spans="1:8" customFormat="1">
      <c r="A963" s="221">
        <v>44320</v>
      </c>
      <c r="B963" s="217" t="s">
        <v>7</v>
      </c>
      <c r="C963" s="218" t="s">
        <v>267</v>
      </c>
      <c r="D963" s="219" t="s">
        <v>1680</v>
      </c>
      <c r="E963" s="220" t="s">
        <v>1679</v>
      </c>
      <c r="F963" s="220" t="s">
        <v>833</v>
      </c>
      <c r="G963" s="220" t="s">
        <v>1663</v>
      </c>
      <c r="H963" s="231">
        <v>44320</v>
      </c>
    </row>
    <row r="964" spans="1:8" customFormat="1">
      <c r="A964" s="221">
        <v>44320</v>
      </c>
      <c r="B964" s="217" t="s">
        <v>7</v>
      </c>
      <c r="C964" s="218" t="s">
        <v>267</v>
      </c>
      <c r="D964" s="219" t="s">
        <v>1554</v>
      </c>
      <c r="E964" s="220" t="s">
        <v>1555</v>
      </c>
      <c r="F964" s="220" t="s">
        <v>1556</v>
      </c>
      <c r="G964" s="220" t="s">
        <v>164</v>
      </c>
      <c r="H964" s="231">
        <v>44320</v>
      </c>
    </row>
    <row r="965" spans="1:8" customFormat="1">
      <c r="A965" s="221">
        <v>44320</v>
      </c>
      <c r="B965" s="217" t="s">
        <v>7</v>
      </c>
      <c r="C965" s="218" t="s">
        <v>267</v>
      </c>
      <c r="D965" s="219" t="s">
        <v>1681</v>
      </c>
      <c r="E965" s="220" t="s">
        <v>1682</v>
      </c>
      <c r="F965" s="220" t="s">
        <v>833</v>
      </c>
      <c r="G965" s="220" t="s">
        <v>1663</v>
      </c>
      <c r="H965" s="231">
        <v>44320</v>
      </c>
    </row>
    <row r="966" spans="1:8" customFormat="1">
      <c r="A966" s="221">
        <v>44320</v>
      </c>
      <c r="B966" s="217" t="s">
        <v>309</v>
      </c>
      <c r="C966" s="218" t="s">
        <v>267</v>
      </c>
      <c r="D966" s="219" t="s">
        <v>336</v>
      </c>
      <c r="E966" s="220" t="s">
        <v>337</v>
      </c>
      <c r="F966" s="220" t="s">
        <v>833</v>
      </c>
      <c r="G966" s="220" t="s">
        <v>27</v>
      </c>
      <c r="H966" s="231">
        <v>44320</v>
      </c>
    </row>
    <row r="967" spans="1:8" customFormat="1">
      <c r="A967" s="221">
        <v>44320</v>
      </c>
      <c r="B967" s="217" t="s">
        <v>309</v>
      </c>
      <c r="C967" s="218" t="s">
        <v>267</v>
      </c>
      <c r="D967" s="219" t="s">
        <v>1683</v>
      </c>
      <c r="E967" s="220" t="s">
        <v>1684</v>
      </c>
      <c r="F967" s="220" t="s">
        <v>833</v>
      </c>
      <c r="G967" s="220" t="s">
        <v>166</v>
      </c>
      <c r="H967" s="231">
        <v>44320</v>
      </c>
    </row>
    <row r="968" spans="1:8" customFormat="1">
      <c r="A968" s="221">
        <v>44320</v>
      </c>
      <c r="B968" s="217" t="s">
        <v>309</v>
      </c>
      <c r="C968" s="218" t="s">
        <v>267</v>
      </c>
      <c r="D968" s="219" t="s">
        <v>1685</v>
      </c>
      <c r="E968" s="220" t="s">
        <v>1686</v>
      </c>
      <c r="F968" s="220" t="s">
        <v>833</v>
      </c>
      <c r="G968" s="220" t="s">
        <v>1663</v>
      </c>
      <c r="H968" s="231">
        <v>44320</v>
      </c>
    </row>
    <row r="969" spans="1:8" customFormat="1">
      <c r="A969" s="221">
        <v>44320</v>
      </c>
      <c r="B969" s="217" t="s">
        <v>380</v>
      </c>
      <c r="C969" s="218" t="s">
        <v>267</v>
      </c>
      <c r="D969" s="219" t="s">
        <v>766</v>
      </c>
      <c r="E969" s="220" t="s">
        <v>400</v>
      </c>
      <c r="F969" s="220" t="s">
        <v>1543</v>
      </c>
      <c r="G969" s="220" t="s">
        <v>134</v>
      </c>
      <c r="H969" s="231">
        <v>44320</v>
      </c>
    </row>
    <row r="970" spans="1:8" customFormat="1">
      <c r="A970" s="221">
        <v>44320</v>
      </c>
      <c r="B970" s="217" t="s">
        <v>380</v>
      </c>
      <c r="C970" s="218" t="s">
        <v>267</v>
      </c>
      <c r="D970" s="219" t="s">
        <v>766</v>
      </c>
      <c r="E970" s="220" t="s">
        <v>400</v>
      </c>
      <c r="F970" s="220" t="s">
        <v>991</v>
      </c>
      <c r="G970" s="220" t="s">
        <v>134</v>
      </c>
      <c r="H970" s="231">
        <v>44320</v>
      </c>
    </row>
    <row r="971" spans="1:8" customFormat="1">
      <c r="A971" s="221">
        <v>44320</v>
      </c>
      <c r="B971" s="217" t="s">
        <v>380</v>
      </c>
      <c r="C971" s="218" t="s">
        <v>267</v>
      </c>
      <c r="D971" s="219" t="s">
        <v>1481</v>
      </c>
      <c r="E971" s="220" t="s">
        <v>400</v>
      </c>
      <c r="F971" s="220" t="s">
        <v>1482</v>
      </c>
      <c r="G971" s="220" t="s">
        <v>27</v>
      </c>
      <c r="H971" s="231">
        <v>44320</v>
      </c>
    </row>
    <row r="972" spans="1:8" customFormat="1">
      <c r="A972" s="221">
        <v>44320</v>
      </c>
      <c r="B972" s="217" t="s">
        <v>380</v>
      </c>
      <c r="C972" s="218" t="s">
        <v>267</v>
      </c>
      <c r="D972" s="219" t="s">
        <v>1483</v>
      </c>
      <c r="E972" s="220" t="s">
        <v>400</v>
      </c>
      <c r="F972" s="220" t="s">
        <v>1484</v>
      </c>
      <c r="G972" s="220" t="s">
        <v>27</v>
      </c>
      <c r="H972" s="231">
        <v>44320</v>
      </c>
    </row>
    <row r="973" spans="1:8" customFormat="1">
      <c r="A973" s="221">
        <v>44320</v>
      </c>
      <c r="B973" s="217" t="s">
        <v>380</v>
      </c>
      <c r="C973" s="218" t="s">
        <v>267</v>
      </c>
      <c r="D973" s="219" t="s">
        <v>1487</v>
      </c>
      <c r="E973" s="220" t="s">
        <v>400</v>
      </c>
      <c r="F973" s="220" t="s">
        <v>1488</v>
      </c>
      <c r="G973" s="220" t="s">
        <v>27</v>
      </c>
      <c r="H973" s="231">
        <v>44320</v>
      </c>
    </row>
    <row r="974" spans="1:8" customFormat="1">
      <c r="A974" s="221">
        <v>44320</v>
      </c>
      <c r="B974" s="217" t="s">
        <v>565</v>
      </c>
      <c r="C974" s="218" t="s">
        <v>267</v>
      </c>
      <c r="D974" s="219" t="s">
        <v>1687</v>
      </c>
      <c r="E974" s="220" t="s">
        <v>1688</v>
      </c>
      <c r="F974" s="220" t="s">
        <v>1689</v>
      </c>
      <c r="G974" s="220" t="s">
        <v>166</v>
      </c>
      <c r="H974" s="231">
        <v>44320</v>
      </c>
    </row>
    <row r="975" spans="1:8" customFormat="1">
      <c r="A975" s="221">
        <v>44320</v>
      </c>
      <c r="B975" s="217" t="s">
        <v>423</v>
      </c>
      <c r="C975" s="218" t="s">
        <v>267</v>
      </c>
      <c r="D975" s="219" t="s">
        <v>1690</v>
      </c>
      <c r="E975" s="220" t="s">
        <v>1508</v>
      </c>
      <c r="F975" s="220" t="s">
        <v>1691</v>
      </c>
      <c r="G975" s="220" t="s">
        <v>166</v>
      </c>
      <c r="H975" s="231">
        <v>44320</v>
      </c>
    </row>
    <row r="976" spans="1:8" customFormat="1">
      <c r="A976" s="221">
        <v>44320</v>
      </c>
      <c r="B976" s="217" t="s">
        <v>423</v>
      </c>
      <c r="C976" s="218" t="s">
        <v>267</v>
      </c>
      <c r="D976" s="219" t="s">
        <v>1655</v>
      </c>
      <c r="E976" s="220" t="s">
        <v>1656</v>
      </c>
      <c r="F976" s="220" t="s">
        <v>1657</v>
      </c>
      <c r="G976" s="220" t="s">
        <v>1692</v>
      </c>
      <c r="H976" s="231">
        <v>44320</v>
      </c>
    </row>
    <row r="977" spans="1:8" customFormat="1">
      <c r="A977" s="221">
        <v>44320</v>
      </c>
      <c r="B977" s="217" t="s">
        <v>423</v>
      </c>
      <c r="C977" s="218" t="s">
        <v>267</v>
      </c>
      <c r="D977" s="219" t="s">
        <v>1520</v>
      </c>
      <c r="E977" s="220" t="s">
        <v>1521</v>
      </c>
      <c r="F977" s="220" t="s">
        <v>1522</v>
      </c>
      <c r="G977" s="220" t="s">
        <v>164</v>
      </c>
      <c r="H977" s="231">
        <v>44320</v>
      </c>
    </row>
    <row r="978" spans="1:8" customFormat="1" ht="21.9">
      <c r="A978" s="221">
        <v>44225</v>
      </c>
      <c r="B978" s="217" t="s">
        <v>7</v>
      </c>
      <c r="C978" s="218" t="s">
        <v>267</v>
      </c>
      <c r="D978" s="219" t="s">
        <v>1693</v>
      </c>
      <c r="E978" s="220" t="s">
        <v>1372</v>
      </c>
      <c r="F978" s="220" t="s">
        <v>1373</v>
      </c>
      <c r="G978" s="220" t="s">
        <v>27</v>
      </c>
      <c r="H978" s="231">
        <v>44225</v>
      </c>
    </row>
    <row r="979" spans="1:8" customFormat="1" ht="21.9">
      <c r="A979" s="221">
        <v>44225</v>
      </c>
      <c r="B979" s="217" t="s">
        <v>7</v>
      </c>
      <c r="C979" s="218" t="s">
        <v>267</v>
      </c>
      <c r="D979" s="219" t="s">
        <v>837</v>
      </c>
      <c r="E979" s="220" t="s">
        <v>838</v>
      </c>
      <c r="F979" s="220"/>
      <c r="G979" s="220" t="s">
        <v>27</v>
      </c>
      <c r="H979" s="231">
        <v>44225</v>
      </c>
    </row>
    <row r="980" spans="1:8" customFormat="1" ht="21.9">
      <c r="A980" s="221">
        <v>44225</v>
      </c>
      <c r="B980" s="217" t="s">
        <v>7</v>
      </c>
      <c r="C980" s="218" t="s">
        <v>267</v>
      </c>
      <c r="D980" s="219" t="s">
        <v>1464</v>
      </c>
      <c r="E980" s="220" t="s">
        <v>1465</v>
      </c>
      <c r="F980" s="220"/>
      <c r="G980" s="220" t="s">
        <v>27</v>
      </c>
      <c r="H980" s="231">
        <v>44225</v>
      </c>
    </row>
    <row r="981" spans="1:8" customFormat="1" ht="21.9">
      <c r="A981" s="221">
        <v>44225</v>
      </c>
      <c r="B981" s="217" t="s">
        <v>7</v>
      </c>
      <c r="C981" s="218" t="s">
        <v>267</v>
      </c>
      <c r="D981" s="219" t="s">
        <v>1674</v>
      </c>
      <c r="E981" s="220" t="s">
        <v>1675</v>
      </c>
      <c r="F981" s="220"/>
      <c r="G981" s="220" t="s">
        <v>27</v>
      </c>
      <c r="H981" s="231">
        <v>44225</v>
      </c>
    </row>
    <row r="982" spans="1:8" customFormat="1">
      <c r="A982" s="221">
        <v>44225</v>
      </c>
      <c r="B982" s="217" t="s">
        <v>7</v>
      </c>
      <c r="C982" s="218" t="s">
        <v>267</v>
      </c>
      <c r="D982" s="219" t="s">
        <v>1028</v>
      </c>
      <c r="E982" s="220" t="s">
        <v>1029</v>
      </c>
      <c r="F982" s="220" t="s">
        <v>1694</v>
      </c>
      <c r="G982" s="220" t="s">
        <v>1695</v>
      </c>
      <c r="H982" s="231">
        <v>44225</v>
      </c>
    </row>
    <row r="983" spans="1:8" customFormat="1">
      <c r="A983" s="221">
        <v>44225</v>
      </c>
      <c r="B983" s="217" t="s">
        <v>7</v>
      </c>
      <c r="C983" s="218" t="s">
        <v>267</v>
      </c>
      <c r="D983" s="219" t="s">
        <v>1554</v>
      </c>
      <c r="E983" s="220" t="s">
        <v>1555</v>
      </c>
      <c r="F983" s="220" t="s">
        <v>1556</v>
      </c>
      <c r="G983" s="220" t="s">
        <v>27</v>
      </c>
      <c r="H983" s="231">
        <v>44225</v>
      </c>
    </row>
    <row r="984" spans="1:8" customFormat="1" ht="21.9">
      <c r="A984" s="221">
        <v>44225</v>
      </c>
      <c r="B984" s="217" t="s">
        <v>7</v>
      </c>
      <c r="C984" s="218" t="s">
        <v>267</v>
      </c>
      <c r="D984" s="219" t="s">
        <v>930</v>
      </c>
      <c r="E984" s="220" t="s">
        <v>931</v>
      </c>
      <c r="F984" s="220"/>
      <c r="G984" s="220" t="s">
        <v>27</v>
      </c>
      <c r="H984" s="231">
        <v>44225</v>
      </c>
    </row>
    <row r="985" spans="1:8" customFormat="1">
      <c r="A985" s="221">
        <v>44225</v>
      </c>
      <c r="B985" s="217" t="s">
        <v>7</v>
      </c>
      <c r="C985" s="218" t="s">
        <v>267</v>
      </c>
      <c r="D985" s="219" t="s">
        <v>1426</v>
      </c>
      <c r="E985" s="220" t="s">
        <v>1696</v>
      </c>
      <c r="F985" s="220"/>
      <c r="G985" s="220" t="s">
        <v>27</v>
      </c>
      <c r="H985" s="231">
        <v>44225</v>
      </c>
    </row>
    <row r="986" spans="1:8" customFormat="1">
      <c r="A986" s="221">
        <v>44225</v>
      </c>
      <c r="B986" s="217" t="s">
        <v>309</v>
      </c>
      <c r="C986" s="218" t="s">
        <v>267</v>
      </c>
      <c r="D986" s="219" t="s">
        <v>1697</v>
      </c>
      <c r="E986" s="220" t="s">
        <v>1698</v>
      </c>
      <c r="F986" s="220"/>
      <c r="G986" s="220" t="s">
        <v>1647</v>
      </c>
      <c r="H986" s="231">
        <v>44225</v>
      </c>
    </row>
    <row r="987" spans="1:8" customFormat="1">
      <c r="A987" s="221">
        <v>44225</v>
      </c>
      <c r="B987" s="217" t="s">
        <v>309</v>
      </c>
      <c r="C987" s="218" t="s">
        <v>267</v>
      </c>
      <c r="D987" s="219" t="s">
        <v>1699</v>
      </c>
      <c r="E987" s="220" t="s">
        <v>1698</v>
      </c>
      <c r="F987" s="220"/>
      <c r="G987" s="220" t="s">
        <v>1647</v>
      </c>
      <c r="H987" s="231">
        <v>44225</v>
      </c>
    </row>
    <row r="988" spans="1:8" customFormat="1">
      <c r="A988" s="221">
        <v>44225</v>
      </c>
      <c r="B988" s="217" t="s">
        <v>380</v>
      </c>
      <c r="C988" s="218" t="s">
        <v>267</v>
      </c>
      <c r="D988" s="219" t="s">
        <v>1485</v>
      </c>
      <c r="E988" s="220" t="s">
        <v>400</v>
      </c>
      <c r="F988" s="220" t="s">
        <v>1486</v>
      </c>
      <c r="G988" s="220" t="s">
        <v>27</v>
      </c>
      <c r="H988" s="231">
        <v>44225</v>
      </c>
    </row>
    <row r="989" spans="1:8" customFormat="1">
      <c r="A989" s="221">
        <v>44225</v>
      </c>
      <c r="B989" s="217" t="s">
        <v>423</v>
      </c>
      <c r="C989" s="218" t="s">
        <v>267</v>
      </c>
      <c r="D989" s="219" t="s">
        <v>1334</v>
      </c>
      <c r="E989" s="220" t="s">
        <v>1284</v>
      </c>
      <c r="F989" s="220"/>
      <c r="G989" s="220" t="s">
        <v>27</v>
      </c>
      <c r="H989" s="231">
        <v>44225</v>
      </c>
    </row>
    <row r="990" spans="1:8" customFormat="1">
      <c r="A990" s="221">
        <v>44225</v>
      </c>
      <c r="B990" s="217" t="s">
        <v>423</v>
      </c>
      <c r="C990" s="218" t="s">
        <v>267</v>
      </c>
      <c r="D990" s="219" t="s">
        <v>1655</v>
      </c>
      <c r="E990" s="220" t="s">
        <v>1656</v>
      </c>
      <c r="F990" s="220"/>
      <c r="G990" s="220" t="s">
        <v>27</v>
      </c>
      <c r="H990" s="231">
        <v>44225</v>
      </c>
    </row>
    <row r="991" spans="1:8" customFormat="1">
      <c r="A991" s="221">
        <v>44225</v>
      </c>
      <c r="B991" s="217" t="s">
        <v>423</v>
      </c>
      <c r="C991" s="218" t="s">
        <v>267</v>
      </c>
      <c r="D991" s="219" t="s">
        <v>1700</v>
      </c>
      <c r="E991" s="220" t="s">
        <v>1701</v>
      </c>
      <c r="F991" s="220" t="s">
        <v>1702</v>
      </c>
      <c r="G991" s="220" t="s">
        <v>1695</v>
      </c>
      <c r="H991" s="231">
        <v>44225</v>
      </c>
    </row>
    <row r="992" spans="1:8" customFormat="1">
      <c r="A992" s="221">
        <v>44225</v>
      </c>
      <c r="B992" s="217" t="s">
        <v>423</v>
      </c>
      <c r="C992" s="218" t="s">
        <v>267</v>
      </c>
      <c r="D992" s="219" t="s">
        <v>1581</v>
      </c>
      <c r="E992" s="220" t="s">
        <v>1582</v>
      </c>
      <c r="F992" s="220"/>
      <c r="G992" s="220" t="s">
        <v>134</v>
      </c>
      <c r="H992" s="231">
        <v>44225</v>
      </c>
    </row>
    <row r="993" spans="1:8" customFormat="1">
      <c r="A993" s="221">
        <v>44225</v>
      </c>
      <c r="B993" s="217" t="s">
        <v>423</v>
      </c>
      <c r="C993" s="218" t="s">
        <v>267</v>
      </c>
      <c r="D993" s="219" t="s">
        <v>1602</v>
      </c>
      <c r="E993" s="220" t="s">
        <v>1603</v>
      </c>
      <c r="F993" s="220"/>
      <c r="G993" s="220" t="s">
        <v>27</v>
      </c>
      <c r="H993" s="231">
        <v>44225</v>
      </c>
    </row>
    <row r="994" spans="1:8" customFormat="1">
      <c r="A994" s="221">
        <v>44147</v>
      </c>
      <c r="B994" s="217" t="s">
        <v>7</v>
      </c>
      <c r="C994" s="218" t="s">
        <v>267</v>
      </c>
      <c r="D994" s="219" t="s">
        <v>1310</v>
      </c>
      <c r="E994" s="220" t="s">
        <v>1311</v>
      </c>
      <c r="F994" s="220"/>
      <c r="G994" s="220" t="s">
        <v>27</v>
      </c>
      <c r="H994" s="231">
        <v>44147</v>
      </c>
    </row>
    <row r="995" spans="1:8" customFormat="1" ht="21.9">
      <c r="A995" s="221">
        <v>44147</v>
      </c>
      <c r="B995" s="217" t="s">
        <v>7</v>
      </c>
      <c r="C995" s="218" t="s">
        <v>267</v>
      </c>
      <c r="D995" s="219" t="s">
        <v>1693</v>
      </c>
      <c r="E995" s="220" t="s">
        <v>1372</v>
      </c>
      <c r="F995" s="220" t="s">
        <v>1373</v>
      </c>
      <c r="G995" s="220" t="s">
        <v>164</v>
      </c>
      <c r="H995" s="231">
        <v>44147</v>
      </c>
    </row>
    <row r="996" spans="1:8" customFormat="1">
      <c r="A996" s="221">
        <v>44147</v>
      </c>
      <c r="B996" s="217" t="s">
        <v>7</v>
      </c>
      <c r="C996" s="218" t="s">
        <v>267</v>
      </c>
      <c r="D996" s="219" t="s">
        <v>1703</v>
      </c>
      <c r="E996" s="220" t="s">
        <v>1704</v>
      </c>
      <c r="F996" s="220"/>
      <c r="G996" s="220" t="s">
        <v>1647</v>
      </c>
      <c r="H996" s="231">
        <v>44117</v>
      </c>
    </row>
    <row r="997" spans="1:8" customFormat="1">
      <c r="A997" s="221">
        <v>44147</v>
      </c>
      <c r="B997" s="217" t="s">
        <v>7</v>
      </c>
      <c r="C997" s="218" t="s">
        <v>267</v>
      </c>
      <c r="D997" s="219" t="s">
        <v>1705</v>
      </c>
      <c r="E997" s="220" t="s">
        <v>1706</v>
      </c>
      <c r="F997" s="220"/>
      <c r="G997" s="220" t="s">
        <v>1647</v>
      </c>
      <c r="H997" s="231">
        <v>44117</v>
      </c>
    </row>
    <row r="998" spans="1:8" customFormat="1">
      <c r="A998" s="221">
        <v>44147</v>
      </c>
      <c r="B998" s="217" t="s">
        <v>7</v>
      </c>
      <c r="C998" s="218" t="s">
        <v>267</v>
      </c>
      <c r="D998" s="219" t="s">
        <v>1670</v>
      </c>
      <c r="E998" s="220" t="s">
        <v>1670</v>
      </c>
      <c r="F998" s="220" t="s">
        <v>1707</v>
      </c>
      <c r="G998" s="220" t="s">
        <v>164</v>
      </c>
      <c r="H998" s="231">
        <v>44147</v>
      </c>
    </row>
    <row r="999" spans="1:8" customFormat="1" ht="21.9">
      <c r="A999" s="221">
        <v>44147</v>
      </c>
      <c r="B999" s="217" t="s">
        <v>7</v>
      </c>
      <c r="C999" s="218" t="s">
        <v>267</v>
      </c>
      <c r="D999" s="219" t="s">
        <v>1592</v>
      </c>
      <c r="E999" s="220" t="s">
        <v>1593</v>
      </c>
      <c r="F999" s="220" t="s">
        <v>1594</v>
      </c>
      <c r="G999" s="220" t="s">
        <v>164</v>
      </c>
      <c r="H999" s="231">
        <v>44147</v>
      </c>
    </row>
    <row r="1000" spans="1:8" customFormat="1">
      <c r="A1000" s="221">
        <v>44147</v>
      </c>
      <c r="B1000" s="217" t="s">
        <v>7</v>
      </c>
      <c r="C1000" s="218" t="s">
        <v>267</v>
      </c>
      <c r="D1000" s="219" t="s">
        <v>1530</v>
      </c>
      <c r="E1000" s="220" t="s">
        <v>1531</v>
      </c>
      <c r="F1000" s="220" t="s">
        <v>1532</v>
      </c>
      <c r="G1000" s="220" t="s">
        <v>27</v>
      </c>
      <c r="H1000" s="231">
        <v>44147</v>
      </c>
    </row>
    <row r="1001" spans="1:8" customFormat="1" ht="21.9">
      <c r="A1001" s="221">
        <v>44147</v>
      </c>
      <c r="B1001" s="217" t="s">
        <v>7</v>
      </c>
      <c r="C1001" s="218" t="s">
        <v>267</v>
      </c>
      <c r="D1001" s="219" t="s">
        <v>1708</v>
      </c>
      <c r="E1001" s="220" t="s">
        <v>1709</v>
      </c>
      <c r="F1001" s="220" t="s">
        <v>1710</v>
      </c>
      <c r="G1001" s="220" t="s">
        <v>166</v>
      </c>
      <c r="H1001" s="231">
        <v>44147</v>
      </c>
    </row>
    <row r="1002" spans="1:8" customFormat="1">
      <c r="A1002" s="221">
        <v>44147</v>
      </c>
      <c r="B1002" s="217" t="s">
        <v>7</v>
      </c>
      <c r="C1002" s="218" t="s">
        <v>267</v>
      </c>
      <c r="D1002" s="219" t="s">
        <v>924</v>
      </c>
      <c r="E1002" s="220" t="s">
        <v>1711</v>
      </c>
      <c r="F1002" s="220"/>
      <c r="G1002" s="220" t="s">
        <v>27</v>
      </c>
      <c r="H1002" s="231">
        <v>44147</v>
      </c>
    </row>
    <row r="1003" spans="1:8" customFormat="1" ht="32.15">
      <c r="A1003" s="221">
        <v>44147</v>
      </c>
      <c r="B1003" s="217" t="s">
        <v>309</v>
      </c>
      <c r="C1003" s="218" t="s">
        <v>1636</v>
      </c>
      <c r="D1003" s="219" t="s">
        <v>1437</v>
      </c>
      <c r="E1003" s="220" t="s">
        <v>1438</v>
      </c>
      <c r="F1003" s="220" t="s">
        <v>1439</v>
      </c>
      <c r="G1003" s="220" t="s">
        <v>1712</v>
      </c>
      <c r="H1003" s="231">
        <v>43985</v>
      </c>
    </row>
    <row r="1004" spans="1:8" customFormat="1">
      <c r="A1004" s="221">
        <v>44147</v>
      </c>
      <c r="B1004" s="217" t="s">
        <v>309</v>
      </c>
      <c r="C1004" s="218" t="s">
        <v>220</v>
      </c>
      <c r="D1004" s="219" t="s">
        <v>1713</v>
      </c>
      <c r="E1004" s="220" t="s">
        <v>1714</v>
      </c>
      <c r="F1004" s="220"/>
      <c r="G1004" s="220" t="s">
        <v>590</v>
      </c>
      <c r="H1004" s="231">
        <v>44147</v>
      </c>
    </row>
    <row r="1005" spans="1:8" customFormat="1">
      <c r="A1005" s="221">
        <v>44147</v>
      </c>
      <c r="B1005" s="217" t="s">
        <v>309</v>
      </c>
      <c r="C1005" s="218" t="s">
        <v>267</v>
      </c>
      <c r="D1005" s="219" t="s">
        <v>1715</v>
      </c>
      <c r="E1005" s="220" t="s">
        <v>1599</v>
      </c>
      <c r="F1005" s="220"/>
      <c r="G1005" s="220" t="s">
        <v>1647</v>
      </c>
      <c r="H1005" s="231">
        <v>44117</v>
      </c>
    </row>
    <row r="1006" spans="1:8" customFormat="1">
      <c r="A1006" s="221">
        <v>44147</v>
      </c>
      <c r="B1006" s="217" t="s">
        <v>309</v>
      </c>
      <c r="C1006" s="218" t="s">
        <v>267</v>
      </c>
      <c r="D1006" s="219" t="s">
        <v>1716</v>
      </c>
      <c r="E1006" s="220" t="s">
        <v>1704</v>
      </c>
      <c r="F1006" s="220"/>
      <c r="G1006" s="220" t="s">
        <v>1647</v>
      </c>
      <c r="H1006" s="231">
        <v>44117</v>
      </c>
    </row>
    <row r="1007" spans="1:8" customFormat="1">
      <c r="A1007" s="221">
        <v>44147</v>
      </c>
      <c r="B1007" s="217" t="s">
        <v>309</v>
      </c>
      <c r="C1007" s="218" t="s">
        <v>267</v>
      </c>
      <c r="D1007" s="219" t="s">
        <v>1683</v>
      </c>
      <c r="E1007" s="220" t="s">
        <v>1684</v>
      </c>
      <c r="F1007" s="220"/>
      <c r="G1007" s="220" t="s">
        <v>27</v>
      </c>
      <c r="H1007" s="231">
        <v>44147</v>
      </c>
    </row>
    <row r="1008" spans="1:8" customFormat="1" ht="21.9">
      <c r="A1008" s="221">
        <v>44147</v>
      </c>
      <c r="B1008" s="217" t="s">
        <v>309</v>
      </c>
      <c r="C1008" s="218" t="s">
        <v>267</v>
      </c>
      <c r="D1008" s="219" t="s">
        <v>1717</v>
      </c>
      <c r="E1008" s="220" t="s">
        <v>1718</v>
      </c>
      <c r="F1008" s="220"/>
      <c r="G1008" s="220" t="s">
        <v>27</v>
      </c>
      <c r="H1008" s="231">
        <v>44147</v>
      </c>
    </row>
    <row r="1009" spans="1:8" customFormat="1" ht="21.9">
      <c r="A1009" s="221">
        <v>44147</v>
      </c>
      <c r="B1009" s="217" t="s">
        <v>380</v>
      </c>
      <c r="C1009" s="218" t="s">
        <v>220</v>
      </c>
      <c r="D1009" s="219" t="s">
        <v>1265</v>
      </c>
      <c r="E1009" s="220" t="s">
        <v>1719</v>
      </c>
      <c r="F1009" s="220" t="s">
        <v>1630</v>
      </c>
      <c r="G1009" s="220" t="s">
        <v>1720</v>
      </c>
      <c r="H1009" s="231">
        <v>44104</v>
      </c>
    </row>
    <row r="1010" spans="1:8" customFormat="1" ht="21.9">
      <c r="A1010" s="221">
        <v>44147</v>
      </c>
      <c r="B1010" s="217" t="s">
        <v>380</v>
      </c>
      <c r="C1010" s="218" t="s">
        <v>220</v>
      </c>
      <c r="D1010" s="219" t="s">
        <v>1721</v>
      </c>
      <c r="E1010" s="220" t="s">
        <v>1722</v>
      </c>
      <c r="F1010" s="220"/>
      <c r="G1010" s="220" t="s">
        <v>1723</v>
      </c>
      <c r="H1010" s="231">
        <v>44147</v>
      </c>
    </row>
    <row r="1011" spans="1:8" customFormat="1">
      <c r="A1011" s="221">
        <v>44147</v>
      </c>
      <c r="B1011" s="217" t="s">
        <v>380</v>
      </c>
      <c r="C1011" s="218" t="s">
        <v>267</v>
      </c>
      <c r="D1011" s="219" t="s">
        <v>1724</v>
      </c>
      <c r="E1011" s="220" t="s">
        <v>1725</v>
      </c>
      <c r="F1011" s="220" t="s">
        <v>1726</v>
      </c>
      <c r="G1011" s="220" t="s">
        <v>166</v>
      </c>
      <c r="H1011" s="231">
        <v>44147</v>
      </c>
    </row>
    <row r="1012" spans="1:8" customFormat="1">
      <c r="A1012" s="221">
        <v>44147</v>
      </c>
      <c r="B1012" s="217" t="s">
        <v>380</v>
      </c>
      <c r="C1012" s="218" t="s">
        <v>267</v>
      </c>
      <c r="D1012" s="219" t="s">
        <v>1727</v>
      </c>
      <c r="E1012" s="220" t="s">
        <v>1444</v>
      </c>
      <c r="F1012" s="220" t="s">
        <v>1728</v>
      </c>
      <c r="G1012" s="220" t="s">
        <v>166</v>
      </c>
      <c r="H1012" s="231">
        <v>44147</v>
      </c>
    </row>
    <row r="1013" spans="1:8" customFormat="1">
      <c r="A1013" s="221">
        <v>44147</v>
      </c>
      <c r="B1013" s="217" t="s">
        <v>380</v>
      </c>
      <c r="C1013" s="218" t="s">
        <v>267</v>
      </c>
      <c r="D1013" s="219" t="s">
        <v>1327</v>
      </c>
      <c r="E1013" s="220" t="s">
        <v>1328</v>
      </c>
      <c r="F1013" s="220"/>
      <c r="G1013" s="220" t="s">
        <v>27</v>
      </c>
      <c r="H1013" s="231">
        <v>44147</v>
      </c>
    </row>
    <row r="1014" spans="1:8" customFormat="1">
      <c r="A1014" s="221">
        <v>44147</v>
      </c>
      <c r="B1014" s="217" t="s">
        <v>380</v>
      </c>
      <c r="C1014" s="218" t="s">
        <v>267</v>
      </c>
      <c r="D1014" s="219" t="s">
        <v>1448</v>
      </c>
      <c r="E1014" s="220" t="s">
        <v>1328</v>
      </c>
      <c r="F1014" s="220"/>
      <c r="G1014" s="220" t="s">
        <v>27</v>
      </c>
      <c r="H1014" s="231">
        <v>44147</v>
      </c>
    </row>
    <row r="1015" spans="1:8" customFormat="1">
      <c r="A1015" s="221">
        <v>44147</v>
      </c>
      <c r="B1015" s="217" t="s">
        <v>380</v>
      </c>
      <c r="C1015" s="218" t="s">
        <v>267</v>
      </c>
      <c r="D1015" s="219" t="s">
        <v>1729</v>
      </c>
      <c r="E1015" s="220" t="s">
        <v>1599</v>
      </c>
      <c r="F1015" s="220" t="s">
        <v>1730</v>
      </c>
      <c r="G1015" s="220" t="s">
        <v>166</v>
      </c>
      <c r="H1015" s="231">
        <v>44147</v>
      </c>
    </row>
    <row r="1016" spans="1:8" customFormat="1" ht="32.15">
      <c r="A1016" s="221">
        <v>44147</v>
      </c>
      <c r="B1016" s="217" t="s">
        <v>423</v>
      </c>
      <c r="C1016" s="218" t="s">
        <v>1636</v>
      </c>
      <c r="D1016" s="219" t="s">
        <v>1454</v>
      </c>
      <c r="E1016" s="220" t="s">
        <v>746</v>
      </c>
      <c r="F1016" s="220" t="s">
        <v>1731</v>
      </c>
      <c r="G1016" s="220" t="s">
        <v>1712</v>
      </c>
      <c r="H1016" s="231">
        <v>43999</v>
      </c>
    </row>
    <row r="1017" spans="1:8" customFormat="1" ht="32.15">
      <c r="A1017" s="221">
        <v>44147</v>
      </c>
      <c r="B1017" s="217" t="s">
        <v>423</v>
      </c>
      <c r="C1017" s="218" t="s">
        <v>1636</v>
      </c>
      <c r="D1017" s="219" t="s">
        <v>1690</v>
      </c>
      <c r="E1017" s="220" t="s">
        <v>1508</v>
      </c>
      <c r="F1017" s="220" t="s">
        <v>1691</v>
      </c>
      <c r="G1017" s="220" t="s">
        <v>1712</v>
      </c>
      <c r="H1017" s="231">
        <v>44006</v>
      </c>
    </row>
    <row r="1018" spans="1:8" customFormat="1">
      <c r="A1018" s="221">
        <v>44147</v>
      </c>
      <c r="B1018" s="217" t="s">
        <v>423</v>
      </c>
      <c r="C1018" s="218" t="s">
        <v>267</v>
      </c>
      <c r="D1018" s="219" t="s">
        <v>1653</v>
      </c>
      <c r="E1018" s="220" t="s">
        <v>1494</v>
      </c>
      <c r="F1018" s="220" t="s">
        <v>1654</v>
      </c>
      <c r="G1018" s="220" t="s">
        <v>164</v>
      </c>
      <c r="H1018" s="231">
        <v>44147</v>
      </c>
    </row>
    <row r="1019" spans="1:8" customFormat="1" ht="21.9">
      <c r="A1019" s="221">
        <v>44147</v>
      </c>
      <c r="B1019" s="217" t="s">
        <v>423</v>
      </c>
      <c r="C1019" s="218" t="s">
        <v>267</v>
      </c>
      <c r="D1019" s="219" t="s">
        <v>1732</v>
      </c>
      <c r="E1019" s="220" t="s">
        <v>1733</v>
      </c>
      <c r="F1019" s="220" t="s">
        <v>1734</v>
      </c>
      <c r="G1019" s="220" t="s">
        <v>1735</v>
      </c>
      <c r="H1019" s="231">
        <v>44147</v>
      </c>
    </row>
    <row r="1020" spans="1:8" customFormat="1">
      <c r="A1020" s="221">
        <v>44147</v>
      </c>
      <c r="B1020" s="217" t="s">
        <v>423</v>
      </c>
      <c r="C1020" s="218" t="s">
        <v>267</v>
      </c>
      <c r="D1020" s="219" t="s">
        <v>1060</v>
      </c>
      <c r="E1020" s="220" t="s">
        <v>1061</v>
      </c>
      <c r="F1020" s="220" t="s">
        <v>1062</v>
      </c>
      <c r="G1020" s="220" t="s">
        <v>166</v>
      </c>
      <c r="H1020" s="231">
        <v>44147</v>
      </c>
    </row>
    <row r="1021" spans="1:8" customFormat="1">
      <c r="A1021" s="221">
        <v>44147</v>
      </c>
      <c r="B1021" s="217" t="s">
        <v>423</v>
      </c>
      <c r="C1021" s="218" t="s">
        <v>267</v>
      </c>
      <c r="D1021" s="219" t="s">
        <v>1551</v>
      </c>
      <c r="E1021" s="220" t="s">
        <v>1552</v>
      </c>
      <c r="F1021" s="220" t="s">
        <v>1553</v>
      </c>
      <c r="G1021" s="220" t="s">
        <v>164</v>
      </c>
      <c r="H1021" s="231">
        <v>44147</v>
      </c>
    </row>
    <row r="1022" spans="1:8" customFormat="1">
      <c r="A1022" s="221">
        <v>44147</v>
      </c>
      <c r="B1022" s="217" t="s">
        <v>423</v>
      </c>
      <c r="C1022" s="218" t="s">
        <v>267</v>
      </c>
      <c r="D1022" s="219" t="s">
        <v>1501</v>
      </c>
      <c r="E1022" s="220" t="s">
        <v>1736</v>
      </c>
      <c r="F1022" s="220"/>
      <c r="G1022" s="220" t="s">
        <v>27</v>
      </c>
      <c r="H1022" s="231">
        <v>44147</v>
      </c>
    </row>
    <row r="1023" spans="1:8" customFormat="1">
      <c r="A1023" s="221">
        <v>44041</v>
      </c>
      <c r="B1023" s="217" t="s">
        <v>7</v>
      </c>
      <c r="C1023" s="218" t="s">
        <v>1636</v>
      </c>
      <c r="D1023" s="219" t="s">
        <v>1149</v>
      </c>
      <c r="E1023" s="220" t="s">
        <v>1156</v>
      </c>
      <c r="F1023" s="220"/>
      <c r="G1023" s="220" t="s">
        <v>1737</v>
      </c>
      <c r="H1023" s="231">
        <v>43768</v>
      </c>
    </row>
    <row r="1024" spans="1:8" customFormat="1">
      <c r="A1024" s="221">
        <v>44034</v>
      </c>
      <c r="B1024" s="217" t="s">
        <v>7</v>
      </c>
      <c r="C1024" s="218" t="s">
        <v>267</v>
      </c>
      <c r="D1024" s="219" t="s">
        <v>1659</v>
      </c>
      <c r="E1024" s="220" t="s">
        <v>1311</v>
      </c>
      <c r="F1024" s="220"/>
      <c r="G1024" s="220" t="s">
        <v>27</v>
      </c>
      <c r="H1024" s="231">
        <v>44018</v>
      </c>
    </row>
    <row r="1025" spans="1:8" customFormat="1">
      <c r="A1025" s="221">
        <v>44034</v>
      </c>
      <c r="B1025" s="217" t="s">
        <v>7</v>
      </c>
      <c r="C1025" s="218" t="s">
        <v>267</v>
      </c>
      <c r="D1025" s="219" t="s">
        <v>1672</v>
      </c>
      <c r="E1025" s="220" t="s">
        <v>1673</v>
      </c>
      <c r="F1025" s="220" t="s">
        <v>1738</v>
      </c>
      <c r="G1025" s="220" t="s">
        <v>27</v>
      </c>
      <c r="H1025" s="231">
        <v>44020</v>
      </c>
    </row>
    <row r="1026" spans="1:8" customFormat="1">
      <c r="A1026" s="221">
        <v>44034</v>
      </c>
      <c r="B1026" s="217" t="s">
        <v>7</v>
      </c>
      <c r="C1026" s="218" t="s">
        <v>267</v>
      </c>
      <c r="D1026" s="219" t="s">
        <v>1028</v>
      </c>
      <c r="E1026" s="220" t="s">
        <v>1029</v>
      </c>
      <c r="F1026" s="220" t="s">
        <v>1694</v>
      </c>
      <c r="G1026" s="220" t="s">
        <v>1739</v>
      </c>
      <c r="H1026" s="231">
        <v>43983</v>
      </c>
    </row>
    <row r="1027" spans="1:8" customFormat="1">
      <c r="A1027" s="221">
        <v>44034</v>
      </c>
      <c r="B1027" s="217" t="s">
        <v>7</v>
      </c>
      <c r="C1027" s="218" t="s">
        <v>267</v>
      </c>
      <c r="D1027" s="219" t="s">
        <v>1426</v>
      </c>
      <c r="E1027" s="220" t="s">
        <v>1696</v>
      </c>
      <c r="F1027" s="220"/>
      <c r="G1027" s="220" t="s">
        <v>27</v>
      </c>
      <c r="H1027" s="231">
        <v>44021</v>
      </c>
    </row>
    <row r="1028" spans="1:8" customFormat="1">
      <c r="A1028" s="221">
        <v>44034</v>
      </c>
      <c r="B1028" s="217" t="s">
        <v>309</v>
      </c>
      <c r="C1028" s="218" t="s">
        <v>267</v>
      </c>
      <c r="D1028" s="219" t="s">
        <v>1683</v>
      </c>
      <c r="E1028" s="220" t="s">
        <v>1684</v>
      </c>
      <c r="F1028" s="220"/>
      <c r="G1028" s="220" t="s">
        <v>27</v>
      </c>
      <c r="H1028" s="231">
        <v>44018</v>
      </c>
    </row>
    <row r="1029" spans="1:8" customFormat="1">
      <c r="A1029" s="221">
        <v>44034</v>
      </c>
      <c r="B1029" s="217" t="s">
        <v>309</v>
      </c>
      <c r="C1029" s="218" t="s">
        <v>267</v>
      </c>
      <c r="D1029" s="219" t="s">
        <v>1437</v>
      </c>
      <c r="E1029" s="220" t="s">
        <v>1438</v>
      </c>
      <c r="F1029" s="220" t="s">
        <v>1439</v>
      </c>
      <c r="G1029" s="220" t="s">
        <v>166</v>
      </c>
      <c r="H1029" s="231">
        <v>43985</v>
      </c>
    </row>
    <row r="1030" spans="1:8" customFormat="1" ht="21.9">
      <c r="A1030" s="221">
        <v>44034</v>
      </c>
      <c r="B1030" s="217" t="s">
        <v>380</v>
      </c>
      <c r="C1030" s="218" t="s">
        <v>199</v>
      </c>
      <c r="D1030" s="219" t="s">
        <v>752</v>
      </c>
      <c r="E1030" s="220" t="s">
        <v>753</v>
      </c>
      <c r="F1030" s="220" t="s">
        <v>754</v>
      </c>
      <c r="G1030" s="220" t="s">
        <v>1740</v>
      </c>
      <c r="H1030" s="231">
        <v>44034</v>
      </c>
    </row>
    <row r="1031" spans="1:8" customFormat="1">
      <c r="A1031" s="221">
        <v>44034</v>
      </c>
      <c r="B1031" s="217" t="s">
        <v>380</v>
      </c>
      <c r="C1031" s="218" t="s">
        <v>220</v>
      </c>
      <c r="D1031" s="219" t="s">
        <v>1741</v>
      </c>
      <c r="E1031" s="220" t="s">
        <v>1742</v>
      </c>
      <c r="F1031" s="220"/>
      <c r="G1031" s="220" t="s">
        <v>590</v>
      </c>
      <c r="H1031" s="231">
        <v>44034</v>
      </c>
    </row>
    <row r="1032" spans="1:8" customFormat="1" ht="32.15">
      <c r="A1032" s="221">
        <v>44034</v>
      </c>
      <c r="B1032" s="217" t="s">
        <v>380</v>
      </c>
      <c r="C1032" s="218" t="s">
        <v>220</v>
      </c>
      <c r="D1032" s="219" t="s">
        <v>1265</v>
      </c>
      <c r="E1032" s="220" t="s">
        <v>1719</v>
      </c>
      <c r="F1032" s="220" t="s">
        <v>1630</v>
      </c>
      <c r="G1032" s="220" t="s">
        <v>1743</v>
      </c>
      <c r="H1032" s="231">
        <v>44025</v>
      </c>
    </row>
    <row r="1033" spans="1:8" customFormat="1">
      <c r="A1033" s="221">
        <v>44034</v>
      </c>
      <c r="B1033" s="217" t="s">
        <v>380</v>
      </c>
      <c r="C1033" s="218" t="s">
        <v>267</v>
      </c>
      <c r="D1033" s="219" t="s">
        <v>555</v>
      </c>
      <c r="E1033" s="220" t="s">
        <v>556</v>
      </c>
      <c r="F1033" s="220" t="s">
        <v>557</v>
      </c>
      <c r="G1033" s="220" t="s">
        <v>1744</v>
      </c>
      <c r="H1033" s="231">
        <v>43991</v>
      </c>
    </row>
    <row r="1034" spans="1:8" customFormat="1">
      <c r="A1034" s="221">
        <v>44034</v>
      </c>
      <c r="B1034" s="217" t="s">
        <v>380</v>
      </c>
      <c r="C1034" s="218" t="s">
        <v>267</v>
      </c>
      <c r="D1034" s="219" t="s">
        <v>1724</v>
      </c>
      <c r="E1034" s="220" t="s">
        <v>1725</v>
      </c>
      <c r="F1034" s="220" t="s">
        <v>1726</v>
      </c>
      <c r="G1034" s="220" t="s">
        <v>1745</v>
      </c>
      <c r="H1034" s="231">
        <v>44014</v>
      </c>
    </row>
    <row r="1035" spans="1:8" customFormat="1" ht="42.45">
      <c r="A1035" s="221">
        <v>44034</v>
      </c>
      <c r="B1035" s="217" t="s">
        <v>380</v>
      </c>
      <c r="C1035" s="218" t="s">
        <v>267</v>
      </c>
      <c r="D1035" s="219" t="s">
        <v>1449</v>
      </c>
      <c r="E1035" s="220" t="s">
        <v>1565</v>
      </c>
      <c r="F1035" s="220"/>
      <c r="G1035" s="220" t="s">
        <v>1746</v>
      </c>
      <c r="H1035" s="231">
        <v>44021</v>
      </c>
    </row>
    <row r="1036" spans="1:8" customFormat="1">
      <c r="A1036" s="221">
        <v>44034</v>
      </c>
      <c r="B1036" s="217" t="s">
        <v>380</v>
      </c>
      <c r="C1036" s="218" t="s">
        <v>267</v>
      </c>
      <c r="D1036" s="219" t="s">
        <v>1729</v>
      </c>
      <c r="E1036" s="220" t="s">
        <v>1599</v>
      </c>
      <c r="F1036" s="220"/>
      <c r="G1036" s="220" t="s">
        <v>27</v>
      </c>
      <c r="H1036" s="231">
        <v>44018</v>
      </c>
    </row>
    <row r="1037" spans="1:8" customFormat="1">
      <c r="A1037" s="221">
        <v>44034</v>
      </c>
      <c r="B1037" s="217" t="s">
        <v>423</v>
      </c>
      <c r="C1037" s="218" t="s">
        <v>267</v>
      </c>
      <c r="D1037" s="219" t="s">
        <v>1334</v>
      </c>
      <c r="E1037" s="220" t="s">
        <v>1284</v>
      </c>
      <c r="F1037" s="220"/>
      <c r="G1037" s="220" t="s">
        <v>27</v>
      </c>
      <c r="H1037" s="231">
        <v>44022</v>
      </c>
    </row>
    <row r="1038" spans="1:8" customFormat="1" ht="21.9">
      <c r="A1038" s="221">
        <v>44034</v>
      </c>
      <c r="B1038" s="217" t="s">
        <v>423</v>
      </c>
      <c r="C1038" s="218" t="s">
        <v>267</v>
      </c>
      <c r="D1038" s="219" t="s">
        <v>1732</v>
      </c>
      <c r="E1038" s="220" t="s">
        <v>1733</v>
      </c>
      <c r="F1038" s="220" t="s">
        <v>1734</v>
      </c>
      <c r="G1038" s="220" t="s">
        <v>166</v>
      </c>
      <c r="H1038" s="231">
        <v>43999</v>
      </c>
    </row>
    <row r="1039" spans="1:8" customFormat="1">
      <c r="A1039" s="221">
        <v>44034</v>
      </c>
      <c r="B1039" s="217" t="s">
        <v>423</v>
      </c>
      <c r="C1039" s="218" t="s">
        <v>267</v>
      </c>
      <c r="D1039" s="219" t="s">
        <v>1454</v>
      </c>
      <c r="E1039" s="220" t="s">
        <v>746</v>
      </c>
      <c r="F1039" s="220" t="s">
        <v>1731</v>
      </c>
      <c r="G1039" s="220" t="s">
        <v>166</v>
      </c>
      <c r="H1039" s="231">
        <v>43999</v>
      </c>
    </row>
    <row r="1040" spans="1:8" customFormat="1">
      <c r="A1040" s="221">
        <v>44034</v>
      </c>
      <c r="B1040" s="217" t="s">
        <v>423</v>
      </c>
      <c r="C1040" s="218" t="s">
        <v>267</v>
      </c>
      <c r="D1040" s="219" t="s">
        <v>1690</v>
      </c>
      <c r="E1040" s="220" t="s">
        <v>1508</v>
      </c>
      <c r="F1040" s="220" t="s">
        <v>1691</v>
      </c>
      <c r="G1040" s="220" t="s">
        <v>166</v>
      </c>
      <c r="H1040" s="231">
        <v>44006</v>
      </c>
    </row>
    <row r="1041" spans="1:8" customFormat="1" ht="21.9">
      <c r="A1041" s="221">
        <v>43951</v>
      </c>
      <c r="B1041" s="217" t="s">
        <v>7</v>
      </c>
      <c r="C1041" s="218" t="s">
        <v>267</v>
      </c>
      <c r="D1041" s="219" t="s">
        <v>1693</v>
      </c>
      <c r="E1041" s="220" t="s">
        <v>1372</v>
      </c>
      <c r="F1041" s="220"/>
      <c r="G1041" s="220" t="s">
        <v>27</v>
      </c>
      <c r="H1041" s="231">
        <v>43943</v>
      </c>
    </row>
    <row r="1042" spans="1:8" customFormat="1">
      <c r="A1042" s="221">
        <v>43951</v>
      </c>
      <c r="B1042" s="217" t="s">
        <v>7</v>
      </c>
      <c r="C1042" s="218" t="s">
        <v>267</v>
      </c>
      <c r="D1042" s="219" t="s">
        <v>1610</v>
      </c>
      <c r="E1042" s="220" t="s">
        <v>1100</v>
      </c>
      <c r="F1042" s="220"/>
      <c r="G1042" s="220" t="s">
        <v>27</v>
      </c>
      <c r="H1042" s="231">
        <v>43938.376631944448</v>
      </c>
    </row>
    <row r="1043" spans="1:8" customFormat="1">
      <c r="A1043" s="221">
        <v>43951</v>
      </c>
      <c r="B1043" s="217" t="s">
        <v>7</v>
      </c>
      <c r="C1043" s="218" t="s">
        <v>267</v>
      </c>
      <c r="D1043" s="219" t="s">
        <v>1672</v>
      </c>
      <c r="E1043" s="220" t="s">
        <v>1673</v>
      </c>
      <c r="F1043" s="220"/>
      <c r="G1043" s="220" t="s">
        <v>1747</v>
      </c>
      <c r="H1043" s="231">
        <v>43945.451770833337</v>
      </c>
    </row>
    <row r="1044" spans="1:8" customFormat="1" ht="93.9">
      <c r="A1044" s="221">
        <v>43951</v>
      </c>
      <c r="B1044" s="217" t="s">
        <v>380</v>
      </c>
      <c r="C1044" s="218" t="s">
        <v>220</v>
      </c>
      <c r="D1044" s="219" t="s">
        <v>1748</v>
      </c>
      <c r="E1044" s="220" t="s">
        <v>1719</v>
      </c>
      <c r="F1044" s="220" t="s">
        <v>1749</v>
      </c>
      <c r="G1044" s="220" t="s">
        <v>1750</v>
      </c>
      <c r="H1044" s="231">
        <v>43922</v>
      </c>
    </row>
    <row r="1045" spans="1:8" customFormat="1">
      <c r="A1045" s="221">
        <v>43951</v>
      </c>
      <c r="B1045" s="217" t="s">
        <v>380</v>
      </c>
      <c r="C1045" s="218" t="s">
        <v>267</v>
      </c>
      <c r="D1045" s="219" t="s">
        <v>1751</v>
      </c>
      <c r="E1045" s="220" t="s">
        <v>1444</v>
      </c>
      <c r="F1045" s="220" t="s">
        <v>1728</v>
      </c>
      <c r="G1045" s="220" t="s">
        <v>1752</v>
      </c>
      <c r="H1045" s="231">
        <v>43949</v>
      </c>
    </row>
    <row r="1046" spans="1:8" customFormat="1">
      <c r="A1046" s="221">
        <v>43951</v>
      </c>
      <c r="B1046" s="217" t="s">
        <v>423</v>
      </c>
      <c r="C1046" s="218" t="s">
        <v>267</v>
      </c>
      <c r="D1046" s="219" t="s">
        <v>1655</v>
      </c>
      <c r="E1046" s="220" t="s">
        <v>1656</v>
      </c>
      <c r="F1046" s="220"/>
      <c r="G1046" s="220" t="s">
        <v>27</v>
      </c>
      <c r="H1046" s="231">
        <v>43950</v>
      </c>
    </row>
    <row r="1047" spans="1:8" customFormat="1" ht="21.9">
      <c r="A1047" s="221">
        <v>43887</v>
      </c>
      <c r="B1047" s="217" t="s">
        <v>309</v>
      </c>
      <c r="C1047" s="218" t="s">
        <v>1615</v>
      </c>
      <c r="D1047" s="219" t="s">
        <v>1295</v>
      </c>
      <c r="E1047" s="220" t="s">
        <v>1296</v>
      </c>
      <c r="F1047" s="220" t="s">
        <v>1297</v>
      </c>
      <c r="G1047" s="220" t="s">
        <v>1753</v>
      </c>
      <c r="H1047" s="231">
        <v>42948</v>
      </c>
    </row>
    <row r="1048" spans="1:8" customFormat="1">
      <c r="A1048" s="221">
        <v>43887</v>
      </c>
      <c r="B1048" s="217" t="s">
        <v>309</v>
      </c>
      <c r="C1048" s="218" t="s">
        <v>1615</v>
      </c>
      <c r="D1048" s="219" t="s">
        <v>1754</v>
      </c>
      <c r="E1048" s="220" t="s">
        <v>1755</v>
      </c>
      <c r="F1048" s="220" t="s">
        <v>1756</v>
      </c>
      <c r="G1048" s="220" t="s">
        <v>1757</v>
      </c>
      <c r="H1048" s="231">
        <v>43209</v>
      </c>
    </row>
    <row r="1049" spans="1:8" customFormat="1">
      <c r="A1049" s="221">
        <v>43887</v>
      </c>
      <c r="B1049" s="217" t="s">
        <v>309</v>
      </c>
      <c r="C1049" s="218" t="s">
        <v>267</v>
      </c>
      <c r="D1049" s="219" t="s">
        <v>959</v>
      </c>
      <c r="E1049" s="220" t="s">
        <v>960</v>
      </c>
      <c r="F1049" s="220"/>
      <c r="G1049" s="220" t="s">
        <v>27</v>
      </c>
      <c r="H1049" s="231">
        <v>43852</v>
      </c>
    </row>
    <row r="1050" spans="1:8" customFormat="1">
      <c r="A1050" s="221">
        <v>43887</v>
      </c>
      <c r="B1050" s="217" t="s">
        <v>423</v>
      </c>
      <c r="C1050" s="218" t="s">
        <v>1615</v>
      </c>
      <c r="D1050" s="219" t="s">
        <v>1758</v>
      </c>
      <c r="E1050" s="220" t="s">
        <v>1759</v>
      </c>
      <c r="F1050" s="220" t="s">
        <v>1760</v>
      </c>
      <c r="G1050" s="220" t="s">
        <v>1761</v>
      </c>
      <c r="H1050" s="231">
        <v>43868</v>
      </c>
    </row>
    <row r="1051" spans="1:8" customFormat="1">
      <c r="A1051" s="221">
        <v>43861</v>
      </c>
      <c r="B1051" s="217" t="s">
        <v>7</v>
      </c>
      <c r="C1051" s="218" t="s">
        <v>220</v>
      </c>
      <c r="D1051" s="219" t="s">
        <v>1762</v>
      </c>
      <c r="E1051" s="220" t="s">
        <v>1215</v>
      </c>
      <c r="F1051" s="220"/>
      <c r="G1051" s="220" t="s">
        <v>1763</v>
      </c>
      <c r="H1051" s="231">
        <v>43861</v>
      </c>
    </row>
    <row r="1052" spans="1:8" customFormat="1" ht="21.9">
      <c r="A1052" s="221">
        <v>43861</v>
      </c>
      <c r="B1052" s="217" t="s">
        <v>7</v>
      </c>
      <c r="C1052" s="218" t="s">
        <v>267</v>
      </c>
      <c r="D1052" s="219" t="s">
        <v>1764</v>
      </c>
      <c r="E1052" s="220" t="s">
        <v>1765</v>
      </c>
      <c r="F1052" s="220" t="s">
        <v>1766</v>
      </c>
      <c r="G1052" s="220" t="s">
        <v>166</v>
      </c>
      <c r="H1052" s="231">
        <v>43851</v>
      </c>
    </row>
    <row r="1053" spans="1:8" customFormat="1">
      <c r="A1053" s="221">
        <v>43861</v>
      </c>
      <c r="B1053" s="217" t="s">
        <v>7</v>
      </c>
      <c r="C1053" s="218" t="s">
        <v>267</v>
      </c>
      <c r="D1053" s="219" t="s">
        <v>1767</v>
      </c>
      <c r="E1053" s="220" t="s">
        <v>1673</v>
      </c>
      <c r="F1053" s="220" t="s">
        <v>1768</v>
      </c>
      <c r="G1053" s="220" t="s">
        <v>166</v>
      </c>
      <c r="H1053" s="231">
        <v>43767</v>
      </c>
    </row>
    <row r="1054" spans="1:8" customFormat="1" ht="21.9">
      <c r="A1054" s="221">
        <v>43861</v>
      </c>
      <c r="B1054" s="217" t="s">
        <v>7</v>
      </c>
      <c r="C1054" s="218" t="s">
        <v>267</v>
      </c>
      <c r="D1054" s="219" t="s">
        <v>1708</v>
      </c>
      <c r="E1054" s="220" t="s">
        <v>1709</v>
      </c>
      <c r="F1054" s="220" t="s">
        <v>1710</v>
      </c>
      <c r="G1054" s="220" t="s">
        <v>164</v>
      </c>
      <c r="H1054" s="231">
        <v>43767</v>
      </c>
    </row>
    <row r="1055" spans="1:8" customFormat="1">
      <c r="A1055" s="221">
        <v>43861</v>
      </c>
      <c r="B1055" s="217" t="s">
        <v>309</v>
      </c>
      <c r="C1055" s="218" t="s">
        <v>267</v>
      </c>
      <c r="D1055" s="219" t="s">
        <v>1387</v>
      </c>
      <c r="E1055" s="220" t="s">
        <v>1388</v>
      </c>
      <c r="F1055" s="220" t="s">
        <v>1389</v>
      </c>
      <c r="G1055" s="220" t="s">
        <v>164</v>
      </c>
      <c r="H1055" s="231">
        <v>43767</v>
      </c>
    </row>
    <row r="1056" spans="1:8" customFormat="1">
      <c r="A1056" s="221">
        <v>43861</v>
      </c>
      <c r="B1056" s="217" t="s">
        <v>309</v>
      </c>
      <c r="C1056" s="218" t="s">
        <v>267</v>
      </c>
      <c r="D1056" s="219" t="s">
        <v>1387</v>
      </c>
      <c r="E1056" s="220" t="s">
        <v>1388</v>
      </c>
      <c r="F1056" s="220" t="s">
        <v>1389</v>
      </c>
      <c r="G1056" s="220" t="s">
        <v>164</v>
      </c>
      <c r="H1056" s="231">
        <v>43767</v>
      </c>
    </row>
    <row r="1057" spans="1:8" customFormat="1">
      <c r="A1057" s="221">
        <v>43861</v>
      </c>
      <c r="B1057" s="217" t="s">
        <v>309</v>
      </c>
      <c r="C1057" s="218" t="s">
        <v>267</v>
      </c>
      <c r="D1057" s="219" t="s">
        <v>1769</v>
      </c>
      <c r="E1057" s="220" t="s">
        <v>1770</v>
      </c>
      <c r="F1057" s="220" t="s">
        <v>1771</v>
      </c>
      <c r="G1057" s="220" t="s">
        <v>164</v>
      </c>
      <c r="H1057" s="231">
        <v>43767</v>
      </c>
    </row>
    <row r="1058" spans="1:8" customFormat="1">
      <c r="A1058" s="221">
        <v>43861</v>
      </c>
      <c r="B1058" s="217" t="s">
        <v>380</v>
      </c>
      <c r="C1058" s="218" t="s">
        <v>267</v>
      </c>
      <c r="D1058" s="219" t="s">
        <v>1772</v>
      </c>
      <c r="E1058" s="220" t="s">
        <v>1773</v>
      </c>
      <c r="F1058" s="220" t="s">
        <v>1774</v>
      </c>
      <c r="G1058" s="220" t="s">
        <v>166</v>
      </c>
      <c r="H1058" s="231">
        <v>43858</v>
      </c>
    </row>
    <row r="1059" spans="1:8" customFormat="1">
      <c r="A1059" s="221">
        <v>43861</v>
      </c>
      <c r="B1059" s="217" t="s">
        <v>423</v>
      </c>
      <c r="C1059" s="218" t="s">
        <v>267</v>
      </c>
      <c r="D1059" s="219" t="s">
        <v>1507</v>
      </c>
      <c r="E1059" s="220" t="s">
        <v>1508</v>
      </c>
      <c r="F1059" s="220" t="s">
        <v>1509</v>
      </c>
      <c r="G1059" s="220" t="s">
        <v>164</v>
      </c>
      <c r="H1059" s="231">
        <v>43860</v>
      </c>
    </row>
    <row r="1060" spans="1:8" customFormat="1" ht="21.9">
      <c r="A1060" s="221">
        <v>43783</v>
      </c>
      <c r="B1060" s="217" t="s">
        <v>7</v>
      </c>
      <c r="C1060" s="218" t="s">
        <v>66</v>
      </c>
      <c r="D1060" s="219" t="s">
        <v>1070</v>
      </c>
      <c r="E1060" s="220" t="s">
        <v>1071</v>
      </c>
      <c r="F1060" s="220" t="s">
        <v>1072</v>
      </c>
      <c r="G1060" s="220" t="s">
        <v>1775</v>
      </c>
      <c r="H1060" s="231">
        <v>43602</v>
      </c>
    </row>
    <row r="1061" spans="1:8" customFormat="1" ht="21.9">
      <c r="A1061" s="221">
        <v>43783</v>
      </c>
      <c r="B1061" s="217" t="s">
        <v>7</v>
      </c>
      <c r="C1061" s="218" t="s">
        <v>66</v>
      </c>
      <c r="D1061" s="219" t="s">
        <v>1776</v>
      </c>
      <c r="E1061" s="220" t="s">
        <v>1071</v>
      </c>
      <c r="F1061" s="220" t="s">
        <v>1777</v>
      </c>
      <c r="G1061" s="220" t="s">
        <v>1775</v>
      </c>
      <c r="H1061" s="231">
        <v>43602</v>
      </c>
    </row>
    <row r="1062" spans="1:8" customFormat="1">
      <c r="A1062" s="221">
        <v>43783</v>
      </c>
      <c r="B1062" s="217" t="s">
        <v>7</v>
      </c>
      <c r="C1062" s="218" t="s">
        <v>267</v>
      </c>
      <c r="D1062" s="219" t="s">
        <v>1584</v>
      </c>
      <c r="E1062" s="220" t="s">
        <v>1669</v>
      </c>
      <c r="F1062" s="220"/>
      <c r="G1062" s="220" t="s">
        <v>27</v>
      </c>
      <c r="H1062" s="231">
        <v>43767</v>
      </c>
    </row>
    <row r="1063" spans="1:8" customFormat="1" ht="21.9">
      <c r="A1063" s="221">
        <v>43783</v>
      </c>
      <c r="B1063" s="217" t="s">
        <v>7</v>
      </c>
      <c r="C1063" s="218" t="s">
        <v>267</v>
      </c>
      <c r="D1063" s="219" t="s">
        <v>1592</v>
      </c>
      <c r="E1063" s="220" t="s">
        <v>1593</v>
      </c>
      <c r="F1063" s="220"/>
      <c r="G1063" s="220" t="s">
        <v>27</v>
      </c>
      <c r="H1063" s="231">
        <v>43767</v>
      </c>
    </row>
    <row r="1064" spans="1:8" customFormat="1" ht="21.9">
      <c r="A1064" s="221">
        <v>43783</v>
      </c>
      <c r="B1064" s="217" t="s">
        <v>380</v>
      </c>
      <c r="C1064" s="218" t="s">
        <v>66</v>
      </c>
      <c r="D1064" s="219" t="s">
        <v>1778</v>
      </c>
      <c r="E1064" s="220" t="s">
        <v>1759</v>
      </c>
      <c r="F1064" s="220" t="s">
        <v>1779</v>
      </c>
      <c r="G1064" s="220" t="s">
        <v>1775</v>
      </c>
      <c r="H1064" s="231">
        <v>43602</v>
      </c>
    </row>
    <row r="1065" spans="1:8" customFormat="1" ht="21.9">
      <c r="A1065" s="221">
        <v>43783</v>
      </c>
      <c r="B1065" s="217" t="s">
        <v>380</v>
      </c>
      <c r="C1065" s="218" t="s">
        <v>66</v>
      </c>
      <c r="D1065" s="219" t="s">
        <v>1780</v>
      </c>
      <c r="E1065" s="220" t="s">
        <v>1759</v>
      </c>
      <c r="F1065" s="220" t="s">
        <v>1781</v>
      </c>
      <c r="G1065" s="220" t="s">
        <v>1775</v>
      </c>
      <c r="H1065" s="231">
        <v>43636</v>
      </c>
    </row>
    <row r="1066" spans="1:8" customFormat="1">
      <c r="A1066" s="221">
        <v>43783</v>
      </c>
      <c r="B1066" s="217" t="s">
        <v>380</v>
      </c>
      <c r="C1066" s="218" t="s">
        <v>267</v>
      </c>
      <c r="D1066" s="219" t="s">
        <v>1782</v>
      </c>
      <c r="E1066" s="220" t="s">
        <v>1783</v>
      </c>
      <c r="F1066" s="220" t="s">
        <v>1784</v>
      </c>
      <c r="G1066" s="220" t="s">
        <v>27</v>
      </c>
      <c r="H1066" s="231">
        <v>43767</v>
      </c>
    </row>
    <row r="1067" spans="1:8" customFormat="1">
      <c r="A1067" s="221">
        <v>43783</v>
      </c>
      <c r="B1067" s="217" t="s">
        <v>380</v>
      </c>
      <c r="C1067" s="218" t="s">
        <v>1574</v>
      </c>
      <c r="D1067" s="219" t="s">
        <v>1265</v>
      </c>
      <c r="E1067" s="220" t="s">
        <v>391</v>
      </c>
      <c r="F1067" s="220"/>
      <c r="G1067" s="220" t="s">
        <v>1785</v>
      </c>
      <c r="H1067" s="231">
        <v>43767</v>
      </c>
    </row>
    <row r="1068" spans="1:8" customFormat="1" ht="21.9">
      <c r="A1068" s="221">
        <v>43783</v>
      </c>
      <c r="B1068" s="217" t="s">
        <v>894</v>
      </c>
      <c r="C1068" s="218" t="s">
        <v>64</v>
      </c>
      <c r="D1068" s="219" t="s">
        <v>894</v>
      </c>
      <c r="E1068" s="220" t="s">
        <v>894</v>
      </c>
      <c r="F1068" s="220" t="s">
        <v>894</v>
      </c>
      <c r="G1068" s="220" t="s">
        <v>1786</v>
      </c>
      <c r="H1068" s="231">
        <v>43783</v>
      </c>
    </row>
    <row r="1069" spans="1:8" customFormat="1" ht="21.9">
      <c r="A1069" s="221">
        <v>43783</v>
      </c>
      <c r="B1069" s="217" t="s">
        <v>423</v>
      </c>
      <c r="C1069" s="218" t="s">
        <v>1636</v>
      </c>
      <c r="D1069" s="219" t="s">
        <v>823</v>
      </c>
      <c r="E1069" s="220" t="s">
        <v>824</v>
      </c>
      <c r="F1069" s="220" t="s">
        <v>1023</v>
      </c>
      <c r="G1069" s="220" t="s">
        <v>1787</v>
      </c>
      <c r="H1069" s="231">
        <v>43664</v>
      </c>
    </row>
    <row r="1070" spans="1:8" customFormat="1" ht="21.9">
      <c r="A1070" s="221">
        <v>43783</v>
      </c>
      <c r="B1070" s="217" t="s">
        <v>423</v>
      </c>
      <c r="C1070" s="218" t="s">
        <v>66</v>
      </c>
      <c r="D1070" s="219" t="s">
        <v>1758</v>
      </c>
      <c r="E1070" s="220" t="s">
        <v>1759</v>
      </c>
      <c r="F1070" s="220" t="s">
        <v>1788</v>
      </c>
      <c r="G1070" s="220" t="s">
        <v>1775</v>
      </c>
      <c r="H1070" s="231">
        <v>43637</v>
      </c>
    </row>
    <row r="1071" spans="1:8" customFormat="1" ht="52.75">
      <c r="A1071" s="221">
        <v>43783</v>
      </c>
      <c r="B1071" s="217" t="s">
        <v>423</v>
      </c>
      <c r="C1071" s="218" t="s">
        <v>1615</v>
      </c>
      <c r="D1071" s="219" t="s">
        <v>1700</v>
      </c>
      <c r="E1071" s="220" t="s">
        <v>1789</v>
      </c>
      <c r="F1071" s="220"/>
      <c r="G1071" s="220" t="s">
        <v>1790</v>
      </c>
      <c r="H1071" s="231">
        <v>43776</v>
      </c>
    </row>
    <row r="1072" spans="1:8" customFormat="1" ht="21.9">
      <c r="A1072" s="221">
        <v>43783</v>
      </c>
      <c r="B1072" s="217" t="s">
        <v>423</v>
      </c>
      <c r="C1072" s="218" t="s">
        <v>267</v>
      </c>
      <c r="D1072" s="219" t="s">
        <v>1557</v>
      </c>
      <c r="E1072" s="220" t="s">
        <v>1558</v>
      </c>
      <c r="F1072" s="220"/>
      <c r="G1072" s="220" t="s">
        <v>27</v>
      </c>
      <c r="H1072" s="231">
        <v>43767</v>
      </c>
    </row>
    <row r="1073" spans="1:8" customFormat="1" ht="52.75">
      <c r="A1073" s="221">
        <v>43783</v>
      </c>
      <c r="B1073" s="217" t="s">
        <v>423</v>
      </c>
      <c r="C1073" s="218" t="s">
        <v>1574</v>
      </c>
      <c r="D1073" s="219" t="s">
        <v>1700</v>
      </c>
      <c r="E1073" s="220" t="s">
        <v>1789</v>
      </c>
      <c r="F1073" s="220" t="s">
        <v>1702</v>
      </c>
      <c r="G1073" s="220" t="s">
        <v>1791</v>
      </c>
      <c r="H1073" s="231">
        <v>43776</v>
      </c>
    </row>
    <row r="1074" spans="1:8" customFormat="1" ht="42.45">
      <c r="A1074" s="221">
        <v>43783</v>
      </c>
      <c r="B1074" s="217" t="s">
        <v>423</v>
      </c>
      <c r="C1074" s="218" t="s">
        <v>1574</v>
      </c>
      <c r="D1074" s="219" t="s">
        <v>1758</v>
      </c>
      <c r="E1074" s="220" t="s">
        <v>1759</v>
      </c>
      <c r="F1074" s="220" t="s">
        <v>1792</v>
      </c>
      <c r="G1074" s="220" t="s">
        <v>1793</v>
      </c>
      <c r="H1074" s="231">
        <v>43661</v>
      </c>
    </row>
    <row r="1075" spans="1:8" customFormat="1">
      <c r="A1075" s="221">
        <v>43684</v>
      </c>
      <c r="B1075" s="217" t="s">
        <v>7</v>
      </c>
      <c r="C1075" s="218" t="s">
        <v>66</v>
      </c>
      <c r="D1075" s="219" t="s">
        <v>1299</v>
      </c>
      <c r="E1075" s="220" t="s">
        <v>1300</v>
      </c>
      <c r="F1075" s="220"/>
      <c r="G1075" s="220" t="s">
        <v>1794</v>
      </c>
      <c r="H1075" s="231">
        <v>43679</v>
      </c>
    </row>
    <row r="1076" spans="1:8" customFormat="1">
      <c r="A1076" s="221">
        <v>43684</v>
      </c>
      <c r="B1076" s="217" t="s">
        <v>7</v>
      </c>
      <c r="C1076" s="218" t="s">
        <v>1574</v>
      </c>
      <c r="D1076" s="219" t="s">
        <v>1299</v>
      </c>
      <c r="E1076" s="220" t="s">
        <v>1300</v>
      </c>
      <c r="F1076" s="220"/>
      <c r="G1076" s="220" t="s">
        <v>1795</v>
      </c>
      <c r="H1076" s="231">
        <v>43679</v>
      </c>
    </row>
    <row r="1077" spans="1:8" customFormat="1">
      <c r="A1077" s="221">
        <v>43684</v>
      </c>
      <c r="B1077" s="217" t="s">
        <v>380</v>
      </c>
      <c r="C1077" s="218" t="s">
        <v>66</v>
      </c>
      <c r="D1077" s="219" t="s">
        <v>1265</v>
      </c>
      <c r="E1077" s="220" t="s">
        <v>391</v>
      </c>
      <c r="F1077" s="220"/>
      <c r="G1077" s="220" t="s">
        <v>1794</v>
      </c>
      <c r="H1077" s="231">
        <v>43682</v>
      </c>
    </row>
    <row r="1078" spans="1:8" customFormat="1">
      <c r="A1078" s="221">
        <v>43675</v>
      </c>
      <c r="B1078" s="217" t="s">
        <v>309</v>
      </c>
      <c r="C1078" s="218" t="s">
        <v>220</v>
      </c>
      <c r="D1078" s="219" t="s">
        <v>1796</v>
      </c>
      <c r="E1078" s="220" t="s">
        <v>1797</v>
      </c>
      <c r="F1078" s="220"/>
      <c r="G1078" s="220" t="s">
        <v>1763</v>
      </c>
      <c r="H1078" s="231">
        <v>43312</v>
      </c>
    </row>
    <row r="1079" spans="1:8" customFormat="1">
      <c r="A1079" s="221">
        <v>43675</v>
      </c>
      <c r="B1079" s="217" t="s">
        <v>309</v>
      </c>
      <c r="C1079" s="218" t="s">
        <v>11</v>
      </c>
      <c r="D1079" s="219" t="s">
        <v>1619</v>
      </c>
      <c r="E1079" s="220" t="s">
        <v>1798</v>
      </c>
      <c r="F1079" s="220"/>
      <c r="G1079" s="220" t="s">
        <v>1799</v>
      </c>
      <c r="H1079" s="231">
        <v>43591</v>
      </c>
    </row>
    <row r="1080" spans="1:8" customFormat="1">
      <c r="A1080" s="221">
        <v>43675</v>
      </c>
      <c r="B1080" s="217" t="s">
        <v>380</v>
      </c>
      <c r="C1080" s="218" t="s">
        <v>220</v>
      </c>
      <c r="D1080" s="219" t="s">
        <v>1800</v>
      </c>
      <c r="E1080" s="220" t="s">
        <v>1094</v>
      </c>
      <c r="F1080" s="220" t="s">
        <v>557</v>
      </c>
      <c r="G1080" s="220" t="s">
        <v>1763</v>
      </c>
      <c r="H1080" s="231">
        <v>43312</v>
      </c>
    </row>
    <row r="1081" spans="1:8" customFormat="1">
      <c r="A1081" s="221">
        <v>43675</v>
      </c>
      <c r="B1081" s="217" t="s">
        <v>380</v>
      </c>
      <c r="C1081" s="218" t="s">
        <v>1801</v>
      </c>
      <c r="D1081" s="219" t="s">
        <v>1802</v>
      </c>
      <c r="E1081" s="220" t="s">
        <v>1803</v>
      </c>
      <c r="F1081" s="220" t="s">
        <v>1804</v>
      </c>
      <c r="G1081" s="220" t="s">
        <v>1805</v>
      </c>
      <c r="H1081" s="231">
        <v>43647</v>
      </c>
    </row>
    <row r="1082" spans="1:8" customFormat="1">
      <c r="A1082" s="221">
        <v>43675</v>
      </c>
      <c r="B1082" s="217" t="s">
        <v>423</v>
      </c>
      <c r="C1082" s="218" t="s">
        <v>1574</v>
      </c>
      <c r="D1082" s="219" t="s">
        <v>1806</v>
      </c>
      <c r="E1082" s="220" t="s">
        <v>296</v>
      </c>
      <c r="F1082" s="220" t="s">
        <v>1807</v>
      </c>
      <c r="G1082" s="220" t="s">
        <v>1808</v>
      </c>
      <c r="H1082" s="231">
        <v>43150</v>
      </c>
    </row>
    <row r="1083" spans="1:8" customFormat="1" ht="21.9">
      <c r="A1083" s="221">
        <v>43664</v>
      </c>
      <c r="B1083" s="217" t="s">
        <v>7</v>
      </c>
      <c r="C1083" s="218" t="s">
        <v>1809</v>
      </c>
      <c r="D1083" s="219" t="s">
        <v>1810</v>
      </c>
      <c r="E1083" s="220" t="s">
        <v>1811</v>
      </c>
      <c r="F1083" s="220" t="s">
        <v>1812</v>
      </c>
      <c r="G1083" s="220" t="s">
        <v>1813</v>
      </c>
      <c r="H1083" s="231">
        <v>43591</v>
      </c>
    </row>
    <row r="1084" spans="1:8" customFormat="1">
      <c r="A1084" s="221">
        <v>43664</v>
      </c>
      <c r="B1084" s="217" t="s">
        <v>7</v>
      </c>
      <c r="C1084" s="218" t="s">
        <v>1809</v>
      </c>
      <c r="D1084" s="219" t="s">
        <v>1814</v>
      </c>
      <c r="E1084" s="220" t="s">
        <v>1815</v>
      </c>
      <c r="F1084" s="220" t="s">
        <v>1816</v>
      </c>
      <c r="G1084" s="220" t="s">
        <v>1813</v>
      </c>
      <c r="H1084" s="231">
        <v>43602</v>
      </c>
    </row>
    <row r="1085" spans="1:8" customFormat="1">
      <c r="A1085" s="221">
        <v>43664</v>
      </c>
      <c r="B1085" s="217" t="s">
        <v>7</v>
      </c>
      <c r="C1085" s="218" t="s">
        <v>1615</v>
      </c>
      <c r="D1085" s="219" t="s">
        <v>1817</v>
      </c>
      <c r="E1085" s="220" t="s">
        <v>1818</v>
      </c>
      <c r="F1085" s="220" t="s">
        <v>1819</v>
      </c>
      <c r="G1085" s="220" t="s">
        <v>1820</v>
      </c>
      <c r="H1085" s="231">
        <v>43204</v>
      </c>
    </row>
    <row r="1086" spans="1:8" customFormat="1">
      <c r="A1086" s="221">
        <v>43664</v>
      </c>
      <c r="B1086" s="217" t="s">
        <v>7</v>
      </c>
      <c r="C1086" s="218" t="s">
        <v>1615</v>
      </c>
      <c r="D1086" s="219" t="s">
        <v>1821</v>
      </c>
      <c r="E1086" s="220" t="s">
        <v>1822</v>
      </c>
      <c r="F1086" s="220" t="s">
        <v>1823</v>
      </c>
      <c r="G1086" s="220" t="s">
        <v>1824</v>
      </c>
      <c r="H1086" s="231">
        <v>43600</v>
      </c>
    </row>
    <row r="1087" spans="1:8" customFormat="1" ht="21.9">
      <c r="A1087" s="221">
        <v>43664</v>
      </c>
      <c r="B1087" s="217" t="s">
        <v>7</v>
      </c>
      <c r="C1087" s="218" t="s">
        <v>1615</v>
      </c>
      <c r="D1087" s="219" t="s">
        <v>1764</v>
      </c>
      <c r="E1087" s="220" t="s">
        <v>1765</v>
      </c>
      <c r="F1087" s="220" t="s">
        <v>1825</v>
      </c>
      <c r="G1087" s="220" t="s">
        <v>1826</v>
      </c>
      <c r="H1087" s="231">
        <v>43629</v>
      </c>
    </row>
    <row r="1088" spans="1:8" customFormat="1">
      <c r="A1088" s="221">
        <v>43664</v>
      </c>
      <c r="B1088" s="217" t="s">
        <v>7</v>
      </c>
      <c r="C1088" s="218" t="s">
        <v>1615</v>
      </c>
      <c r="D1088" s="219" t="s">
        <v>631</v>
      </c>
      <c r="E1088" s="220" t="s">
        <v>632</v>
      </c>
      <c r="F1088" s="220" t="s">
        <v>1827</v>
      </c>
      <c r="G1088" s="220" t="s">
        <v>1828</v>
      </c>
      <c r="H1088" s="231">
        <v>43623</v>
      </c>
    </row>
    <row r="1089" spans="1:8" customFormat="1">
      <c r="A1089" s="221">
        <v>43664</v>
      </c>
      <c r="B1089" s="217" t="s">
        <v>7</v>
      </c>
      <c r="C1089" s="218" t="s">
        <v>1615</v>
      </c>
      <c r="D1089" s="219" t="s">
        <v>1554</v>
      </c>
      <c r="E1089" s="220" t="s">
        <v>1829</v>
      </c>
      <c r="F1089" s="220" t="s">
        <v>833</v>
      </c>
      <c r="G1089" s="220" t="s">
        <v>1830</v>
      </c>
      <c r="H1089" s="231">
        <v>43605</v>
      </c>
    </row>
    <row r="1090" spans="1:8" customFormat="1">
      <c r="A1090" s="221">
        <v>43664</v>
      </c>
      <c r="B1090" s="217" t="s">
        <v>7</v>
      </c>
      <c r="C1090" s="218" t="s">
        <v>1615</v>
      </c>
      <c r="D1090" s="219" t="s">
        <v>1831</v>
      </c>
      <c r="E1090" s="220" t="s">
        <v>1573</v>
      </c>
      <c r="F1090" s="220" t="s">
        <v>1832</v>
      </c>
      <c r="G1090" s="220" t="s">
        <v>1833</v>
      </c>
      <c r="H1090" s="231">
        <v>43202</v>
      </c>
    </row>
    <row r="1091" spans="1:8" customFormat="1">
      <c r="A1091" s="221">
        <v>43664</v>
      </c>
      <c r="B1091" s="217" t="s">
        <v>7</v>
      </c>
      <c r="C1091" s="218" t="s">
        <v>267</v>
      </c>
      <c r="D1091" s="219" t="s">
        <v>1834</v>
      </c>
      <c r="E1091" s="220" t="s">
        <v>1835</v>
      </c>
      <c r="F1091" s="220"/>
      <c r="G1091" s="220" t="s">
        <v>1647</v>
      </c>
      <c r="H1091" s="231">
        <v>43663</v>
      </c>
    </row>
    <row r="1092" spans="1:8" customFormat="1">
      <c r="A1092" s="221">
        <v>43664</v>
      </c>
      <c r="B1092" s="217" t="s">
        <v>7</v>
      </c>
      <c r="C1092" s="218" t="s">
        <v>267</v>
      </c>
      <c r="D1092" s="219" t="s">
        <v>1836</v>
      </c>
      <c r="E1092" s="220" t="s">
        <v>636</v>
      </c>
      <c r="F1092" s="220"/>
      <c r="G1092" s="220" t="s">
        <v>1647</v>
      </c>
      <c r="H1092" s="231">
        <v>43663</v>
      </c>
    </row>
    <row r="1093" spans="1:8" customFormat="1">
      <c r="A1093" s="221">
        <v>43664</v>
      </c>
      <c r="B1093" s="217" t="s">
        <v>7</v>
      </c>
      <c r="C1093" s="218" t="s">
        <v>267</v>
      </c>
      <c r="D1093" s="219" t="s">
        <v>1837</v>
      </c>
      <c r="E1093" s="220" t="s">
        <v>1838</v>
      </c>
      <c r="F1093" s="220"/>
      <c r="G1093" s="220" t="s">
        <v>1647</v>
      </c>
      <c r="H1093" s="231">
        <v>43663</v>
      </c>
    </row>
    <row r="1094" spans="1:8" customFormat="1">
      <c r="A1094" s="221">
        <v>43664</v>
      </c>
      <c r="B1094" s="217" t="s">
        <v>7</v>
      </c>
      <c r="C1094" s="218" t="s">
        <v>267</v>
      </c>
      <c r="D1094" s="219" t="s">
        <v>1674</v>
      </c>
      <c r="E1094" s="220" t="s">
        <v>1839</v>
      </c>
      <c r="F1094" s="220"/>
      <c r="G1094" s="220" t="s">
        <v>1840</v>
      </c>
      <c r="H1094" s="231">
        <v>43641</v>
      </c>
    </row>
    <row r="1095" spans="1:8" customFormat="1">
      <c r="A1095" s="221">
        <v>43664</v>
      </c>
      <c r="B1095" s="217" t="s">
        <v>7</v>
      </c>
      <c r="C1095" s="218" t="s">
        <v>267</v>
      </c>
      <c r="D1095" s="219" t="s">
        <v>1365</v>
      </c>
      <c r="E1095" s="220" t="s">
        <v>218</v>
      </c>
      <c r="F1095" s="220" t="s">
        <v>833</v>
      </c>
      <c r="G1095" s="220" t="s">
        <v>1840</v>
      </c>
      <c r="H1095" s="231">
        <v>43637</v>
      </c>
    </row>
    <row r="1096" spans="1:8" customFormat="1">
      <c r="A1096" s="221">
        <v>43664</v>
      </c>
      <c r="B1096" s="217" t="s">
        <v>7</v>
      </c>
      <c r="C1096" s="218" t="s">
        <v>267</v>
      </c>
      <c r="D1096" s="219" t="s">
        <v>1841</v>
      </c>
      <c r="E1096" s="220"/>
      <c r="F1096" s="220"/>
      <c r="G1096" s="220" t="s">
        <v>1647</v>
      </c>
      <c r="H1096" s="231">
        <v>43663</v>
      </c>
    </row>
    <row r="1097" spans="1:8" customFormat="1">
      <c r="A1097" s="221">
        <v>43664</v>
      </c>
      <c r="B1097" s="217" t="s">
        <v>7</v>
      </c>
      <c r="C1097" s="218" t="s">
        <v>267</v>
      </c>
      <c r="D1097" s="219" t="s">
        <v>1842</v>
      </c>
      <c r="E1097" s="220" t="s">
        <v>1843</v>
      </c>
      <c r="F1097" s="220"/>
      <c r="G1097" s="220" t="s">
        <v>1647</v>
      </c>
      <c r="H1097" s="231">
        <v>43663</v>
      </c>
    </row>
    <row r="1098" spans="1:8" customFormat="1">
      <c r="A1098" s="221">
        <v>43664</v>
      </c>
      <c r="B1098" s="217" t="s">
        <v>309</v>
      </c>
      <c r="C1098" s="218" t="s">
        <v>1809</v>
      </c>
      <c r="D1098" s="219" t="s">
        <v>1844</v>
      </c>
      <c r="E1098" s="220" t="s">
        <v>1845</v>
      </c>
      <c r="F1098" s="220" t="s">
        <v>1846</v>
      </c>
      <c r="G1098" s="220" t="s">
        <v>1813</v>
      </c>
      <c r="H1098" s="231">
        <v>43621</v>
      </c>
    </row>
    <row r="1099" spans="1:8" customFormat="1" ht="21.9">
      <c r="A1099" s="221">
        <v>43664</v>
      </c>
      <c r="B1099" s="217" t="s">
        <v>309</v>
      </c>
      <c r="C1099" s="218" t="s">
        <v>1809</v>
      </c>
      <c r="D1099" s="219" t="s">
        <v>1847</v>
      </c>
      <c r="E1099" s="220" t="s">
        <v>1848</v>
      </c>
      <c r="F1099" s="220" t="s">
        <v>1849</v>
      </c>
      <c r="G1099" s="220" t="s">
        <v>1813</v>
      </c>
      <c r="H1099" s="231">
        <v>43640</v>
      </c>
    </row>
    <row r="1100" spans="1:8" customFormat="1">
      <c r="A1100" s="221">
        <v>43664</v>
      </c>
      <c r="B1100" s="217" t="s">
        <v>309</v>
      </c>
      <c r="C1100" s="218" t="s">
        <v>1809</v>
      </c>
      <c r="D1100" s="219" t="s">
        <v>1850</v>
      </c>
      <c r="E1100" s="220" t="s">
        <v>1100</v>
      </c>
      <c r="F1100" s="220" t="s">
        <v>1851</v>
      </c>
      <c r="G1100" s="220" t="s">
        <v>1813</v>
      </c>
      <c r="H1100" s="231">
        <v>43558</v>
      </c>
    </row>
    <row r="1101" spans="1:8" customFormat="1">
      <c r="A1101" s="221">
        <v>43664</v>
      </c>
      <c r="B1101" s="217" t="s">
        <v>309</v>
      </c>
      <c r="C1101" s="218" t="s">
        <v>1809</v>
      </c>
      <c r="D1101" s="219" t="s">
        <v>1852</v>
      </c>
      <c r="E1101" s="220" t="s">
        <v>1853</v>
      </c>
      <c r="F1101" s="220" t="s">
        <v>1854</v>
      </c>
      <c r="G1101" s="220" t="s">
        <v>1813</v>
      </c>
      <c r="H1101" s="231">
        <v>43585</v>
      </c>
    </row>
    <row r="1102" spans="1:8" customFormat="1">
      <c r="A1102" s="221">
        <v>43664</v>
      </c>
      <c r="B1102" s="217" t="s">
        <v>309</v>
      </c>
      <c r="C1102" s="218" t="s">
        <v>1809</v>
      </c>
      <c r="D1102" s="219" t="s">
        <v>1855</v>
      </c>
      <c r="E1102" s="220" t="s">
        <v>1856</v>
      </c>
      <c r="F1102" s="220" t="s">
        <v>1857</v>
      </c>
      <c r="G1102" s="220" t="s">
        <v>1813</v>
      </c>
      <c r="H1102" s="231">
        <v>43209.352256944447</v>
      </c>
    </row>
    <row r="1103" spans="1:8" customFormat="1">
      <c r="A1103" s="221">
        <v>43664</v>
      </c>
      <c r="B1103" s="217" t="s">
        <v>309</v>
      </c>
      <c r="C1103" s="218" t="s">
        <v>1809</v>
      </c>
      <c r="D1103" s="219" t="s">
        <v>1858</v>
      </c>
      <c r="E1103" s="220" t="s">
        <v>1859</v>
      </c>
      <c r="F1103" s="220" t="s">
        <v>1860</v>
      </c>
      <c r="G1103" s="220" t="s">
        <v>1813</v>
      </c>
      <c r="H1103" s="231">
        <v>43585</v>
      </c>
    </row>
    <row r="1104" spans="1:8" customFormat="1">
      <c r="A1104" s="221">
        <v>43664</v>
      </c>
      <c r="B1104" s="217" t="s">
        <v>309</v>
      </c>
      <c r="C1104" s="218" t="s">
        <v>1809</v>
      </c>
      <c r="D1104" s="219" t="s">
        <v>1861</v>
      </c>
      <c r="E1104" s="220" t="s">
        <v>1100</v>
      </c>
      <c r="F1104" s="220" t="s">
        <v>1862</v>
      </c>
      <c r="G1104" s="220" t="s">
        <v>1813</v>
      </c>
      <c r="H1104" s="231">
        <v>43204</v>
      </c>
    </row>
    <row r="1105" spans="1:8" customFormat="1">
      <c r="A1105" s="221">
        <v>43664</v>
      </c>
      <c r="B1105" s="217" t="s">
        <v>309</v>
      </c>
      <c r="C1105" s="218" t="s">
        <v>1809</v>
      </c>
      <c r="D1105" s="219" t="s">
        <v>1863</v>
      </c>
      <c r="E1105" s="220" t="s">
        <v>1864</v>
      </c>
      <c r="F1105" s="220" t="s">
        <v>1865</v>
      </c>
      <c r="G1105" s="220" t="s">
        <v>1813</v>
      </c>
      <c r="H1105" s="231">
        <v>43621</v>
      </c>
    </row>
    <row r="1106" spans="1:8" customFormat="1">
      <c r="A1106" s="221">
        <v>43664</v>
      </c>
      <c r="B1106" s="217" t="s">
        <v>309</v>
      </c>
      <c r="C1106" s="218" t="s">
        <v>1615</v>
      </c>
      <c r="D1106" s="219" t="s">
        <v>1866</v>
      </c>
      <c r="E1106" s="220" t="s">
        <v>1867</v>
      </c>
      <c r="F1106" s="220" t="s">
        <v>1868</v>
      </c>
      <c r="G1106" s="220" t="s">
        <v>1869</v>
      </c>
      <c r="H1106" s="231">
        <v>43602</v>
      </c>
    </row>
    <row r="1107" spans="1:8" customFormat="1">
      <c r="A1107" s="221">
        <v>43664</v>
      </c>
      <c r="B1107" s="217" t="s">
        <v>309</v>
      </c>
      <c r="C1107" s="218" t="s">
        <v>1615</v>
      </c>
      <c r="D1107" s="219" t="s">
        <v>1870</v>
      </c>
      <c r="E1107" s="220" t="s">
        <v>1871</v>
      </c>
      <c r="F1107" s="220" t="s">
        <v>1872</v>
      </c>
      <c r="G1107" s="220" t="s">
        <v>1873</v>
      </c>
      <c r="H1107" s="231">
        <v>43602</v>
      </c>
    </row>
    <row r="1108" spans="1:8" customFormat="1">
      <c r="A1108" s="221">
        <v>43664</v>
      </c>
      <c r="B1108" s="217" t="s">
        <v>309</v>
      </c>
      <c r="C1108" s="218" t="s">
        <v>1615</v>
      </c>
      <c r="D1108" s="219" t="s">
        <v>1769</v>
      </c>
      <c r="E1108" s="220" t="s">
        <v>1770</v>
      </c>
      <c r="F1108" s="220" t="s">
        <v>1771</v>
      </c>
      <c r="G1108" s="220" t="s">
        <v>1874</v>
      </c>
      <c r="H1108" s="231">
        <v>43622</v>
      </c>
    </row>
    <row r="1109" spans="1:8" customFormat="1">
      <c r="A1109" s="221">
        <v>43664</v>
      </c>
      <c r="B1109" s="217" t="s">
        <v>309</v>
      </c>
      <c r="C1109" s="218" t="s">
        <v>267</v>
      </c>
      <c r="D1109" s="219" t="s">
        <v>1715</v>
      </c>
      <c r="E1109" s="220" t="s">
        <v>1599</v>
      </c>
      <c r="F1109" s="220"/>
      <c r="G1109" s="220" t="s">
        <v>1647</v>
      </c>
      <c r="H1109" s="231">
        <v>43663</v>
      </c>
    </row>
    <row r="1110" spans="1:8" customFormat="1">
      <c r="A1110" s="221">
        <v>43664</v>
      </c>
      <c r="B1110" s="217" t="s">
        <v>309</v>
      </c>
      <c r="C1110" s="218" t="s">
        <v>267</v>
      </c>
      <c r="D1110" s="219" t="s">
        <v>1875</v>
      </c>
      <c r="E1110" s="220" t="s">
        <v>687</v>
      </c>
      <c r="F1110" s="220"/>
      <c r="G1110" s="220" t="s">
        <v>1647</v>
      </c>
      <c r="H1110" s="231">
        <v>43663</v>
      </c>
    </row>
    <row r="1111" spans="1:8" customFormat="1" ht="21.9">
      <c r="A1111" s="221">
        <v>43664</v>
      </c>
      <c r="B1111" s="217" t="s">
        <v>309</v>
      </c>
      <c r="C1111" s="218" t="s">
        <v>267</v>
      </c>
      <c r="D1111" s="219" t="s">
        <v>1619</v>
      </c>
      <c r="E1111" s="220" t="s">
        <v>1876</v>
      </c>
      <c r="F1111" s="220"/>
      <c r="G1111" s="220" t="s">
        <v>1840</v>
      </c>
      <c r="H1111" s="231">
        <v>43591</v>
      </c>
    </row>
    <row r="1112" spans="1:8" customFormat="1">
      <c r="A1112" s="221">
        <v>43664</v>
      </c>
      <c r="B1112" s="217" t="s">
        <v>309</v>
      </c>
      <c r="C1112" s="218" t="s">
        <v>267</v>
      </c>
      <c r="D1112" s="219" t="s">
        <v>1877</v>
      </c>
      <c r="E1112" s="220" t="s">
        <v>1878</v>
      </c>
      <c r="F1112" s="220"/>
      <c r="G1112" s="220" t="s">
        <v>1879</v>
      </c>
      <c r="H1112" s="231">
        <v>42549</v>
      </c>
    </row>
    <row r="1113" spans="1:8" customFormat="1">
      <c r="A1113" s="221">
        <v>43664</v>
      </c>
      <c r="B1113" s="217" t="s">
        <v>309</v>
      </c>
      <c r="C1113" s="218" t="s">
        <v>267</v>
      </c>
      <c r="D1113" s="219" t="s">
        <v>1880</v>
      </c>
      <c r="E1113" s="220" t="s">
        <v>1100</v>
      </c>
      <c r="F1113" s="220"/>
      <c r="G1113" s="220" t="s">
        <v>1647</v>
      </c>
      <c r="H1113" s="231">
        <v>43663</v>
      </c>
    </row>
    <row r="1114" spans="1:8" customFormat="1">
      <c r="A1114" s="221">
        <v>43664</v>
      </c>
      <c r="B1114" s="217" t="s">
        <v>380</v>
      </c>
      <c r="C1114" s="218" t="s">
        <v>1809</v>
      </c>
      <c r="D1114" s="219" t="s">
        <v>1727</v>
      </c>
      <c r="E1114" s="220" t="s">
        <v>1444</v>
      </c>
      <c r="F1114" s="220" t="s">
        <v>1881</v>
      </c>
      <c r="G1114" s="220" t="s">
        <v>1813</v>
      </c>
      <c r="H1114" s="231">
        <v>43150.159699074073</v>
      </c>
    </row>
    <row r="1115" spans="1:8" customFormat="1">
      <c r="A1115" s="221">
        <v>43664</v>
      </c>
      <c r="B1115" s="217" t="s">
        <v>380</v>
      </c>
      <c r="C1115" s="218" t="s">
        <v>1809</v>
      </c>
      <c r="D1115" s="219" t="s">
        <v>1802</v>
      </c>
      <c r="E1115" s="220" t="s">
        <v>1803</v>
      </c>
      <c r="F1115" s="220" t="s">
        <v>1882</v>
      </c>
      <c r="G1115" s="220" t="s">
        <v>1813</v>
      </c>
      <c r="H1115" s="231">
        <v>43647</v>
      </c>
    </row>
    <row r="1116" spans="1:8" customFormat="1">
      <c r="A1116" s="221">
        <v>43664</v>
      </c>
      <c r="B1116" s="217" t="s">
        <v>380</v>
      </c>
      <c r="C1116" s="218" t="s">
        <v>1615</v>
      </c>
      <c r="D1116" s="219" t="s">
        <v>1883</v>
      </c>
      <c r="E1116" s="220" t="s">
        <v>1403</v>
      </c>
      <c r="F1116" s="220" t="s">
        <v>1884</v>
      </c>
      <c r="G1116" s="220" t="s">
        <v>1885</v>
      </c>
      <c r="H1116" s="231">
        <v>43308.013749999998</v>
      </c>
    </row>
    <row r="1117" spans="1:8" customFormat="1">
      <c r="A1117" s="221">
        <v>43664</v>
      </c>
      <c r="B1117" s="217" t="s">
        <v>380</v>
      </c>
      <c r="C1117" s="218" t="s">
        <v>1615</v>
      </c>
      <c r="D1117" s="219" t="s">
        <v>1402</v>
      </c>
      <c r="E1117" s="220" t="s">
        <v>1403</v>
      </c>
      <c r="F1117" s="220" t="s">
        <v>1404</v>
      </c>
      <c r="G1117" s="220" t="s">
        <v>1885</v>
      </c>
      <c r="H1117" s="231">
        <v>43473.160243055558</v>
      </c>
    </row>
    <row r="1118" spans="1:8" customFormat="1">
      <c r="A1118" s="221">
        <v>43664</v>
      </c>
      <c r="B1118" s="217" t="s">
        <v>380</v>
      </c>
      <c r="C1118" s="218" t="s">
        <v>1615</v>
      </c>
      <c r="D1118" s="219" t="s">
        <v>1780</v>
      </c>
      <c r="E1118" s="220" t="s">
        <v>1759</v>
      </c>
      <c r="F1118" s="220" t="s">
        <v>1886</v>
      </c>
      <c r="G1118" s="220" t="s">
        <v>1887</v>
      </c>
      <c r="H1118" s="231">
        <v>43150</v>
      </c>
    </row>
    <row r="1119" spans="1:8" customFormat="1">
      <c r="A1119" s="221">
        <v>43664</v>
      </c>
      <c r="B1119" s="217" t="s">
        <v>380</v>
      </c>
      <c r="C1119" s="218" t="s">
        <v>267</v>
      </c>
      <c r="D1119" s="219" t="s">
        <v>1782</v>
      </c>
      <c r="E1119" s="220" t="s">
        <v>1783</v>
      </c>
      <c r="F1119" s="220"/>
      <c r="G1119" s="220" t="s">
        <v>1888</v>
      </c>
      <c r="H1119" s="231">
        <v>43602</v>
      </c>
    </row>
    <row r="1120" spans="1:8" customFormat="1">
      <c r="A1120" s="221">
        <v>43664</v>
      </c>
      <c r="B1120" s="217" t="s">
        <v>380</v>
      </c>
      <c r="C1120" s="218" t="s">
        <v>267</v>
      </c>
      <c r="D1120" s="219" t="s">
        <v>1751</v>
      </c>
      <c r="E1120" s="220" t="s">
        <v>1889</v>
      </c>
      <c r="F1120" s="220" t="s">
        <v>1728</v>
      </c>
      <c r="G1120" s="220" t="s">
        <v>1840</v>
      </c>
      <c r="H1120" s="231">
        <v>43585</v>
      </c>
    </row>
    <row r="1121" spans="1:8" customFormat="1">
      <c r="A1121" s="221">
        <v>43664</v>
      </c>
      <c r="B1121" s="217" t="s">
        <v>380</v>
      </c>
      <c r="C1121" s="218" t="s">
        <v>267</v>
      </c>
      <c r="D1121" s="219" t="s">
        <v>1564</v>
      </c>
      <c r="E1121" s="220" t="s">
        <v>1444</v>
      </c>
      <c r="F1121" s="220" t="s">
        <v>1881</v>
      </c>
      <c r="G1121" s="220" t="s">
        <v>1840</v>
      </c>
      <c r="H1121" s="231">
        <v>43311.25167824074</v>
      </c>
    </row>
    <row r="1122" spans="1:8" customFormat="1">
      <c r="A1122" s="221">
        <v>43664</v>
      </c>
      <c r="B1122" s="217" t="s">
        <v>380</v>
      </c>
      <c r="C1122" s="218" t="s">
        <v>267</v>
      </c>
      <c r="D1122" s="219" t="s">
        <v>1890</v>
      </c>
      <c r="E1122" s="220" t="s">
        <v>1891</v>
      </c>
      <c r="F1122" s="220"/>
      <c r="G1122" s="220" t="s">
        <v>1892</v>
      </c>
      <c r="H1122" s="231">
        <v>43663</v>
      </c>
    </row>
    <row r="1123" spans="1:8" customFormat="1">
      <c r="A1123" s="221">
        <v>43664</v>
      </c>
      <c r="B1123" s="217" t="s">
        <v>380</v>
      </c>
      <c r="C1123" s="218" t="s">
        <v>267</v>
      </c>
      <c r="D1123" s="219" t="s">
        <v>1893</v>
      </c>
      <c r="E1123" s="220" t="s">
        <v>1891</v>
      </c>
      <c r="F1123" s="220"/>
      <c r="G1123" s="220" t="s">
        <v>1892</v>
      </c>
      <c r="H1123" s="231">
        <v>43663</v>
      </c>
    </row>
    <row r="1124" spans="1:8" customFormat="1">
      <c r="A1124" s="221">
        <v>43664</v>
      </c>
      <c r="B1124" s="217" t="s">
        <v>380</v>
      </c>
      <c r="C1124" s="218" t="s">
        <v>267</v>
      </c>
      <c r="D1124" s="219" t="s">
        <v>1894</v>
      </c>
      <c r="E1124" s="220" t="s">
        <v>1895</v>
      </c>
      <c r="F1124" s="220"/>
      <c r="G1124" s="220" t="s">
        <v>1840</v>
      </c>
      <c r="H1124" s="231">
        <v>43663</v>
      </c>
    </row>
    <row r="1125" spans="1:8" customFormat="1">
      <c r="A1125" s="221">
        <v>43664</v>
      </c>
      <c r="B1125" s="217" t="s">
        <v>380</v>
      </c>
      <c r="C1125" s="218" t="s">
        <v>267</v>
      </c>
      <c r="D1125" s="219" t="s">
        <v>1896</v>
      </c>
      <c r="E1125" s="220" t="s">
        <v>1897</v>
      </c>
      <c r="F1125" s="220"/>
      <c r="G1125" s="220" t="s">
        <v>1840</v>
      </c>
      <c r="H1125" s="231">
        <v>43663</v>
      </c>
    </row>
    <row r="1126" spans="1:8" customFormat="1">
      <c r="A1126" s="221">
        <v>43664</v>
      </c>
      <c r="B1126" s="217" t="s">
        <v>380</v>
      </c>
      <c r="C1126" s="218" t="s">
        <v>267</v>
      </c>
      <c r="D1126" s="219" t="s">
        <v>1898</v>
      </c>
      <c r="E1126" s="220" t="s">
        <v>1899</v>
      </c>
      <c r="F1126" s="220"/>
      <c r="G1126" s="220" t="s">
        <v>1892</v>
      </c>
      <c r="H1126" s="231">
        <v>43663</v>
      </c>
    </row>
    <row r="1127" spans="1:8" customFormat="1" ht="32.15">
      <c r="A1127" s="221">
        <v>43664</v>
      </c>
      <c r="B1127" s="217" t="s">
        <v>565</v>
      </c>
      <c r="C1127" s="218" t="s">
        <v>1900</v>
      </c>
      <c r="D1127" s="219" t="s">
        <v>1901</v>
      </c>
      <c r="E1127" s="220" t="s">
        <v>1546</v>
      </c>
      <c r="F1127" s="220" t="s">
        <v>1547</v>
      </c>
      <c r="G1127" s="220" t="s">
        <v>1902</v>
      </c>
      <c r="H1127" s="231">
        <v>43602</v>
      </c>
    </row>
    <row r="1128" spans="1:8" customFormat="1">
      <c r="A1128" s="221">
        <v>43664</v>
      </c>
      <c r="B1128" s="217" t="s">
        <v>565</v>
      </c>
      <c r="C1128" s="218" t="s">
        <v>1615</v>
      </c>
      <c r="D1128" s="219" t="s">
        <v>1687</v>
      </c>
      <c r="E1128" s="220" t="s">
        <v>1688</v>
      </c>
      <c r="F1128" s="220" t="s">
        <v>833</v>
      </c>
      <c r="G1128" s="220" t="s">
        <v>1903</v>
      </c>
      <c r="H1128" s="231">
        <v>43600</v>
      </c>
    </row>
    <row r="1129" spans="1:8" customFormat="1">
      <c r="A1129" s="221">
        <v>43664</v>
      </c>
      <c r="B1129" s="217" t="s">
        <v>565</v>
      </c>
      <c r="C1129" s="218" t="s">
        <v>267</v>
      </c>
      <c r="D1129" s="219" t="s">
        <v>1904</v>
      </c>
      <c r="E1129" s="220" t="s">
        <v>1904</v>
      </c>
      <c r="F1129" s="220"/>
      <c r="G1129" s="220" t="s">
        <v>1647</v>
      </c>
      <c r="H1129" s="231">
        <v>43663</v>
      </c>
    </row>
    <row r="1130" spans="1:8" customFormat="1">
      <c r="A1130" s="221">
        <v>43664</v>
      </c>
      <c r="B1130" s="217" t="s">
        <v>423</v>
      </c>
      <c r="C1130" s="218" t="s">
        <v>1809</v>
      </c>
      <c r="D1130" s="219" t="s">
        <v>1905</v>
      </c>
      <c r="E1130" s="220" t="s">
        <v>1906</v>
      </c>
      <c r="F1130" s="220" t="s">
        <v>1907</v>
      </c>
      <c r="G1130" s="220" t="s">
        <v>1813</v>
      </c>
      <c r="H1130" s="231">
        <v>43617</v>
      </c>
    </row>
    <row r="1131" spans="1:8" customFormat="1">
      <c r="A1131" s="221">
        <v>43664</v>
      </c>
      <c r="B1131" s="217" t="s">
        <v>423</v>
      </c>
      <c r="C1131" s="218" t="s">
        <v>1809</v>
      </c>
      <c r="D1131" s="219" t="s">
        <v>823</v>
      </c>
      <c r="E1131" s="220" t="s">
        <v>824</v>
      </c>
      <c r="F1131" s="220" t="s">
        <v>1023</v>
      </c>
      <c r="G1131" s="220" t="s">
        <v>1813</v>
      </c>
      <c r="H1131" s="231">
        <v>43150</v>
      </c>
    </row>
    <row r="1132" spans="1:8" customFormat="1" ht="21.9">
      <c r="A1132" s="221">
        <v>43664</v>
      </c>
      <c r="B1132" s="217" t="s">
        <v>423</v>
      </c>
      <c r="C1132" s="218" t="s">
        <v>1809</v>
      </c>
      <c r="D1132" s="219" t="s">
        <v>1908</v>
      </c>
      <c r="E1132" s="220" t="s">
        <v>1909</v>
      </c>
      <c r="F1132" s="220" t="s">
        <v>1910</v>
      </c>
      <c r="G1132" s="220" t="s">
        <v>1813</v>
      </c>
      <c r="H1132" s="231">
        <v>43629</v>
      </c>
    </row>
    <row r="1133" spans="1:8" customFormat="1">
      <c r="A1133" s="221">
        <v>43664</v>
      </c>
      <c r="B1133" s="217" t="s">
        <v>423</v>
      </c>
      <c r="C1133" s="218" t="s">
        <v>1615</v>
      </c>
      <c r="D1133" s="219" t="s">
        <v>1653</v>
      </c>
      <c r="E1133" s="220" t="s">
        <v>1494</v>
      </c>
      <c r="F1133" s="220" t="s">
        <v>833</v>
      </c>
      <c r="G1133" s="220" t="s">
        <v>1911</v>
      </c>
      <c r="H1133" s="231">
        <v>43607</v>
      </c>
    </row>
    <row r="1134" spans="1:8" customFormat="1">
      <c r="A1134" s="221">
        <v>43664</v>
      </c>
      <c r="B1134" s="217" t="s">
        <v>423</v>
      </c>
      <c r="C1134" s="218" t="s">
        <v>1615</v>
      </c>
      <c r="D1134" s="219" t="s">
        <v>1912</v>
      </c>
      <c r="E1134" s="220" t="s">
        <v>1277</v>
      </c>
      <c r="F1134" s="220" t="s">
        <v>1913</v>
      </c>
      <c r="G1134" s="220" t="s">
        <v>1914</v>
      </c>
      <c r="H1134" s="231">
        <v>43150</v>
      </c>
    </row>
    <row r="1135" spans="1:8" customFormat="1">
      <c r="A1135" s="221">
        <v>43664</v>
      </c>
      <c r="B1135" s="217" t="s">
        <v>423</v>
      </c>
      <c r="C1135" s="218" t="s">
        <v>1615</v>
      </c>
      <c r="D1135" s="219" t="s">
        <v>1915</v>
      </c>
      <c r="E1135" s="220" t="s">
        <v>1916</v>
      </c>
      <c r="F1135" s="220" t="s">
        <v>1917</v>
      </c>
      <c r="G1135" s="220" t="s">
        <v>1918</v>
      </c>
      <c r="H1135" s="231">
        <v>43614</v>
      </c>
    </row>
    <row r="1136" spans="1:8" customFormat="1">
      <c r="A1136" s="221">
        <v>43664</v>
      </c>
      <c r="B1136" s="217" t="s">
        <v>423</v>
      </c>
      <c r="C1136" s="218" t="s">
        <v>1615</v>
      </c>
      <c r="D1136" s="219" t="s">
        <v>1919</v>
      </c>
      <c r="E1136" s="220" t="s">
        <v>1920</v>
      </c>
      <c r="F1136" s="220" t="s">
        <v>1921</v>
      </c>
      <c r="G1136" s="220" t="s">
        <v>1922</v>
      </c>
      <c r="H1136" s="231">
        <v>43556</v>
      </c>
    </row>
    <row r="1137" spans="1:8" customFormat="1">
      <c r="A1137" s="221">
        <v>43664</v>
      </c>
      <c r="B1137" s="217" t="s">
        <v>423</v>
      </c>
      <c r="C1137" s="218" t="s">
        <v>1615</v>
      </c>
      <c r="D1137" s="219" t="s">
        <v>1923</v>
      </c>
      <c r="E1137" s="220" t="s">
        <v>1511</v>
      </c>
      <c r="F1137" s="220" t="s">
        <v>1924</v>
      </c>
      <c r="G1137" s="220" t="s">
        <v>1925</v>
      </c>
      <c r="H1137" s="231">
        <v>43556</v>
      </c>
    </row>
    <row r="1138" spans="1:8" customFormat="1">
      <c r="A1138" s="221">
        <v>43664</v>
      </c>
      <c r="B1138" s="217" t="s">
        <v>423</v>
      </c>
      <c r="C1138" s="218" t="s">
        <v>1615</v>
      </c>
      <c r="D1138" s="219" t="s">
        <v>1602</v>
      </c>
      <c r="E1138" s="220" t="s">
        <v>1603</v>
      </c>
      <c r="F1138" s="220" t="s">
        <v>833</v>
      </c>
      <c r="G1138" s="220" t="s">
        <v>1926</v>
      </c>
      <c r="H1138" s="231">
        <v>43593</v>
      </c>
    </row>
    <row r="1139" spans="1:8" customFormat="1">
      <c r="A1139" s="221">
        <v>43664</v>
      </c>
      <c r="B1139" s="217" t="s">
        <v>423</v>
      </c>
      <c r="C1139" s="218" t="s">
        <v>267</v>
      </c>
      <c r="D1139" s="219" t="s">
        <v>1493</v>
      </c>
      <c r="E1139" s="220" t="s">
        <v>1494</v>
      </c>
      <c r="F1139" s="220" t="s">
        <v>833</v>
      </c>
      <c r="G1139" s="220" t="s">
        <v>1840</v>
      </c>
      <c r="H1139" s="231">
        <v>43607</v>
      </c>
    </row>
    <row r="1140" spans="1:8" customFormat="1">
      <c r="A1140" s="221">
        <v>43664</v>
      </c>
      <c r="B1140" s="217" t="s">
        <v>423</v>
      </c>
      <c r="C1140" s="218" t="s">
        <v>267</v>
      </c>
      <c r="D1140" s="219" t="s">
        <v>455</v>
      </c>
      <c r="E1140" s="220" t="s">
        <v>1927</v>
      </c>
      <c r="F1140" s="220"/>
      <c r="G1140" s="220" t="s">
        <v>1928</v>
      </c>
      <c r="H1140" s="231">
        <v>43473</v>
      </c>
    </row>
    <row r="1141" spans="1:8" customFormat="1">
      <c r="A1141" s="221">
        <v>43664</v>
      </c>
      <c r="B1141" s="217" t="s">
        <v>423</v>
      </c>
      <c r="C1141" s="218" t="s">
        <v>267</v>
      </c>
      <c r="D1141" s="219" t="s">
        <v>1929</v>
      </c>
      <c r="E1141" s="220" t="s">
        <v>1930</v>
      </c>
      <c r="F1141" s="220"/>
      <c r="G1141" s="220" t="s">
        <v>1647</v>
      </c>
      <c r="H1141" s="231">
        <v>43663</v>
      </c>
    </row>
    <row r="1142" spans="1:8" customFormat="1" ht="21.9">
      <c r="A1142" s="221">
        <v>43595</v>
      </c>
      <c r="B1142" s="217" t="s">
        <v>7</v>
      </c>
      <c r="C1142" s="218" t="s">
        <v>1931</v>
      </c>
      <c r="D1142" s="219" t="s">
        <v>1932</v>
      </c>
      <c r="E1142" s="220" t="s">
        <v>833</v>
      </c>
      <c r="F1142" s="220" t="s">
        <v>833</v>
      </c>
      <c r="G1142" s="220" t="s">
        <v>1933</v>
      </c>
      <c r="H1142" s="231">
        <v>43595</v>
      </c>
    </row>
    <row r="1143" spans="1:8" customFormat="1">
      <c r="A1143" s="221">
        <v>43595</v>
      </c>
      <c r="B1143" s="217" t="s">
        <v>380</v>
      </c>
      <c r="C1143" s="218" t="s">
        <v>1931</v>
      </c>
      <c r="D1143" s="219" t="s">
        <v>1934</v>
      </c>
      <c r="E1143" s="220" t="s">
        <v>833</v>
      </c>
      <c r="F1143" s="220" t="s">
        <v>833</v>
      </c>
      <c r="G1143" s="220" t="s">
        <v>1935</v>
      </c>
      <c r="H1143" s="231">
        <v>43595</v>
      </c>
    </row>
    <row r="1144" spans="1:8" customFormat="1" ht="21.9">
      <c r="A1144" s="221">
        <v>43595</v>
      </c>
      <c r="B1144" s="217" t="s">
        <v>423</v>
      </c>
      <c r="C1144" s="218" t="s">
        <v>220</v>
      </c>
      <c r="D1144" s="219" t="s">
        <v>1936</v>
      </c>
      <c r="E1144" s="220" t="s">
        <v>833</v>
      </c>
      <c r="F1144" s="220" t="s">
        <v>833</v>
      </c>
      <c r="G1144" s="220" t="s">
        <v>1937</v>
      </c>
      <c r="H1144" s="231">
        <v>43595</v>
      </c>
    </row>
    <row r="1145" spans="1:8" customFormat="1" ht="21.9">
      <c r="A1145" s="221">
        <v>43595</v>
      </c>
      <c r="B1145" s="217" t="s">
        <v>423</v>
      </c>
      <c r="C1145" s="218" t="s">
        <v>220</v>
      </c>
      <c r="D1145" s="219" t="s">
        <v>1060</v>
      </c>
      <c r="E1145" s="220" t="s">
        <v>833</v>
      </c>
      <c r="F1145" s="220" t="s">
        <v>833</v>
      </c>
      <c r="G1145" s="220" t="s">
        <v>1938</v>
      </c>
      <c r="H1145" s="231">
        <v>43595</v>
      </c>
    </row>
    <row r="1146" spans="1:8" customFormat="1" ht="21.9">
      <c r="A1146" s="221">
        <v>43595</v>
      </c>
      <c r="B1146" s="217" t="s">
        <v>423</v>
      </c>
      <c r="C1146" s="218" t="s">
        <v>220</v>
      </c>
      <c r="D1146" s="219" t="s">
        <v>1915</v>
      </c>
      <c r="E1146" s="220" t="s">
        <v>833</v>
      </c>
      <c r="F1146" s="220" t="s">
        <v>833</v>
      </c>
      <c r="G1146" s="220" t="s">
        <v>1939</v>
      </c>
      <c r="H1146" s="231">
        <v>43595</v>
      </c>
    </row>
    <row r="1147" spans="1:8" customFormat="1" ht="32.15">
      <c r="A1147" s="221">
        <v>43595</v>
      </c>
      <c r="B1147" s="217" t="s">
        <v>423</v>
      </c>
      <c r="C1147" s="218" t="s">
        <v>267</v>
      </c>
      <c r="D1147" s="219" t="s">
        <v>1940</v>
      </c>
      <c r="E1147" s="220" t="s">
        <v>833</v>
      </c>
      <c r="F1147" s="220" t="s">
        <v>833</v>
      </c>
      <c r="G1147" s="220" t="s">
        <v>1941</v>
      </c>
      <c r="H1147" s="231">
        <v>43595</v>
      </c>
    </row>
    <row r="1148" spans="1:8" customFormat="1" ht="32.15">
      <c r="A1148" s="221">
        <v>43595</v>
      </c>
      <c r="B1148" s="217" t="s">
        <v>423</v>
      </c>
      <c r="C1148" s="218" t="s">
        <v>267</v>
      </c>
      <c r="D1148" s="219" t="s">
        <v>1942</v>
      </c>
      <c r="E1148" s="220" t="s">
        <v>833</v>
      </c>
      <c r="F1148" s="220" t="s">
        <v>833</v>
      </c>
      <c r="G1148" s="220" t="s">
        <v>1943</v>
      </c>
      <c r="H1148" s="231">
        <v>43595</v>
      </c>
    </row>
    <row r="1149" spans="1:8" customFormat="1" ht="21.9">
      <c r="A1149" s="221">
        <v>43595</v>
      </c>
      <c r="B1149" s="217" t="s">
        <v>423</v>
      </c>
      <c r="C1149" s="218" t="s">
        <v>267</v>
      </c>
      <c r="D1149" s="219" t="s">
        <v>1602</v>
      </c>
      <c r="E1149" s="220" t="s">
        <v>833</v>
      </c>
      <c r="F1149" s="220" t="s">
        <v>833</v>
      </c>
      <c r="G1149" s="220" t="s">
        <v>1944</v>
      </c>
      <c r="H1149" s="231">
        <v>43595</v>
      </c>
    </row>
    <row r="1150" spans="1:8" customFormat="1" ht="21.9">
      <c r="A1150" s="221">
        <v>43595</v>
      </c>
      <c r="B1150" s="217" t="s">
        <v>423</v>
      </c>
      <c r="C1150" s="218" t="s">
        <v>1931</v>
      </c>
      <c r="D1150" s="219" t="s">
        <v>1945</v>
      </c>
      <c r="E1150" s="220" t="s">
        <v>833</v>
      </c>
      <c r="F1150" s="220" t="s">
        <v>833</v>
      </c>
      <c r="G1150" s="220" t="s">
        <v>1946</v>
      </c>
      <c r="H1150" s="231">
        <v>43595</v>
      </c>
    </row>
    <row r="1151" spans="1:8" customFormat="1" ht="21.9">
      <c r="A1151" s="221">
        <v>43595</v>
      </c>
      <c r="B1151" s="217" t="s">
        <v>423</v>
      </c>
      <c r="C1151" s="218" t="s">
        <v>1931</v>
      </c>
      <c r="D1151" s="219" t="s">
        <v>1947</v>
      </c>
      <c r="E1151" s="220" t="s">
        <v>833</v>
      </c>
      <c r="F1151" s="220" t="s">
        <v>833</v>
      </c>
      <c r="G1151" s="220" t="s">
        <v>1948</v>
      </c>
      <c r="H1151" s="231">
        <v>43595</v>
      </c>
    </row>
    <row r="1152" spans="1:8" customFormat="1" ht="63">
      <c r="A1152" s="221">
        <v>43502</v>
      </c>
      <c r="B1152" s="217" t="s">
        <v>7</v>
      </c>
      <c r="C1152" s="218" t="s">
        <v>267</v>
      </c>
      <c r="D1152" s="219" t="s">
        <v>1666</v>
      </c>
      <c r="E1152" s="220"/>
      <c r="F1152" s="220"/>
      <c r="G1152" s="220" t="s">
        <v>1949</v>
      </c>
      <c r="H1152" s="231">
        <v>43502</v>
      </c>
    </row>
    <row r="1153" spans="1:8" customFormat="1" ht="42.45">
      <c r="A1153" s="221">
        <v>43500</v>
      </c>
      <c r="B1153" s="217" t="s">
        <v>309</v>
      </c>
      <c r="C1153" s="218" t="s">
        <v>1950</v>
      </c>
      <c r="D1153" s="219" t="s">
        <v>1951</v>
      </c>
      <c r="E1153" s="220" t="s">
        <v>833</v>
      </c>
      <c r="F1153" s="220" t="s">
        <v>833</v>
      </c>
      <c r="G1153" s="220" t="s">
        <v>1952</v>
      </c>
      <c r="H1153" s="231">
        <v>43500</v>
      </c>
    </row>
    <row r="1154" spans="1:8" customFormat="1" ht="32.15">
      <c r="A1154" s="221">
        <v>43486</v>
      </c>
      <c r="B1154" s="217" t="s">
        <v>309</v>
      </c>
      <c r="C1154" s="218" t="s">
        <v>1950</v>
      </c>
      <c r="D1154" s="219" t="s">
        <v>1387</v>
      </c>
      <c r="E1154" s="220"/>
      <c r="F1154" s="220"/>
      <c r="G1154" s="220" t="s">
        <v>1953</v>
      </c>
      <c r="H1154" s="231">
        <v>43486</v>
      </c>
    </row>
    <row r="1155" spans="1:8" customFormat="1" ht="32.15">
      <c r="A1155" s="221">
        <v>43486</v>
      </c>
      <c r="B1155" s="217" t="s">
        <v>309</v>
      </c>
      <c r="C1155" s="218" t="s">
        <v>1950</v>
      </c>
      <c r="D1155" s="219" t="s">
        <v>1858</v>
      </c>
      <c r="E1155" s="220"/>
      <c r="F1155" s="220"/>
      <c r="G1155" s="220" t="s">
        <v>1954</v>
      </c>
      <c r="H1155" s="231">
        <v>43486</v>
      </c>
    </row>
    <row r="1156" spans="1:8" customFormat="1" ht="42.45">
      <c r="A1156" s="221">
        <v>43486</v>
      </c>
      <c r="B1156" s="217" t="s">
        <v>309</v>
      </c>
      <c r="C1156" s="218" t="s">
        <v>1950</v>
      </c>
      <c r="D1156" s="219" t="s">
        <v>1951</v>
      </c>
      <c r="E1156" s="220"/>
      <c r="F1156" s="220"/>
      <c r="G1156" s="220" t="s">
        <v>1955</v>
      </c>
      <c r="H1156" s="231">
        <v>43486</v>
      </c>
    </row>
    <row r="1157" spans="1:8" customFormat="1" ht="32.15">
      <c r="A1157" s="221">
        <v>43486</v>
      </c>
      <c r="B1157" s="217" t="s">
        <v>309</v>
      </c>
      <c r="C1157" s="218" t="s">
        <v>267</v>
      </c>
      <c r="D1157" s="219" t="s">
        <v>1956</v>
      </c>
      <c r="E1157" s="220"/>
      <c r="F1157" s="220"/>
      <c r="G1157" s="220" t="s">
        <v>1957</v>
      </c>
      <c r="H1157" s="231">
        <v>43486</v>
      </c>
    </row>
    <row r="1158" spans="1:8" customFormat="1" ht="21.9">
      <c r="A1158" s="221">
        <v>43486</v>
      </c>
      <c r="B1158" s="217" t="s">
        <v>309</v>
      </c>
      <c r="C1158" s="218" t="s">
        <v>267</v>
      </c>
      <c r="D1158" s="219" t="s">
        <v>1958</v>
      </c>
      <c r="E1158" s="220"/>
      <c r="F1158" s="220"/>
      <c r="G1158" s="220" t="s">
        <v>1959</v>
      </c>
      <c r="H1158" s="231">
        <v>43486</v>
      </c>
    </row>
    <row r="1159" spans="1:8" customFormat="1" ht="21.9">
      <c r="A1159" s="221">
        <v>43486</v>
      </c>
      <c r="B1159" s="217" t="s">
        <v>309</v>
      </c>
      <c r="C1159" s="218" t="s">
        <v>267</v>
      </c>
      <c r="D1159" s="219" t="s">
        <v>1322</v>
      </c>
      <c r="E1159" s="220"/>
      <c r="F1159" s="220"/>
      <c r="G1159" s="220" t="s">
        <v>1960</v>
      </c>
      <c r="H1159" s="231">
        <v>43486</v>
      </c>
    </row>
    <row r="1160" spans="1:8" customFormat="1" ht="42.45">
      <c r="A1160" s="221">
        <v>43486</v>
      </c>
      <c r="B1160" s="217" t="s">
        <v>380</v>
      </c>
      <c r="C1160" s="218" t="s">
        <v>1950</v>
      </c>
      <c r="D1160" s="219" t="s">
        <v>1961</v>
      </c>
      <c r="E1160" s="220"/>
      <c r="F1160" s="220"/>
      <c r="G1160" s="220" t="s">
        <v>1962</v>
      </c>
      <c r="H1160" s="231">
        <v>43486</v>
      </c>
    </row>
    <row r="1161" spans="1:8" customFormat="1" ht="32.15">
      <c r="A1161" s="221">
        <v>43486</v>
      </c>
      <c r="B1161" s="217" t="s">
        <v>380</v>
      </c>
      <c r="C1161" s="218" t="s">
        <v>1950</v>
      </c>
      <c r="D1161" s="219" t="s">
        <v>1802</v>
      </c>
      <c r="E1161" s="220"/>
      <c r="F1161" s="220"/>
      <c r="G1161" s="220" t="s">
        <v>1963</v>
      </c>
      <c r="H1161" s="231">
        <v>43486</v>
      </c>
    </row>
    <row r="1162" spans="1:8" customFormat="1" ht="32.15">
      <c r="A1162" s="221">
        <v>43486</v>
      </c>
      <c r="B1162" s="217" t="s">
        <v>380</v>
      </c>
      <c r="C1162" s="218" t="s">
        <v>220</v>
      </c>
      <c r="D1162" s="219" t="s">
        <v>1964</v>
      </c>
      <c r="E1162" s="220"/>
      <c r="F1162" s="220"/>
      <c r="G1162" s="220" t="s">
        <v>1965</v>
      </c>
      <c r="H1162" s="231">
        <v>43486</v>
      </c>
    </row>
    <row r="1163" spans="1:8" customFormat="1" ht="32.15">
      <c r="A1163" s="221">
        <v>43486</v>
      </c>
      <c r="B1163" s="217" t="s">
        <v>380</v>
      </c>
      <c r="C1163" s="218" t="s">
        <v>220</v>
      </c>
      <c r="D1163" s="219" t="s">
        <v>1966</v>
      </c>
      <c r="E1163" s="220"/>
      <c r="F1163" s="220"/>
      <c r="G1163" s="220" t="s">
        <v>1967</v>
      </c>
      <c r="H1163" s="231">
        <v>43486</v>
      </c>
    </row>
    <row r="1164" spans="1:8" customFormat="1" ht="21.9">
      <c r="A1164" s="221">
        <v>43486</v>
      </c>
      <c r="B1164" s="217" t="s">
        <v>380</v>
      </c>
      <c r="C1164" s="218" t="s">
        <v>267</v>
      </c>
      <c r="D1164" s="219" t="s">
        <v>1402</v>
      </c>
      <c r="E1164" s="220"/>
      <c r="F1164" s="220"/>
      <c r="G1164" s="220" t="s">
        <v>1968</v>
      </c>
      <c r="H1164" s="231">
        <v>43486</v>
      </c>
    </row>
    <row r="1165" spans="1:8" customFormat="1" ht="32.15">
      <c r="A1165" s="221">
        <v>43486</v>
      </c>
      <c r="B1165" s="217" t="s">
        <v>380</v>
      </c>
      <c r="C1165" s="218" t="s">
        <v>267</v>
      </c>
      <c r="D1165" s="219" t="s">
        <v>1969</v>
      </c>
      <c r="E1165" s="220"/>
      <c r="F1165" s="220"/>
      <c r="G1165" s="220" t="s">
        <v>1970</v>
      </c>
      <c r="H1165" s="231">
        <v>43486</v>
      </c>
    </row>
    <row r="1166" spans="1:8" customFormat="1">
      <c r="A1166" s="221">
        <v>43486</v>
      </c>
      <c r="B1166" s="217" t="s">
        <v>380</v>
      </c>
      <c r="C1166" s="218" t="s">
        <v>1931</v>
      </c>
      <c r="D1166" s="219" t="s">
        <v>1934</v>
      </c>
      <c r="E1166" s="220"/>
      <c r="F1166" s="220"/>
      <c r="G1166" s="220" t="s">
        <v>1935</v>
      </c>
      <c r="H1166" s="231">
        <v>43486</v>
      </c>
    </row>
    <row r="1167" spans="1:8" customFormat="1" ht="32.15">
      <c r="A1167" s="221">
        <v>43486</v>
      </c>
      <c r="B1167" s="217" t="s">
        <v>423</v>
      </c>
      <c r="C1167" s="218" t="s">
        <v>1950</v>
      </c>
      <c r="D1167" s="219" t="s">
        <v>1971</v>
      </c>
      <c r="E1167" s="220"/>
      <c r="F1167" s="220"/>
      <c r="G1167" s="220" t="s">
        <v>1972</v>
      </c>
      <c r="H1167" s="231">
        <v>43486</v>
      </c>
    </row>
    <row r="1168" spans="1:8" customFormat="1" ht="21.9">
      <c r="A1168" s="221">
        <v>43486</v>
      </c>
      <c r="B1168" s="217" t="s">
        <v>423</v>
      </c>
      <c r="C1168" s="218" t="s">
        <v>220</v>
      </c>
      <c r="D1168" s="219" t="s">
        <v>1973</v>
      </c>
      <c r="E1168" s="220"/>
      <c r="F1168" s="220"/>
      <c r="G1168" s="220" t="s">
        <v>1937</v>
      </c>
      <c r="H1168" s="231">
        <v>43486</v>
      </c>
    </row>
    <row r="1169" spans="1:8" customFormat="1" ht="32.15">
      <c r="A1169" s="221">
        <v>43486</v>
      </c>
      <c r="B1169" s="217" t="s">
        <v>423</v>
      </c>
      <c r="C1169" s="218" t="s">
        <v>220</v>
      </c>
      <c r="D1169" s="219" t="s">
        <v>1334</v>
      </c>
      <c r="E1169" s="220"/>
      <c r="F1169" s="220"/>
      <c r="G1169" s="220" t="s">
        <v>1974</v>
      </c>
      <c r="H1169" s="231">
        <v>43486</v>
      </c>
    </row>
    <row r="1170" spans="1:8" customFormat="1" ht="21.9">
      <c r="A1170" s="221">
        <v>43486</v>
      </c>
      <c r="B1170" s="217" t="s">
        <v>423</v>
      </c>
      <c r="C1170" s="218" t="s">
        <v>220</v>
      </c>
      <c r="D1170" s="219" t="s">
        <v>1060</v>
      </c>
      <c r="E1170" s="220"/>
      <c r="F1170" s="220"/>
      <c r="G1170" s="220" t="s">
        <v>1938</v>
      </c>
      <c r="H1170" s="231">
        <v>43486</v>
      </c>
    </row>
    <row r="1171" spans="1:8" customFormat="1" ht="21.9">
      <c r="A1171" s="221">
        <v>43486</v>
      </c>
      <c r="B1171" s="217" t="s">
        <v>423</v>
      </c>
      <c r="C1171" s="218" t="s">
        <v>220</v>
      </c>
      <c r="D1171" s="219" t="s">
        <v>1975</v>
      </c>
      <c r="E1171" s="220"/>
      <c r="F1171" s="220"/>
      <c r="G1171" s="220" t="s">
        <v>1976</v>
      </c>
      <c r="H1171" s="231">
        <v>43486</v>
      </c>
    </row>
    <row r="1172" spans="1:8" customFormat="1" ht="21.9">
      <c r="A1172" s="221">
        <v>43486</v>
      </c>
      <c r="B1172" s="217" t="s">
        <v>423</v>
      </c>
      <c r="C1172" s="218" t="s">
        <v>220</v>
      </c>
      <c r="D1172" s="219" t="s">
        <v>1915</v>
      </c>
      <c r="E1172" s="220"/>
      <c r="F1172" s="220"/>
      <c r="G1172" s="220" t="s">
        <v>1977</v>
      </c>
      <c r="H1172" s="231">
        <v>43486</v>
      </c>
    </row>
    <row r="1173" spans="1:8" customFormat="1" ht="32.15">
      <c r="A1173" s="221">
        <v>43486</v>
      </c>
      <c r="B1173" s="217" t="s">
        <v>423</v>
      </c>
      <c r="C1173" s="218" t="s">
        <v>267</v>
      </c>
      <c r="D1173" s="219" t="s">
        <v>1732</v>
      </c>
      <c r="E1173" s="220"/>
      <c r="F1173" s="220"/>
      <c r="G1173" s="220" t="s">
        <v>1978</v>
      </c>
      <c r="H1173" s="231">
        <v>43486</v>
      </c>
    </row>
    <row r="1174" spans="1:8" customFormat="1" ht="21.9">
      <c r="A1174" s="221">
        <v>43486</v>
      </c>
      <c r="B1174" s="217" t="s">
        <v>423</v>
      </c>
      <c r="C1174" s="218" t="s">
        <v>267</v>
      </c>
      <c r="D1174" s="219" t="s">
        <v>455</v>
      </c>
      <c r="E1174" s="220"/>
      <c r="F1174" s="220"/>
      <c r="G1174" s="220" t="s">
        <v>1979</v>
      </c>
      <c r="H1174" s="231">
        <v>43486</v>
      </c>
    </row>
    <row r="1175" spans="1:8" customFormat="1" ht="32.15">
      <c r="A1175" s="221">
        <v>43486</v>
      </c>
      <c r="B1175" s="217" t="s">
        <v>423</v>
      </c>
      <c r="C1175" s="218" t="s">
        <v>267</v>
      </c>
      <c r="D1175" s="219" t="s">
        <v>1454</v>
      </c>
      <c r="E1175" s="220"/>
      <c r="F1175" s="220"/>
      <c r="G1175" s="220" t="s">
        <v>1980</v>
      </c>
      <c r="H1175" s="231">
        <v>43486</v>
      </c>
    </row>
    <row r="1176" spans="1:8" customFormat="1" ht="32.15">
      <c r="A1176" s="221">
        <v>43486</v>
      </c>
      <c r="B1176" s="217" t="s">
        <v>423</v>
      </c>
      <c r="C1176" s="218" t="s">
        <v>267</v>
      </c>
      <c r="D1176" s="219" t="s">
        <v>1940</v>
      </c>
      <c r="E1176" s="220"/>
      <c r="F1176" s="220"/>
      <c r="G1176" s="220" t="s">
        <v>1981</v>
      </c>
      <c r="H1176" s="231">
        <v>43486</v>
      </c>
    </row>
    <row r="1177" spans="1:8" customFormat="1" ht="32.15">
      <c r="A1177" s="221">
        <v>43486</v>
      </c>
      <c r="B1177" s="217" t="s">
        <v>423</v>
      </c>
      <c r="C1177" s="218" t="s">
        <v>267</v>
      </c>
      <c r="D1177" s="219" t="s">
        <v>1942</v>
      </c>
      <c r="E1177" s="220"/>
      <c r="F1177" s="220"/>
      <c r="G1177" s="220" t="s">
        <v>1982</v>
      </c>
      <c r="H1177" s="231">
        <v>43486</v>
      </c>
    </row>
    <row r="1178" spans="1:8" customFormat="1" ht="21.9">
      <c r="A1178" s="221">
        <v>43486</v>
      </c>
      <c r="B1178" s="217" t="s">
        <v>423</v>
      </c>
      <c r="C1178" s="218" t="s">
        <v>1931</v>
      </c>
      <c r="D1178" s="219" t="s">
        <v>1945</v>
      </c>
      <c r="E1178" s="220"/>
      <c r="F1178" s="220"/>
      <c r="G1178" s="220" t="s">
        <v>1983</v>
      </c>
      <c r="H1178" s="231">
        <v>43486</v>
      </c>
    </row>
    <row r="1179" spans="1:8" customFormat="1" ht="21.9">
      <c r="A1179" s="221">
        <v>43486</v>
      </c>
      <c r="B1179" s="217" t="s">
        <v>423</v>
      </c>
      <c r="C1179" s="218" t="s">
        <v>1931</v>
      </c>
      <c r="D1179" s="219" t="s">
        <v>1947</v>
      </c>
      <c r="E1179" s="220"/>
      <c r="F1179" s="220"/>
      <c r="G1179" s="220" t="s">
        <v>1948</v>
      </c>
      <c r="H1179" s="231">
        <v>43486</v>
      </c>
    </row>
    <row r="1180" spans="1:8" customFormat="1" ht="52.75">
      <c r="A1180" s="221">
        <v>43482</v>
      </c>
      <c r="B1180" s="217" t="s">
        <v>380</v>
      </c>
      <c r="C1180" s="218" t="s">
        <v>220</v>
      </c>
      <c r="D1180" s="219" t="s">
        <v>1748</v>
      </c>
      <c r="E1180" s="220" t="s">
        <v>1719</v>
      </c>
      <c r="F1180" s="220" t="s">
        <v>1632</v>
      </c>
      <c r="G1180" s="220" t="s">
        <v>1984</v>
      </c>
      <c r="H1180" s="231">
        <v>43537</v>
      </c>
    </row>
    <row r="1181" spans="1:8" customFormat="1" ht="32.15">
      <c r="A1181" s="221">
        <v>43481</v>
      </c>
      <c r="B1181" s="217" t="s">
        <v>7</v>
      </c>
      <c r="C1181" s="218" t="s">
        <v>220</v>
      </c>
      <c r="D1181" s="219" t="s">
        <v>1985</v>
      </c>
      <c r="E1181" s="220"/>
      <c r="F1181" s="220"/>
      <c r="G1181" s="220" t="s">
        <v>1986</v>
      </c>
      <c r="H1181" s="231">
        <v>43481</v>
      </c>
    </row>
    <row r="1182" spans="1:8" customFormat="1" ht="21.9">
      <c r="A1182" s="221">
        <v>43481</v>
      </c>
      <c r="B1182" s="217" t="s">
        <v>7</v>
      </c>
      <c r="C1182" s="218" t="s">
        <v>267</v>
      </c>
      <c r="D1182" s="219" t="s">
        <v>1666</v>
      </c>
      <c r="E1182" s="220"/>
      <c r="F1182" s="220"/>
      <c r="G1182" s="220" t="s">
        <v>1987</v>
      </c>
      <c r="H1182" s="231">
        <v>43481</v>
      </c>
    </row>
    <row r="1183" spans="1:8" customFormat="1" ht="21.9">
      <c r="A1183" s="221">
        <v>43481</v>
      </c>
      <c r="B1183" s="217" t="s">
        <v>7</v>
      </c>
      <c r="C1183" s="218" t="s">
        <v>267</v>
      </c>
      <c r="D1183" s="219" t="s">
        <v>1670</v>
      </c>
      <c r="E1183" s="220"/>
      <c r="F1183" s="220"/>
      <c r="G1183" s="220" t="s">
        <v>1988</v>
      </c>
      <c r="H1183" s="231">
        <v>43481</v>
      </c>
    </row>
    <row r="1184" spans="1:8" customFormat="1" ht="32.15">
      <c r="A1184" s="221">
        <v>43481</v>
      </c>
      <c r="B1184" s="217" t="s">
        <v>7</v>
      </c>
      <c r="C1184" s="218" t="s">
        <v>267</v>
      </c>
      <c r="D1184" s="219" t="s">
        <v>1764</v>
      </c>
      <c r="E1184" s="220"/>
      <c r="F1184" s="220"/>
      <c r="G1184" s="220" t="s">
        <v>1989</v>
      </c>
      <c r="H1184" s="231">
        <v>43481</v>
      </c>
    </row>
    <row r="1185" spans="1:8" customFormat="1" ht="21.9">
      <c r="A1185" s="221">
        <v>43481</v>
      </c>
      <c r="B1185" s="217" t="s">
        <v>7</v>
      </c>
      <c r="C1185" s="218" t="s">
        <v>1931</v>
      </c>
      <c r="D1185" s="219" t="s">
        <v>1821</v>
      </c>
      <c r="E1185" s="220"/>
      <c r="F1185" s="220"/>
      <c r="G1185" s="220" t="s">
        <v>1933</v>
      </c>
      <c r="H1185" s="231">
        <v>43481</v>
      </c>
    </row>
    <row r="1186" spans="1:8" customFormat="1" ht="32.15">
      <c r="A1186" s="221">
        <v>43413</v>
      </c>
      <c r="B1186" s="217" t="s">
        <v>565</v>
      </c>
      <c r="C1186" s="218" t="s">
        <v>220</v>
      </c>
      <c r="D1186" s="219" t="s">
        <v>1990</v>
      </c>
      <c r="E1186" s="220"/>
      <c r="F1186" s="220"/>
      <c r="G1186" s="220" t="s">
        <v>1991</v>
      </c>
      <c r="H1186" s="231">
        <v>43413</v>
      </c>
    </row>
    <row r="1187" spans="1:8" customFormat="1" ht="21.9">
      <c r="A1187" s="221">
        <v>43404</v>
      </c>
      <c r="B1187" s="217" t="s">
        <v>7</v>
      </c>
      <c r="C1187" s="218" t="s">
        <v>220</v>
      </c>
      <c r="D1187" s="219" t="s">
        <v>1817</v>
      </c>
      <c r="E1187" s="220"/>
      <c r="F1187" s="220"/>
      <c r="G1187" s="220" t="s">
        <v>1992</v>
      </c>
      <c r="H1187" s="231">
        <v>43404</v>
      </c>
    </row>
    <row r="1188" spans="1:8" customFormat="1" ht="21.9">
      <c r="A1188" s="221">
        <v>43404</v>
      </c>
      <c r="B1188" s="217" t="s">
        <v>7</v>
      </c>
      <c r="C1188" s="218" t="s">
        <v>267</v>
      </c>
      <c r="D1188" s="219" t="s">
        <v>1993</v>
      </c>
      <c r="E1188" s="220"/>
      <c r="F1188" s="220"/>
      <c r="G1188" s="220" t="s">
        <v>1994</v>
      </c>
      <c r="H1188" s="231">
        <v>43404</v>
      </c>
    </row>
    <row r="1189" spans="1:8" customFormat="1" ht="21.9">
      <c r="A1189" s="221">
        <v>43404</v>
      </c>
      <c r="B1189" s="217" t="s">
        <v>7</v>
      </c>
      <c r="C1189" s="218" t="s">
        <v>267</v>
      </c>
      <c r="D1189" s="219" t="s">
        <v>1995</v>
      </c>
      <c r="E1189" s="220"/>
      <c r="F1189" s="220"/>
      <c r="G1189" s="220" t="s">
        <v>1996</v>
      </c>
      <c r="H1189" s="231">
        <v>43404</v>
      </c>
    </row>
    <row r="1190" spans="1:8" customFormat="1" ht="32.15">
      <c r="A1190" s="221">
        <v>43404</v>
      </c>
      <c r="B1190" s="217" t="s">
        <v>7</v>
      </c>
      <c r="C1190" s="218" t="s">
        <v>267</v>
      </c>
      <c r="D1190" s="219" t="s">
        <v>1708</v>
      </c>
      <c r="E1190" s="220"/>
      <c r="F1190" s="220"/>
      <c r="G1190" s="220" t="s">
        <v>1997</v>
      </c>
      <c r="H1190" s="231">
        <v>43404</v>
      </c>
    </row>
    <row r="1191" spans="1:8" customFormat="1" ht="21.9">
      <c r="A1191" s="221">
        <v>43404</v>
      </c>
      <c r="B1191" s="217" t="s">
        <v>7</v>
      </c>
      <c r="C1191" s="218" t="s">
        <v>267</v>
      </c>
      <c r="D1191" s="219" t="s">
        <v>1554</v>
      </c>
      <c r="E1191" s="220"/>
      <c r="F1191" s="220"/>
      <c r="G1191" s="220" t="s">
        <v>1998</v>
      </c>
      <c r="H1191" s="231">
        <v>43404</v>
      </c>
    </row>
    <row r="1192" spans="1:8" customFormat="1" ht="21.9">
      <c r="A1192" s="221">
        <v>43404</v>
      </c>
      <c r="B1192" s="217" t="s">
        <v>309</v>
      </c>
      <c r="C1192" s="218" t="s">
        <v>220</v>
      </c>
      <c r="D1192" s="219" t="s">
        <v>1870</v>
      </c>
      <c r="E1192" s="220"/>
      <c r="F1192" s="220"/>
      <c r="G1192" s="220" t="s">
        <v>1999</v>
      </c>
      <c r="H1192" s="231">
        <v>43404</v>
      </c>
    </row>
    <row r="1193" spans="1:8" customFormat="1" ht="21.9">
      <c r="A1193" s="221">
        <v>43404</v>
      </c>
      <c r="B1193" s="217" t="s">
        <v>309</v>
      </c>
      <c r="C1193" s="218" t="s">
        <v>220</v>
      </c>
      <c r="D1193" s="219" t="s">
        <v>2000</v>
      </c>
      <c r="E1193" s="220"/>
      <c r="F1193" s="220"/>
      <c r="G1193" s="220" t="s">
        <v>2001</v>
      </c>
      <c r="H1193" s="231">
        <v>43404</v>
      </c>
    </row>
    <row r="1194" spans="1:8" customFormat="1" ht="21.9">
      <c r="A1194" s="221">
        <v>43404</v>
      </c>
      <c r="B1194" s="217" t="s">
        <v>309</v>
      </c>
      <c r="C1194" s="218" t="s">
        <v>220</v>
      </c>
      <c r="D1194" s="219" t="s">
        <v>2002</v>
      </c>
      <c r="E1194" s="220"/>
      <c r="F1194" s="220"/>
      <c r="G1194" s="220" t="s">
        <v>2003</v>
      </c>
      <c r="H1194" s="231">
        <v>43404</v>
      </c>
    </row>
    <row r="1195" spans="1:8" customFormat="1" ht="32.15">
      <c r="A1195" s="221">
        <v>43404</v>
      </c>
      <c r="B1195" s="217" t="s">
        <v>309</v>
      </c>
      <c r="C1195" s="218" t="s">
        <v>267</v>
      </c>
      <c r="D1195" s="219" t="s">
        <v>2004</v>
      </c>
      <c r="E1195" s="220"/>
      <c r="F1195" s="220"/>
      <c r="G1195" s="220" t="s">
        <v>2005</v>
      </c>
      <c r="H1195" s="231">
        <v>43404</v>
      </c>
    </row>
    <row r="1196" spans="1:8" customFormat="1" ht="32.15">
      <c r="A1196" s="221">
        <v>43404</v>
      </c>
      <c r="B1196" s="217" t="s">
        <v>309</v>
      </c>
      <c r="C1196" s="218" t="s">
        <v>267</v>
      </c>
      <c r="D1196" s="219" t="s">
        <v>2006</v>
      </c>
      <c r="E1196" s="220"/>
      <c r="F1196" s="220"/>
      <c r="G1196" s="220" t="s">
        <v>2007</v>
      </c>
      <c r="H1196" s="231">
        <v>43404</v>
      </c>
    </row>
    <row r="1197" spans="1:8" customFormat="1" ht="21.9">
      <c r="A1197" s="221">
        <v>43404</v>
      </c>
      <c r="B1197" s="217" t="s">
        <v>380</v>
      </c>
      <c r="C1197" s="218" t="s">
        <v>1931</v>
      </c>
      <c r="D1197" s="219" t="s">
        <v>2008</v>
      </c>
      <c r="E1197" s="220"/>
      <c r="F1197" s="220"/>
      <c r="G1197" s="220" t="s">
        <v>2009</v>
      </c>
      <c r="H1197" s="231">
        <v>43404</v>
      </c>
    </row>
    <row r="1198" spans="1:8" customFormat="1" ht="32.15">
      <c r="A1198" s="221">
        <v>43404</v>
      </c>
      <c r="B1198" s="217" t="s">
        <v>423</v>
      </c>
      <c r="C1198" s="218" t="s">
        <v>267</v>
      </c>
      <c r="D1198" s="219" t="s">
        <v>1653</v>
      </c>
      <c r="E1198" s="220"/>
      <c r="F1198" s="220"/>
      <c r="G1198" s="220" t="s">
        <v>2010</v>
      </c>
      <c r="H1198" s="231">
        <v>43404</v>
      </c>
    </row>
    <row r="1199" spans="1:8" customFormat="1" ht="32.15">
      <c r="A1199" s="221">
        <v>43404</v>
      </c>
      <c r="B1199" s="217" t="s">
        <v>423</v>
      </c>
      <c r="C1199" s="218" t="s">
        <v>267</v>
      </c>
      <c r="D1199" s="219" t="s">
        <v>1551</v>
      </c>
      <c r="E1199" s="220"/>
      <c r="F1199" s="220"/>
      <c r="G1199" s="220" t="s">
        <v>2011</v>
      </c>
      <c r="H1199" s="231">
        <v>43404</v>
      </c>
    </row>
    <row r="1200" spans="1:8" customFormat="1" ht="32.15">
      <c r="A1200" s="221">
        <v>43404</v>
      </c>
      <c r="B1200" s="217" t="s">
        <v>423</v>
      </c>
      <c r="C1200" s="218" t="s">
        <v>267</v>
      </c>
      <c r="D1200" s="219" t="s">
        <v>2012</v>
      </c>
      <c r="E1200" s="220"/>
      <c r="F1200" s="220"/>
      <c r="G1200" s="220" t="s">
        <v>2013</v>
      </c>
      <c r="H1200" s="231">
        <v>43404</v>
      </c>
    </row>
    <row r="1201" spans="1:8" customFormat="1" ht="21.9">
      <c r="A1201" s="221">
        <v>43404</v>
      </c>
      <c r="B1201" s="217" t="s">
        <v>423</v>
      </c>
      <c r="C1201" s="218" t="s">
        <v>267</v>
      </c>
      <c r="D1201" s="219" t="s">
        <v>1520</v>
      </c>
      <c r="E1201" s="220"/>
      <c r="F1201" s="220"/>
      <c r="G1201" s="220" t="s">
        <v>2014</v>
      </c>
      <c r="H1201" s="231">
        <v>43404</v>
      </c>
    </row>
    <row r="1202" spans="1:8" customFormat="1" ht="21.9">
      <c r="A1202" s="221">
        <v>43404</v>
      </c>
      <c r="B1202" s="217" t="s">
        <v>423</v>
      </c>
      <c r="C1202" s="218" t="s">
        <v>267</v>
      </c>
      <c r="D1202" s="219" t="s">
        <v>1915</v>
      </c>
      <c r="E1202" s="220"/>
      <c r="F1202" s="220"/>
      <c r="G1202" s="220" t="s">
        <v>2015</v>
      </c>
      <c r="H1202" s="231">
        <v>43404</v>
      </c>
    </row>
    <row r="1203" spans="1:8" customFormat="1" ht="21.9">
      <c r="A1203" s="221">
        <v>43404</v>
      </c>
      <c r="B1203" s="217" t="s">
        <v>423</v>
      </c>
      <c r="C1203" s="218" t="s">
        <v>1931</v>
      </c>
      <c r="D1203" s="219" t="s">
        <v>1971</v>
      </c>
      <c r="E1203" s="220"/>
      <c r="F1203" s="220"/>
      <c r="G1203" s="220" t="s">
        <v>2016</v>
      </c>
      <c r="H1203" s="231">
        <v>43404</v>
      </c>
    </row>
    <row r="1204" spans="1:8" customFormat="1" ht="21.9">
      <c r="A1204" s="221">
        <v>43312</v>
      </c>
      <c r="B1204" s="217" t="s">
        <v>7</v>
      </c>
      <c r="C1204" s="218" t="s">
        <v>267</v>
      </c>
      <c r="D1204" s="219" t="s">
        <v>1810</v>
      </c>
      <c r="E1204" s="220"/>
      <c r="F1204" s="220"/>
      <c r="G1204" s="220" t="s">
        <v>2017</v>
      </c>
      <c r="H1204" s="231">
        <v>43312</v>
      </c>
    </row>
    <row r="1205" spans="1:8" customFormat="1" ht="21.9">
      <c r="A1205" s="221">
        <v>43312</v>
      </c>
      <c r="B1205" s="217" t="s">
        <v>7</v>
      </c>
      <c r="C1205" s="218" t="s">
        <v>267</v>
      </c>
      <c r="D1205" s="219" t="s">
        <v>1817</v>
      </c>
      <c r="E1205" s="220"/>
      <c r="F1205" s="220"/>
      <c r="G1205" s="220" t="s">
        <v>2018</v>
      </c>
      <c r="H1205" s="231">
        <v>43312</v>
      </c>
    </row>
    <row r="1206" spans="1:8" customFormat="1" ht="32.15">
      <c r="A1206" s="221">
        <v>43312</v>
      </c>
      <c r="B1206" s="217" t="s">
        <v>7</v>
      </c>
      <c r="C1206" s="218" t="s">
        <v>267</v>
      </c>
      <c r="D1206" s="219" t="s">
        <v>1584</v>
      </c>
      <c r="E1206" s="220"/>
      <c r="F1206" s="220"/>
      <c r="G1206" s="220" t="s">
        <v>2019</v>
      </c>
      <c r="H1206" s="231">
        <v>43312</v>
      </c>
    </row>
    <row r="1207" spans="1:8" customFormat="1" ht="32.15">
      <c r="A1207" s="221">
        <v>43312</v>
      </c>
      <c r="B1207" s="217" t="s">
        <v>309</v>
      </c>
      <c r="C1207" s="218" t="s">
        <v>267</v>
      </c>
      <c r="D1207" s="219" t="s">
        <v>1844</v>
      </c>
      <c r="E1207" s="220"/>
      <c r="F1207" s="220"/>
      <c r="G1207" s="220" t="s">
        <v>2020</v>
      </c>
      <c r="H1207" s="231">
        <v>43312</v>
      </c>
    </row>
    <row r="1208" spans="1:8" customFormat="1" ht="21.9">
      <c r="A1208" s="221">
        <v>43312</v>
      </c>
      <c r="B1208" s="217" t="s">
        <v>309</v>
      </c>
      <c r="C1208" s="218" t="s">
        <v>267</v>
      </c>
      <c r="D1208" s="219" t="s">
        <v>1847</v>
      </c>
      <c r="E1208" s="220"/>
      <c r="F1208" s="220"/>
      <c r="G1208" s="220" t="s">
        <v>2021</v>
      </c>
      <c r="H1208" s="231">
        <v>43312</v>
      </c>
    </row>
    <row r="1209" spans="1:8" customFormat="1" ht="32.15">
      <c r="A1209" s="221">
        <v>43312</v>
      </c>
      <c r="B1209" s="217" t="s">
        <v>309</v>
      </c>
      <c r="C1209" s="218" t="s">
        <v>267</v>
      </c>
      <c r="D1209" s="219" t="s">
        <v>1855</v>
      </c>
      <c r="E1209" s="220"/>
      <c r="F1209" s="220"/>
      <c r="G1209" s="220" t="s">
        <v>2022</v>
      </c>
      <c r="H1209" s="231">
        <v>43312</v>
      </c>
    </row>
    <row r="1210" spans="1:8" customFormat="1" ht="21.9">
      <c r="A1210" s="221">
        <v>43312</v>
      </c>
      <c r="B1210" s="217" t="s">
        <v>309</v>
      </c>
      <c r="C1210" s="218" t="s">
        <v>267</v>
      </c>
      <c r="D1210" s="219" t="s">
        <v>2023</v>
      </c>
      <c r="E1210" s="220"/>
      <c r="F1210" s="220"/>
      <c r="G1210" s="220" t="s">
        <v>2024</v>
      </c>
      <c r="H1210" s="231">
        <v>43312</v>
      </c>
    </row>
    <row r="1211" spans="1:8" customFormat="1" ht="32.15">
      <c r="A1211" s="221">
        <v>43312</v>
      </c>
      <c r="B1211" s="217" t="s">
        <v>309</v>
      </c>
      <c r="C1211" s="218" t="s">
        <v>267</v>
      </c>
      <c r="D1211" s="219" t="s">
        <v>1863</v>
      </c>
      <c r="E1211" s="220"/>
      <c r="F1211" s="220"/>
      <c r="G1211" s="220" t="s">
        <v>2025</v>
      </c>
      <c r="H1211" s="231">
        <v>43312</v>
      </c>
    </row>
    <row r="1212" spans="1:8" customFormat="1" ht="32.15">
      <c r="A1212" s="221">
        <v>43312</v>
      </c>
      <c r="B1212" s="217" t="s">
        <v>309</v>
      </c>
      <c r="C1212" s="218" t="s">
        <v>267</v>
      </c>
      <c r="D1212" s="219" t="s">
        <v>2026</v>
      </c>
      <c r="E1212" s="220"/>
      <c r="F1212" s="220"/>
      <c r="G1212" s="220" t="s">
        <v>2027</v>
      </c>
      <c r="H1212" s="231">
        <v>43312</v>
      </c>
    </row>
    <row r="1213" spans="1:8" customFormat="1" ht="32.15">
      <c r="A1213" s="221">
        <v>43312</v>
      </c>
      <c r="B1213" s="217" t="s">
        <v>309</v>
      </c>
      <c r="C1213" s="218" t="s">
        <v>267</v>
      </c>
      <c r="D1213" s="219" t="s">
        <v>2028</v>
      </c>
      <c r="E1213" s="220"/>
      <c r="F1213" s="220"/>
      <c r="G1213" s="220" t="s">
        <v>2029</v>
      </c>
      <c r="H1213" s="231">
        <v>43312</v>
      </c>
    </row>
    <row r="1214" spans="1:8" customFormat="1" ht="21.9">
      <c r="A1214" s="221">
        <v>43312</v>
      </c>
      <c r="B1214" s="217" t="s">
        <v>380</v>
      </c>
      <c r="C1214" s="218" t="s">
        <v>267</v>
      </c>
      <c r="D1214" s="219" t="s">
        <v>1934</v>
      </c>
      <c r="E1214" s="220"/>
      <c r="F1214" s="220"/>
      <c r="G1214" s="220" t="s">
        <v>2030</v>
      </c>
      <c r="H1214" s="231">
        <v>43312</v>
      </c>
    </row>
    <row r="1215" spans="1:8" customFormat="1" ht="32.15">
      <c r="A1215" s="221">
        <v>43312</v>
      </c>
      <c r="B1215" s="217" t="s">
        <v>565</v>
      </c>
      <c r="C1215" s="218" t="s">
        <v>267</v>
      </c>
      <c r="D1215" s="219" t="s">
        <v>2031</v>
      </c>
      <c r="E1215" s="220"/>
      <c r="F1215" s="220"/>
      <c r="G1215" s="220" t="s">
        <v>2032</v>
      </c>
      <c r="H1215" s="231">
        <v>43312</v>
      </c>
    </row>
    <row r="1216" spans="1:8" customFormat="1" ht="21.9">
      <c r="A1216" s="221">
        <v>43312</v>
      </c>
      <c r="B1216" s="217" t="s">
        <v>423</v>
      </c>
      <c r="C1216" s="218" t="s">
        <v>220</v>
      </c>
      <c r="D1216" s="219" t="s">
        <v>1700</v>
      </c>
      <c r="E1216" s="220"/>
      <c r="F1216" s="220"/>
      <c r="G1216" s="220" t="s">
        <v>2033</v>
      </c>
      <c r="H1216" s="231">
        <v>43312</v>
      </c>
    </row>
    <row r="1217" spans="1:8" customFormat="1" ht="32.15">
      <c r="A1217" s="221">
        <v>43312</v>
      </c>
      <c r="B1217" s="217" t="s">
        <v>423</v>
      </c>
      <c r="C1217" s="218" t="s">
        <v>267</v>
      </c>
      <c r="D1217" s="219" t="s">
        <v>1945</v>
      </c>
      <c r="E1217" s="220"/>
      <c r="F1217" s="220"/>
      <c r="G1217" s="220" t="s">
        <v>2034</v>
      </c>
      <c r="H1217" s="231">
        <v>43312</v>
      </c>
    </row>
    <row r="1218" spans="1:8" customFormat="1" ht="32.15">
      <c r="A1218" s="221">
        <v>43312</v>
      </c>
      <c r="B1218" s="217" t="s">
        <v>423</v>
      </c>
      <c r="C1218" s="218" t="s">
        <v>267</v>
      </c>
      <c r="D1218" s="219" t="s">
        <v>1493</v>
      </c>
      <c r="E1218" s="220"/>
      <c r="F1218" s="220"/>
      <c r="G1218" s="220" t="s">
        <v>2035</v>
      </c>
      <c r="H1218" s="231">
        <v>43312</v>
      </c>
    </row>
    <row r="1219" spans="1:8" customFormat="1" ht="32.15">
      <c r="A1219" s="221">
        <v>43312</v>
      </c>
      <c r="B1219" s="217" t="s">
        <v>423</v>
      </c>
      <c r="C1219" s="218" t="s">
        <v>267</v>
      </c>
      <c r="D1219" s="219" t="s">
        <v>1653</v>
      </c>
      <c r="E1219" s="220"/>
      <c r="F1219" s="220"/>
      <c r="G1219" s="220" t="s">
        <v>2036</v>
      </c>
      <c r="H1219" s="231">
        <v>43312</v>
      </c>
    </row>
    <row r="1220" spans="1:8" customFormat="1" ht="32.15">
      <c r="A1220" s="221">
        <v>43312</v>
      </c>
      <c r="B1220" s="217" t="s">
        <v>423</v>
      </c>
      <c r="C1220" s="218" t="s">
        <v>267</v>
      </c>
      <c r="D1220" s="219" t="s">
        <v>1975</v>
      </c>
      <c r="E1220" s="220"/>
      <c r="F1220" s="220"/>
      <c r="G1220" s="220" t="s">
        <v>2037</v>
      </c>
      <c r="H1220" s="231">
        <v>43312</v>
      </c>
    </row>
    <row r="1221" spans="1:8" customFormat="1" ht="32.15">
      <c r="A1221" s="221">
        <v>43312</v>
      </c>
      <c r="B1221" s="217" t="s">
        <v>423</v>
      </c>
      <c r="C1221" s="218" t="s">
        <v>267</v>
      </c>
      <c r="D1221" s="219" t="s">
        <v>1947</v>
      </c>
      <c r="E1221" s="220"/>
      <c r="F1221" s="220"/>
      <c r="G1221" s="220" t="s">
        <v>2038</v>
      </c>
      <c r="H1221" s="231">
        <v>43312</v>
      </c>
    </row>
    <row r="1222" spans="1:8" customFormat="1" ht="32.15">
      <c r="A1222" s="221">
        <v>43312</v>
      </c>
      <c r="B1222" s="217" t="s">
        <v>423</v>
      </c>
      <c r="C1222" s="218" t="s">
        <v>267</v>
      </c>
      <c r="D1222" s="219" t="s">
        <v>2039</v>
      </c>
      <c r="E1222" s="220"/>
      <c r="F1222" s="220"/>
      <c r="G1222" s="220" t="s">
        <v>2040</v>
      </c>
      <c r="H1222" s="231">
        <v>43312</v>
      </c>
    </row>
    <row r="1223" spans="1:8" customFormat="1" ht="21.9">
      <c r="A1223" s="221">
        <v>43312</v>
      </c>
      <c r="B1223" s="217" t="s">
        <v>423</v>
      </c>
      <c r="C1223" s="218" t="s">
        <v>267</v>
      </c>
      <c r="D1223" s="219" t="s">
        <v>1520</v>
      </c>
      <c r="E1223" s="220"/>
      <c r="F1223" s="220"/>
      <c r="G1223" s="220" t="s">
        <v>2041</v>
      </c>
      <c r="H1223" s="231">
        <v>43312</v>
      </c>
    </row>
    <row r="1224" spans="1:8" customFormat="1" ht="21.9">
      <c r="A1224" s="221">
        <v>43312</v>
      </c>
      <c r="B1224" s="217" t="s">
        <v>423</v>
      </c>
      <c r="C1224" s="218" t="s">
        <v>267</v>
      </c>
      <c r="D1224" s="219" t="s">
        <v>2042</v>
      </c>
      <c r="E1224" s="220"/>
      <c r="F1224" s="220"/>
      <c r="G1224" s="220" t="s">
        <v>2043</v>
      </c>
      <c r="H1224" s="231">
        <v>43312</v>
      </c>
    </row>
    <row r="1225" spans="1:8" customFormat="1" ht="21.9">
      <c r="A1225" s="221">
        <v>43312</v>
      </c>
      <c r="B1225" s="217" t="s">
        <v>423</v>
      </c>
      <c r="C1225" s="218" t="s">
        <v>267</v>
      </c>
      <c r="D1225" s="219" t="s">
        <v>2044</v>
      </c>
      <c r="E1225" s="220"/>
      <c r="F1225" s="220"/>
      <c r="G1225" s="220" t="s">
        <v>2045</v>
      </c>
      <c r="H1225" s="231">
        <v>43312</v>
      </c>
    </row>
    <row r="1226" spans="1:8" customFormat="1" ht="21.9">
      <c r="A1226" s="221">
        <v>43312</v>
      </c>
      <c r="B1226" s="217" t="s">
        <v>423</v>
      </c>
      <c r="C1226" s="218" t="s">
        <v>267</v>
      </c>
      <c r="D1226" s="219" t="s">
        <v>1908</v>
      </c>
      <c r="E1226" s="220"/>
      <c r="F1226" s="220"/>
      <c r="G1226" s="220" t="s">
        <v>2046</v>
      </c>
      <c r="H1226" s="231">
        <v>43312</v>
      </c>
    </row>
    <row r="1227" spans="1:8" customFormat="1" ht="32.15">
      <c r="A1227" s="221">
        <v>43175</v>
      </c>
      <c r="B1227" s="217" t="s">
        <v>309</v>
      </c>
      <c r="C1227" s="218" t="s">
        <v>267</v>
      </c>
      <c r="D1227" s="219" t="s">
        <v>1437</v>
      </c>
      <c r="E1227" s="220"/>
      <c r="F1227" s="220"/>
      <c r="G1227" s="220" t="s">
        <v>2047</v>
      </c>
      <c r="H1227" s="231">
        <v>43175</v>
      </c>
    </row>
    <row r="1228" spans="1:8" customFormat="1" ht="52.75">
      <c r="A1228" s="221">
        <v>43175</v>
      </c>
      <c r="B1228" s="217" t="s">
        <v>380</v>
      </c>
      <c r="C1228" s="218" t="s">
        <v>220</v>
      </c>
      <c r="D1228" s="219" t="s">
        <v>2048</v>
      </c>
      <c r="E1228" s="220"/>
      <c r="F1228" s="220"/>
      <c r="G1228" s="220" t="s">
        <v>2049</v>
      </c>
      <c r="H1228" s="231">
        <v>43175</v>
      </c>
    </row>
    <row r="1229" spans="1:8" customFormat="1" ht="32.15">
      <c r="A1229" s="221">
        <v>43175</v>
      </c>
      <c r="B1229" s="217" t="s">
        <v>380</v>
      </c>
      <c r="C1229" s="218" t="s">
        <v>267</v>
      </c>
      <c r="D1229" s="219" t="s">
        <v>1772</v>
      </c>
      <c r="E1229" s="220"/>
      <c r="F1229" s="220"/>
      <c r="G1229" s="220" t="s">
        <v>2050</v>
      </c>
      <c r="H1229" s="231">
        <v>43175</v>
      </c>
    </row>
    <row r="1230" spans="1:8" customFormat="1" ht="32.15">
      <c r="A1230" s="221">
        <v>43175</v>
      </c>
      <c r="B1230" s="217" t="s">
        <v>380</v>
      </c>
      <c r="C1230" s="218" t="s">
        <v>267</v>
      </c>
      <c r="D1230" s="219" t="s">
        <v>2051</v>
      </c>
      <c r="E1230" s="220"/>
      <c r="F1230" s="220"/>
      <c r="G1230" s="220" t="s">
        <v>2052</v>
      </c>
      <c r="H1230" s="231">
        <v>43175</v>
      </c>
    </row>
    <row r="1231" spans="1:8" customFormat="1" ht="21.9">
      <c r="A1231" s="221">
        <v>43175</v>
      </c>
      <c r="B1231" s="217" t="s">
        <v>423</v>
      </c>
      <c r="C1231" s="218" t="s">
        <v>267</v>
      </c>
      <c r="D1231" s="219" t="s">
        <v>2053</v>
      </c>
      <c r="E1231" s="220"/>
      <c r="F1231" s="220"/>
      <c r="G1231" s="220" t="s">
        <v>2054</v>
      </c>
      <c r="H1231" s="231">
        <v>43175</v>
      </c>
    </row>
    <row r="1232" spans="1:8" customFormat="1" ht="21.9">
      <c r="A1232" s="221">
        <v>43091</v>
      </c>
      <c r="B1232" s="217" t="s">
        <v>7</v>
      </c>
      <c r="C1232" s="218" t="s">
        <v>1950</v>
      </c>
      <c r="D1232" s="219" t="s">
        <v>1568</v>
      </c>
      <c r="E1232" s="220"/>
      <c r="F1232" s="220"/>
      <c r="G1232" s="220" t="s">
        <v>2055</v>
      </c>
      <c r="H1232" s="231">
        <v>43091</v>
      </c>
    </row>
    <row r="1233" spans="1:8" customFormat="1" ht="42.45">
      <c r="A1233" s="221">
        <v>43091</v>
      </c>
      <c r="B1233" s="217" t="s">
        <v>7</v>
      </c>
      <c r="C1233" s="218" t="s">
        <v>1950</v>
      </c>
      <c r="D1233" s="219" t="s">
        <v>631</v>
      </c>
      <c r="E1233" s="220"/>
      <c r="F1233" s="220"/>
      <c r="G1233" s="220" t="s">
        <v>2056</v>
      </c>
      <c r="H1233" s="231">
        <v>43091</v>
      </c>
    </row>
    <row r="1234" spans="1:8" customFormat="1" ht="21.9">
      <c r="A1234" s="221">
        <v>43091</v>
      </c>
      <c r="B1234" s="217" t="s">
        <v>7</v>
      </c>
      <c r="C1234" s="218" t="s">
        <v>267</v>
      </c>
      <c r="D1234" s="219" t="s">
        <v>1814</v>
      </c>
      <c r="E1234" s="220"/>
      <c r="F1234" s="220"/>
      <c r="G1234" s="220" t="s">
        <v>2057</v>
      </c>
      <c r="H1234" s="231">
        <v>43091</v>
      </c>
    </row>
    <row r="1235" spans="1:8" customFormat="1" ht="32.15">
      <c r="A1235" s="221">
        <v>43091</v>
      </c>
      <c r="B1235" s="217" t="s">
        <v>7</v>
      </c>
      <c r="C1235" s="218" t="s">
        <v>267</v>
      </c>
      <c r="D1235" s="219" t="s">
        <v>1821</v>
      </c>
      <c r="E1235" s="220"/>
      <c r="F1235" s="220"/>
      <c r="G1235" s="220" t="s">
        <v>2058</v>
      </c>
      <c r="H1235" s="231">
        <v>43091</v>
      </c>
    </row>
    <row r="1236" spans="1:8" customFormat="1" ht="32.15">
      <c r="A1236" s="221">
        <v>43091</v>
      </c>
      <c r="B1236" s="217" t="s">
        <v>7</v>
      </c>
      <c r="C1236" s="218" t="s">
        <v>267</v>
      </c>
      <c r="D1236" s="219" t="s">
        <v>2059</v>
      </c>
      <c r="E1236" s="220"/>
      <c r="F1236" s="220"/>
      <c r="G1236" s="220" t="s">
        <v>2060</v>
      </c>
      <c r="H1236" s="231">
        <v>43091</v>
      </c>
    </row>
    <row r="1237" spans="1:8" customFormat="1" ht="21.9">
      <c r="A1237" s="221">
        <v>43091</v>
      </c>
      <c r="B1237" s="217" t="s">
        <v>7</v>
      </c>
      <c r="C1237" s="218" t="s">
        <v>267</v>
      </c>
      <c r="D1237" s="219" t="s">
        <v>2061</v>
      </c>
      <c r="E1237" s="220"/>
      <c r="F1237" s="220"/>
      <c r="G1237" s="220" t="s">
        <v>2062</v>
      </c>
      <c r="H1237" s="231">
        <v>43091</v>
      </c>
    </row>
    <row r="1238" spans="1:8" customFormat="1" ht="32.15">
      <c r="A1238" s="221">
        <v>43091</v>
      </c>
      <c r="B1238" s="217" t="s">
        <v>7</v>
      </c>
      <c r="C1238" s="218" t="s">
        <v>267</v>
      </c>
      <c r="D1238" s="219" t="s">
        <v>2063</v>
      </c>
      <c r="E1238" s="220"/>
      <c r="F1238" s="220"/>
      <c r="G1238" s="220" t="s">
        <v>2064</v>
      </c>
      <c r="H1238" s="231">
        <v>43091</v>
      </c>
    </row>
    <row r="1239" spans="1:8" customFormat="1" ht="32.15">
      <c r="A1239" s="221">
        <v>43091</v>
      </c>
      <c r="B1239" s="217" t="s">
        <v>7</v>
      </c>
      <c r="C1239" s="218" t="s">
        <v>267</v>
      </c>
      <c r="D1239" s="219" t="s">
        <v>2065</v>
      </c>
      <c r="E1239" s="220"/>
      <c r="F1239" s="220"/>
      <c r="G1239" s="220" t="s">
        <v>2066</v>
      </c>
      <c r="H1239" s="231">
        <v>43091</v>
      </c>
    </row>
    <row r="1240" spans="1:8" customFormat="1" ht="21.9">
      <c r="A1240" s="221">
        <v>43091</v>
      </c>
      <c r="B1240" s="217" t="s">
        <v>309</v>
      </c>
      <c r="C1240" s="218" t="s">
        <v>1950</v>
      </c>
      <c r="D1240" s="219" t="s">
        <v>1295</v>
      </c>
      <c r="E1240" s="220"/>
      <c r="F1240" s="220"/>
      <c r="G1240" s="220" t="s">
        <v>2067</v>
      </c>
      <c r="H1240" s="231">
        <v>43091</v>
      </c>
    </row>
    <row r="1241" spans="1:8" customFormat="1" ht="21.9">
      <c r="A1241" s="221">
        <v>43091</v>
      </c>
      <c r="B1241" s="217" t="s">
        <v>309</v>
      </c>
      <c r="C1241" s="218" t="s">
        <v>220</v>
      </c>
      <c r="D1241" s="219" t="s">
        <v>2068</v>
      </c>
      <c r="E1241" s="220"/>
      <c r="F1241" s="220"/>
      <c r="G1241" s="220" t="s">
        <v>2069</v>
      </c>
      <c r="H1241" s="231">
        <v>43091</v>
      </c>
    </row>
    <row r="1242" spans="1:8" customFormat="1" ht="21.9">
      <c r="A1242" s="221">
        <v>43091</v>
      </c>
      <c r="B1242" s="217" t="s">
        <v>309</v>
      </c>
      <c r="C1242" s="218" t="s">
        <v>267</v>
      </c>
      <c r="D1242" s="219" t="s">
        <v>1866</v>
      </c>
      <c r="E1242" s="220"/>
      <c r="F1242" s="220"/>
      <c r="G1242" s="220" t="s">
        <v>2070</v>
      </c>
      <c r="H1242" s="231">
        <v>43091</v>
      </c>
    </row>
    <row r="1243" spans="1:8" customFormat="1" ht="21.9">
      <c r="A1243" s="221">
        <v>43091</v>
      </c>
      <c r="B1243" s="217" t="s">
        <v>309</v>
      </c>
      <c r="C1243" s="218" t="s">
        <v>267</v>
      </c>
      <c r="D1243" s="219" t="s">
        <v>2071</v>
      </c>
      <c r="E1243" s="220"/>
      <c r="F1243" s="220"/>
      <c r="G1243" s="220" t="s">
        <v>2072</v>
      </c>
      <c r="H1243" s="231">
        <v>43091</v>
      </c>
    </row>
    <row r="1244" spans="1:8" customFormat="1" ht="32.15">
      <c r="A1244" s="221">
        <v>43091</v>
      </c>
      <c r="B1244" s="217" t="s">
        <v>309</v>
      </c>
      <c r="C1244" s="218" t="s">
        <v>267</v>
      </c>
      <c r="D1244" s="219" t="s">
        <v>1387</v>
      </c>
      <c r="E1244" s="220"/>
      <c r="F1244" s="220"/>
      <c r="G1244" s="220" t="s">
        <v>2073</v>
      </c>
      <c r="H1244" s="231">
        <v>43091</v>
      </c>
    </row>
    <row r="1245" spans="1:8" customFormat="1" ht="21.9">
      <c r="A1245" s="221">
        <v>43091</v>
      </c>
      <c r="B1245" s="217" t="s">
        <v>309</v>
      </c>
      <c r="C1245" s="218" t="s">
        <v>267</v>
      </c>
      <c r="D1245" s="219" t="s">
        <v>1870</v>
      </c>
      <c r="E1245" s="220"/>
      <c r="F1245" s="220"/>
      <c r="G1245" s="220" t="s">
        <v>2074</v>
      </c>
      <c r="H1245" s="231">
        <v>43091</v>
      </c>
    </row>
    <row r="1246" spans="1:8" customFormat="1" ht="21.9">
      <c r="A1246" s="221">
        <v>43091</v>
      </c>
      <c r="B1246" s="217" t="s">
        <v>309</v>
      </c>
      <c r="C1246" s="218" t="s">
        <v>267</v>
      </c>
      <c r="D1246" s="219" t="s">
        <v>1852</v>
      </c>
      <c r="E1246" s="220"/>
      <c r="F1246" s="220"/>
      <c r="G1246" s="220" t="s">
        <v>2075</v>
      </c>
      <c r="H1246" s="231">
        <v>43091</v>
      </c>
    </row>
    <row r="1247" spans="1:8" customFormat="1" ht="21.9">
      <c r="A1247" s="221">
        <v>43091</v>
      </c>
      <c r="B1247" s="217" t="s">
        <v>309</v>
      </c>
      <c r="C1247" s="218" t="s">
        <v>267</v>
      </c>
      <c r="D1247" s="219" t="s">
        <v>2076</v>
      </c>
      <c r="E1247" s="220"/>
      <c r="F1247" s="220"/>
      <c r="G1247" s="220" t="s">
        <v>2077</v>
      </c>
      <c r="H1247" s="231">
        <v>43091</v>
      </c>
    </row>
    <row r="1248" spans="1:8" customFormat="1" ht="21.9">
      <c r="A1248" s="221">
        <v>43091</v>
      </c>
      <c r="B1248" s="217" t="s">
        <v>309</v>
      </c>
      <c r="C1248" s="218" t="s">
        <v>267</v>
      </c>
      <c r="D1248" s="219" t="s">
        <v>2000</v>
      </c>
      <c r="E1248" s="220"/>
      <c r="F1248" s="220"/>
      <c r="G1248" s="220" t="s">
        <v>2078</v>
      </c>
      <c r="H1248" s="231">
        <v>43091</v>
      </c>
    </row>
    <row r="1249" spans="1:8" customFormat="1" ht="21.9">
      <c r="A1249" s="221">
        <v>43091</v>
      </c>
      <c r="B1249" s="217" t="s">
        <v>309</v>
      </c>
      <c r="C1249" s="218" t="s">
        <v>267</v>
      </c>
      <c r="D1249" s="219" t="s">
        <v>1858</v>
      </c>
      <c r="E1249" s="220"/>
      <c r="F1249" s="220"/>
      <c r="G1249" s="220" t="s">
        <v>2079</v>
      </c>
      <c r="H1249" s="231">
        <v>43091</v>
      </c>
    </row>
    <row r="1250" spans="1:8" customFormat="1" ht="32.15">
      <c r="A1250" s="221">
        <v>43091</v>
      </c>
      <c r="B1250" s="217" t="s">
        <v>309</v>
      </c>
      <c r="C1250" s="218" t="s">
        <v>267</v>
      </c>
      <c r="D1250" s="219" t="s">
        <v>2004</v>
      </c>
      <c r="E1250" s="220"/>
      <c r="F1250" s="220"/>
      <c r="G1250" s="220" t="s">
        <v>2080</v>
      </c>
      <c r="H1250" s="231">
        <v>43091</v>
      </c>
    </row>
    <row r="1251" spans="1:8" customFormat="1" ht="21.9">
      <c r="A1251" s="221">
        <v>43091</v>
      </c>
      <c r="B1251" s="217" t="s">
        <v>309</v>
      </c>
      <c r="C1251" s="218" t="s">
        <v>267</v>
      </c>
      <c r="D1251" s="219" t="s">
        <v>2081</v>
      </c>
      <c r="E1251" s="220"/>
      <c r="F1251" s="220"/>
      <c r="G1251" s="220" t="s">
        <v>2082</v>
      </c>
      <c r="H1251" s="231">
        <v>43091</v>
      </c>
    </row>
    <row r="1252" spans="1:8" customFormat="1" ht="21.9">
      <c r="A1252" s="221">
        <v>43091</v>
      </c>
      <c r="B1252" s="217" t="s">
        <v>309</v>
      </c>
      <c r="C1252" s="218" t="s">
        <v>267</v>
      </c>
      <c r="D1252" s="219" t="s">
        <v>2083</v>
      </c>
      <c r="E1252" s="220"/>
      <c r="F1252" s="220"/>
      <c r="G1252" s="220" t="s">
        <v>2084</v>
      </c>
      <c r="H1252" s="231">
        <v>43091</v>
      </c>
    </row>
    <row r="1253" spans="1:8" customFormat="1" ht="21.9">
      <c r="A1253" s="221">
        <v>43091</v>
      </c>
      <c r="B1253" s="217" t="s">
        <v>309</v>
      </c>
      <c r="C1253" s="218" t="s">
        <v>267</v>
      </c>
      <c r="D1253" s="219" t="s">
        <v>2085</v>
      </c>
      <c r="E1253" s="220"/>
      <c r="F1253" s="220"/>
      <c r="G1253" s="220" t="s">
        <v>2086</v>
      </c>
      <c r="H1253" s="231">
        <v>43091</v>
      </c>
    </row>
    <row r="1254" spans="1:8" customFormat="1" ht="32.15">
      <c r="A1254" s="221">
        <v>43091</v>
      </c>
      <c r="B1254" s="217" t="s">
        <v>309</v>
      </c>
      <c r="C1254" s="218" t="s">
        <v>267</v>
      </c>
      <c r="D1254" s="219" t="s">
        <v>1431</v>
      </c>
      <c r="E1254" s="220"/>
      <c r="F1254" s="220"/>
      <c r="G1254" s="220" t="s">
        <v>2087</v>
      </c>
      <c r="H1254" s="231">
        <v>43091</v>
      </c>
    </row>
    <row r="1255" spans="1:8" customFormat="1" ht="21.9">
      <c r="A1255" s="221">
        <v>43091</v>
      </c>
      <c r="B1255" s="217" t="s">
        <v>309</v>
      </c>
      <c r="C1255" s="218" t="s">
        <v>267</v>
      </c>
      <c r="D1255" s="219" t="s">
        <v>2088</v>
      </c>
      <c r="E1255" s="220"/>
      <c r="F1255" s="220"/>
      <c r="G1255" s="220" t="s">
        <v>2089</v>
      </c>
      <c r="H1255" s="231">
        <v>43091</v>
      </c>
    </row>
    <row r="1256" spans="1:8" customFormat="1" ht="21.9">
      <c r="A1256" s="221">
        <v>43091</v>
      </c>
      <c r="B1256" s="217" t="s">
        <v>309</v>
      </c>
      <c r="C1256" s="218" t="s">
        <v>267</v>
      </c>
      <c r="D1256" s="219" t="s">
        <v>2090</v>
      </c>
      <c r="E1256" s="220"/>
      <c r="F1256" s="220"/>
      <c r="G1256" s="220" t="s">
        <v>2091</v>
      </c>
      <c r="H1256" s="231">
        <v>43091</v>
      </c>
    </row>
    <row r="1257" spans="1:8" customFormat="1" ht="21.9">
      <c r="A1257" s="221">
        <v>43091</v>
      </c>
      <c r="B1257" s="217" t="s">
        <v>309</v>
      </c>
      <c r="C1257" s="218" t="s">
        <v>267</v>
      </c>
      <c r="D1257" s="219" t="s">
        <v>2092</v>
      </c>
      <c r="E1257" s="220"/>
      <c r="F1257" s="220"/>
      <c r="G1257" s="220" t="s">
        <v>2093</v>
      </c>
      <c r="H1257" s="231">
        <v>43091</v>
      </c>
    </row>
    <row r="1258" spans="1:8" customFormat="1" ht="32.15">
      <c r="A1258" s="221">
        <v>43091</v>
      </c>
      <c r="B1258" s="217" t="s">
        <v>309</v>
      </c>
      <c r="C1258" s="218" t="s">
        <v>267</v>
      </c>
      <c r="D1258" s="219" t="s">
        <v>2002</v>
      </c>
      <c r="E1258" s="220"/>
      <c r="F1258" s="220"/>
      <c r="G1258" s="220" t="s">
        <v>2094</v>
      </c>
      <c r="H1258" s="231">
        <v>43091</v>
      </c>
    </row>
    <row r="1259" spans="1:8" customFormat="1" ht="32.15">
      <c r="A1259" s="221">
        <v>43091</v>
      </c>
      <c r="B1259" s="217" t="s">
        <v>309</v>
      </c>
      <c r="C1259" s="218" t="s">
        <v>267</v>
      </c>
      <c r="D1259" s="219" t="s">
        <v>2006</v>
      </c>
      <c r="E1259" s="220"/>
      <c r="F1259" s="220"/>
      <c r="G1259" s="220" t="s">
        <v>2095</v>
      </c>
      <c r="H1259" s="231">
        <v>43091</v>
      </c>
    </row>
    <row r="1260" spans="1:8" customFormat="1" ht="32.15">
      <c r="A1260" s="221">
        <v>43091</v>
      </c>
      <c r="B1260" s="217" t="s">
        <v>309</v>
      </c>
      <c r="C1260" s="218" t="s">
        <v>267</v>
      </c>
      <c r="D1260" s="219" t="s">
        <v>2096</v>
      </c>
      <c r="E1260" s="220"/>
      <c r="F1260" s="220"/>
      <c r="G1260" s="220" t="s">
        <v>2097</v>
      </c>
      <c r="H1260" s="231">
        <v>43091</v>
      </c>
    </row>
    <row r="1261" spans="1:8" customFormat="1" ht="21.9">
      <c r="A1261" s="221">
        <v>43091</v>
      </c>
      <c r="B1261" s="217" t="s">
        <v>309</v>
      </c>
      <c r="C1261" s="218" t="s">
        <v>267</v>
      </c>
      <c r="D1261" s="219" t="s">
        <v>2098</v>
      </c>
      <c r="E1261" s="220"/>
      <c r="F1261" s="220"/>
      <c r="G1261" s="220" t="s">
        <v>2099</v>
      </c>
      <c r="H1261" s="231">
        <v>43091</v>
      </c>
    </row>
    <row r="1262" spans="1:8" customFormat="1" ht="21.9">
      <c r="A1262" s="221">
        <v>43091</v>
      </c>
      <c r="B1262" s="217" t="s">
        <v>309</v>
      </c>
      <c r="C1262" s="218" t="s">
        <v>267</v>
      </c>
      <c r="D1262" s="219" t="s">
        <v>2100</v>
      </c>
      <c r="E1262" s="220"/>
      <c r="F1262" s="220"/>
      <c r="G1262" s="220" t="s">
        <v>2101</v>
      </c>
      <c r="H1262" s="231">
        <v>43091</v>
      </c>
    </row>
    <row r="1263" spans="1:8" customFormat="1" ht="21.9">
      <c r="A1263" s="221">
        <v>43091</v>
      </c>
      <c r="B1263" s="217" t="s">
        <v>309</v>
      </c>
      <c r="C1263" s="218" t="s">
        <v>267</v>
      </c>
      <c r="D1263" s="219" t="s">
        <v>2102</v>
      </c>
      <c r="E1263" s="220"/>
      <c r="F1263" s="220"/>
      <c r="G1263" s="220" t="s">
        <v>2103</v>
      </c>
      <c r="H1263" s="231">
        <v>43091</v>
      </c>
    </row>
    <row r="1264" spans="1:8" customFormat="1" ht="21.9">
      <c r="A1264" s="221">
        <v>43091</v>
      </c>
      <c r="B1264" s="217" t="s">
        <v>380</v>
      </c>
      <c r="C1264" s="218" t="s">
        <v>267</v>
      </c>
      <c r="D1264" s="219" t="s">
        <v>2104</v>
      </c>
      <c r="E1264" s="220"/>
      <c r="F1264" s="220"/>
      <c r="G1264" s="220" t="s">
        <v>2105</v>
      </c>
      <c r="H1264" s="231">
        <v>43091</v>
      </c>
    </row>
    <row r="1265" spans="1:8" customFormat="1" ht="21.9">
      <c r="A1265" s="221">
        <v>43091</v>
      </c>
      <c r="B1265" s="217" t="s">
        <v>380</v>
      </c>
      <c r="C1265" s="218" t="s">
        <v>267</v>
      </c>
      <c r="D1265" s="219" t="s">
        <v>1802</v>
      </c>
      <c r="E1265" s="220"/>
      <c r="F1265" s="220"/>
      <c r="G1265" s="220" t="s">
        <v>2106</v>
      </c>
      <c r="H1265" s="231">
        <v>43091</v>
      </c>
    </row>
    <row r="1266" spans="1:8" customFormat="1" ht="21.9">
      <c r="A1266" s="221">
        <v>43091</v>
      </c>
      <c r="B1266" s="217" t="s">
        <v>380</v>
      </c>
      <c r="C1266" s="218" t="s">
        <v>1931</v>
      </c>
      <c r="D1266" s="219" t="s">
        <v>2107</v>
      </c>
      <c r="E1266" s="220"/>
      <c r="F1266" s="220"/>
      <c r="G1266" s="220" t="s">
        <v>2108</v>
      </c>
      <c r="H1266" s="231">
        <v>43091</v>
      </c>
    </row>
    <row r="1267" spans="1:8" customFormat="1" ht="21.9">
      <c r="A1267" s="221">
        <v>43091</v>
      </c>
      <c r="B1267" s="217" t="s">
        <v>380</v>
      </c>
      <c r="C1267" s="218" t="s">
        <v>1931</v>
      </c>
      <c r="D1267" s="219" t="s">
        <v>2109</v>
      </c>
      <c r="E1267" s="220"/>
      <c r="F1267" s="220"/>
      <c r="G1267" s="220" t="s">
        <v>2110</v>
      </c>
      <c r="H1267" s="231">
        <v>43091</v>
      </c>
    </row>
    <row r="1268" spans="1:8" customFormat="1" ht="21.9">
      <c r="A1268" s="221">
        <v>43091</v>
      </c>
      <c r="B1268" s="217" t="s">
        <v>380</v>
      </c>
      <c r="C1268" s="218" t="s">
        <v>1931</v>
      </c>
      <c r="D1268" s="219" t="s">
        <v>2111</v>
      </c>
      <c r="E1268" s="220"/>
      <c r="F1268" s="220"/>
      <c r="G1268" s="220" t="s">
        <v>2112</v>
      </c>
      <c r="H1268" s="231">
        <v>43091</v>
      </c>
    </row>
    <row r="1269" spans="1:8" customFormat="1" ht="32.15">
      <c r="A1269" s="221">
        <v>43091</v>
      </c>
      <c r="B1269" s="217" t="s">
        <v>565</v>
      </c>
      <c r="C1269" s="218" t="s">
        <v>220</v>
      </c>
      <c r="D1269" s="219" t="s">
        <v>1901</v>
      </c>
      <c r="E1269" s="220"/>
      <c r="F1269" s="220"/>
      <c r="G1269" s="220" t="s">
        <v>2113</v>
      </c>
      <c r="H1269" s="231">
        <v>43091</v>
      </c>
    </row>
    <row r="1270" spans="1:8" customFormat="1" ht="21.9">
      <c r="A1270" s="221">
        <v>43091</v>
      </c>
      <c r="B1270" s="217" t="s">
        <v>423</v>
      </c>
      <c r="C1270" s="218" t="s">
        <v>220</v>
      </c>
      <c r="D1270" s="219" t="s">
        <v>1971</v>
      </c>
      <c r="E1270" s="220"/>
      <c r="F1270" s="220"/>
      <c r="G1270" s="220" t="s">
        <v>2114</v>
      </c>
      <c r="H1270" s="231">
        <v>43091</v>
      </c>
    </row>
    <row r="1271" spans="1:8" customFormat="1" ht="21.9">
      <c r="A1271" s="221">
        <v>43091</v>
      </c>
      <c r="B1271" s="217" t="s">
        <v>423</v>
      </c>
      <c r="C1271" s="218" t="s">
        <v>267</v>
      </c>
      <c r="D1271" s="219" t="s">
        <v>1905</v>
      </c>
      <c r="E1271" s="220"/>
      <c r="F1271" s="220"/>
      <c r="G1271" s="220" t="s">
        <v>2115</v>
      </c>
      <c r="H1271" s="231">
        <v>43091</v>
      </c>
    </row>
    <row r="1272" spans="1:8" customFormat="1" ht="21.9">
      <c r="A1272" s="221">
        <v>43091</v>
      </c>
      <c r="B1272" s="217" t="s">
        <v>423</v>
      </c>
      <c r="C1272" s="218" t="s">
        <v>267</v>
      </c>
      <c r="D1272" s="219" t="s">
        <v>1060</v>
      </c>
      <c r="E1272" s="220"/>
      <c r="F1272" s="220"/>
      <c r="G1272" s="220" t="s">
        <v>2116</v>
      </c>
      <c r="H1272" s="231">
        <v>43091</v>
      </c>
    </row>
    <row r="1273" spans="1:8" customFormat="1" ht="21.9">
      <c r="A1273" s="221">
        <v>43091</v>
      </c>
      <c r="B1273" s="217" t="s">
        <v>423</v>
      </c>
      <c r="C1273" s="218" t="s">
        <v>267</v>
      </c>
      <c r="D1273" s="219" t="s">
        <v>2117</v>
      </c>
      <c r="E1273" s="220"/>
      <c r="F1273" s="220"/>
      <c r="G1273" s="220" t="s">
        <v>2118</v>
      </c>
      <c r="H1273" s="231">
        <v>43091</v>
      </c>
    </row>
    <row r="1274" spans="1:8" customFormat="1" ht="21.9">
      <c r="A1274" s="221">
        <v>43091</v>
      </c>
      <c r="B1274" s="217" t="s">
        <v>423</v>
      </c>
      <c r="C1274" s="218" t="s">
        <v>267</v>
      </c>
      <c r="D1274" s="219" t="s">
        <v>2119</v>
      </c>
      <c r="E1274" s="220"/>
      <c r="F1274" s="220"/>
      <c r="G1274" s="220" t="s">
        <v>2120</v>
      </c>
      <c r="H1274" s="231">
        <v>43091</v>
      </c>
    </row>
    <row r="1275" spans="1:8" customFormat="1" ht="21.9">
      <c r="A1275" s="221">
        <v>43091</v>
      </c>
      <c r="B1275" s="217" t="s">
        <v>423</v>
      </c>
      <c r="C1275" s="218" t="s">
        <v>267</v>
      </c>
      <c r="D1275" s="219" t="s">
        <v>823</v>
      </c>
      <c r="E1275" s="220"/>
      <c r="F1275" s="220"/>
      <c r="G1275" s="220" t="s">
        <v>2121</v>
      </c>
      <c r="H1275" s="231">
        <v>43091</v>
      </c>
    </row>
    <row r="1276" spans="1:8" customFormat="1" ht="32.15">
      <c r="A1276" s="221">
        <v>43091</v>
      </c>
      <c r="B1276" s="217" t="s">
        <v>423</v>
      </c>
      <c r="C1276" s="218" t="s">
        <v>267</v>
      </c>
      <c r="D1276" s="219" t="s">
        <v>2122</v>
      </c>
      <c r="E1276" s="220"/>
      <c r="F1276" s="220"/>
      <c r="G1276" s="220" t="s">
        <v>2123</v>
      </c>
      <c r="H1276" s="231">
        <v>43091</v>
      </c>
    </row>
    <row r="1277" spans="1:8" customFormat="1" ht="32.15">
      <c r="A1277" s="221">
        <v>43091</v>
      </c>
      <c r="B1277" s="217" t="s">
        <v>423</v>
      </c>
      <c r="C1277" s="218" t="s">
        <v>267</v>
      </c>
      <c r="D1277" s="219" t="s">
        <v>1602</v>
      </c>
      <c r="E1277" s="220"/>
      <c r="F1277" s="220"/>
      <c r="G1277" s="220" t="s">
        <v>2124</v>
      </c>
      <c r="H1277" s="231">
        <v>43091</v>
      </c>
    </row>
    <row r="1278" spans="1:8" customFormat="1" ht="32.15">
      <c r="A1278" s="221">
        <v>42891</v>
      </c>
      <c r="B1278" s="217" t="s">
        <v>7</v>
      </c>
      <c r="C1278" s="218" t="s">
        <v>220</v>
      </c>
      <c r="D1278" s="219" t="s">
        <v>2125</v>
      </c>
      <c r="E1278" s="220"/>
      <c r="F1278" s="220"/>
      <c r="G1278" s="220" t="s">
        <v>2126</v>
      </c>
      <c r="H1278" s="231">
        <v>42891</v>
      </c>
    </row>
    <row r="1279" spans="1:8" customFormat="1" ht="21.9">
      <c r="A1279" s="221">
        <v>42891</v>
      </c>
      <c r="B1279" s="217" t="s">
        <v>7</v>
      </c>
      <c r="C1279" s="218" t="s">
        <v>267</v>
      </c>
      <c r="D1279" s="219" t="s">
        <v>2127</v>
      </c>
      <c r="E1279" s="220"/>
      <c r="F1279" s="220"/>
      <c r="G1279" s="220" t="s">
        <v>2128</v>
      </c>
      <c r="H1279" s="231">
        <v>42891</v>
      </c>
    </row>
    <row r="1280" spans="1:8" customFormat="1" ht="32.15">
      <c r="A1280" s="221">
        <v>42891</v>
      </c>
      <c r="B1280" s="217" t="s">
        <v>7</v>
      </c>
      <c r="C1280" s="218" t="s">
        <v>267</v>
      </c>
      <c r="D1280" s="219" t="s">
        <v>2129</v>
      </c>
      <c r="E1280" s="220"/>
      <c r="F1280" s="220"/>
      <c r="G1280" s="220" t="s">
        <v>2130</v>
      </c>
      <c r="H1280" s="231">
        <v>42891</v>
      </c>
    </row>
    <row r="1281" spans="1:8" customFormat="1" ht="32.15">
      <c r="A1281" s="221">
        <v>42891</v>
      </c>
      <c r="B1281" s="217" t="s">
        <v>309</v>
      </c>
      <c r="C1281" s="218" t="s">
        <v>220</v>
      </c>
      <c r="D1281" s="219" t="s">
        <v>2131</v>
      </c>
      <c r="E1281" s="220"/>
      <c r="F1281" s="220"/>
      <c r="G1281" s="220" t="s">
        <v>2132</v>
      </c>
      <c r="H1281" s="231">
        <v>42891</v>
      </c>
    </row>
    <row r="1282" spans="1:8" customFormat="1" ht="32.15">
      <c r="A1282" s="221">
        <v>42891</v>
      </c>
      <c r="B1282" s="217" t="s">
        <v>309</v>
      </c>
      <c r="C1282" s="218" t="s">
        <v>220</v>
      </c>
      <c r="D1282" s="219" t="s">
        <v>2133</v>
      </c>
      <c r="E1282" s="220"/>
      <c r="F1282" s="220"/>
      <c r="G1282" s="220" t="s">
        <v>2134</v>
      </c>
      <c r="H1282" s="231">
        <v>42891</v>
      </c>
    </row>
    <row r="1283" spans="1:8" customFormat="1" ht="32.15">
      <c r="A1283" s="221">
        <v>42891</v>
      </c>
      <c r="B1283" s="217" t="s">
        <v>309</v>
      </c>
      <c r="C1283" s="218" t="s">
        <v>220</v>
      </c>
      <c r="D1283" s="219" t="s">
        <v>2135</v>
      </c>
      <c r="E1283" s="220"/>
      <c r="F1283" s="220"/>
      <c r="G1283" s="220" t="s">
        <v>2136</v>
      </c>
      <c r="H1283" s="231">
        <v>42891</v>
      </c>
    </row>
    <row r="1284" spans="1:8" customFormat="1" ht="32.15">
      <c r="A1284" s="221">
        <v>42891</v>
      </c>
      <c r="B1284" s="217" t="s">
        <v>309</v>
      </c>
      <c r="C1284" s="218" t="s">
        <v>220</v>
      </c>
      <c r="D1284" s="219" t="s">
        <v>2068</v>
      </c>
      <c r="E1284" s="220"/>
      <c r="F1284" s="220"/>
      <c r="G1284" s="220" t="s">
        <v>2137</v>
      </c>
      <c r="H1284" s="231">
        <v>42891</v>
      </c>
    </row>
    <row r="1285" spans="1:8" customFormat="1" ht="32.15">
      <c r="A1285" s="221">
        <v>42891</v>
      </c>
      <c r="B1285" s="217" t="s">
        <v>309</v>
      </c>
      <c r="C1285" s="218" t="s">
        <v>267</v>
      </c>
      <c r="D1285" s="219" t="s">
        <v>1866</v>
      </c>
      <c r="E1285" s="220"/>
      <c r="F1285" s="220"/>
      <c r="G1285" s="220" t="s">
        <v>2138</v>
      </c>
      <c r="H1285" s="231">
        <v>42891</v>
      </c>
    </row>
    <row r="1286" spans="1:8" customFormat="1" ht="32.15">
      <c r="A1286" s="221">
        <v>42891</v>
      </c>
      <c r="B1286" s="217" t="s">
        <v>309</v>
      </c>
      <c r="C1286" s="218" t="s">
        <v>267</v>
      </c>
      <c r="D1286" s="219" t="s">
        <v>2085</v>
      </c>
      <c r="E1286" s="220"/>
      <c r="F1286" s="220"/>
      <c r="G1286" s="220" t="s">
        <v>2139</v>
      </c>
      <c r="H1286" s="231">
        <v>42891</v>
      </c>
    </row>
    <row r="1287" spans="1:8" customFormat="1" ht="32.15">
      <c r="A1287" s="221">
        <v>42891</v>
      </c>
      <c r="B1287" s="217" t="s">
        <v>309</v>
      </c>
      <c r="C1287" s="218" t="s">
        <v>267</v>
      </c>
      <c r="D1287" s="219" t="s">
        <v>1861</v>
      </c>
      <c r="E1287" s="220"/>
      <c r="F1287" s="220"/>
      <c r="G1287" s="220" t="s">
        <v>2140</v>
      </c>
      <c r="H1287" s="231">
        <v>42891</v>
      </c>
    </row>
    <row r="1288" spans="1:8" customFormat="1" ht="32.15">
      <c r="A1288" s="221">
        <v>42891</v>
      </c>
      <c r="B1288" s="217" t="s">
        <v>309</v>
      </c>
      <c r="C1288" s="218" t="s">
        <v>267</v>
      </c>
      <c r="D1288" s="219" t="s">
        <v>2141</v>
      </c>
      <c r="E1288" s="220"/>
      <c r="F1288" s="220"/>
      <c r="G1288" s="220" t="s">
        <v>2142</v>
      </c>
      <c r="H1288" s="231">
        <v>42891</v>
      </c>
    </row>
    <row r="1289" spans="1:8" customFormat="1" ht="32.15">
      <c r="A1289" s="221">
        <v>42891</v>
      </c>
      <c r="B1289" s="217" t="s">
        <v>380</v>
      </c>
      <c r="C1289" s="218" t="s">
        <v>1950</v>
      </c>
      <c r="D1289" s="219" t="s">
        <v>1961</v>
      </c>
      <c r="E1289" s="220"/>
      <c r="F1289" s="220"/>
      <c r="G1289" s="220" t="s">
        <v>2143</v>
      </c>
      <c r="H1289" s="231">
        <v>42891</v>
      </c>
    </row>
    <row r="1290" spans="1:8" customFormat="1" ht="21.9">
      <c r="A1290" s="221">
        <v>42891</v>
      </c>
      <c r="B1290" s="217" t="s">
        <v>380</v>
      </c>
      <c r="C1290" s="218" t="s">
        <v>267</v>
      </c>
      <c r="D1290" s="219" t="s">
        <v>2111</v>
      </c>
      <c r="E1290" s="220"/>
      <c r="F1290" s="220"/>
      <c r="G1290" s="220" t="s">
        <v>2144</v>
      </c>
      <c r="H1290" s="231">
        <v>42891</v>
      </c>
    </row>
    <row r="1291" spans="1:8" customFormat="1" ht="21.9">
      <c r="A1291" s="221">
        <v>42891</v>
      </c>
      <c r="B1291" s="217" t="s">
        <v>565</v>
      </c>
      <c r="C1291" s="218" t="s">
        <v>1950</v>
      </c>
      <c r="D1291" s="219" t="s">
        <v>2145</v>
      </c>
      <c r="E1291" s="220"/>
      <c r="F1291" s="220"/>
      <c r="G1291" s="220" t="s">
        <v>2146</v>
      </c>
      <c r="H1291" s="231">
        <v>42891</v>
      </c>
    </row>
    <row r="1292" spans="1:8" customFormat="1" ht="32.15">
      <c r="A1292" s="221">
        <v>42891</v>
      </c>
      <c r="B1292" s="217" t="s">
        <v>565</v>
      </c>
      <c r="C1292" s="218" t="s">
        <v>1950</v>
      </c>
      <c r="D1292" s="219" t="s">
        <v>2147</v>
      </c>
      <c r="E1292" s="220"/>
      <c r="F1292" s="220"/>
      <c r="G1292" s="220" t="s">
        <v>2148</v>
      </c>
      <c r="H1292" s="231">
        <v>42891</v>
      </c>
    </row>
    <row r="1293" spans="1:8" customFormat="1" ht="21.9">
      <c r="A1293" s="221">
        <v>42891</v>
      </c>
      <c r="B1293" s="217" t="s">
        <v>565</v>
      </c>
      <c r="C1293" s="218" t="s">
        <v>1950</v>
      </c>
      <c r="D1293" s="219" t="s">
        <v>2149</v>
      </c>
      <c r="E1293" s="220"/>
      <c r="F1293" s="220"/>
      <c r="G1293" s="220" t="s">
        <v>2150</v>
      </c>
      <c r="H1293" s="231">
        <v>42891</v>
      </c>
    </row>
    <row r="1294" spans="1:8" customFormat="1" ht="32.15">
      <c r="A1294" s="221">
        <v>42891</v>
      </c>
      <c r="B1294" s="217" t="s">
        <v>565</v>
      </c>
      <c r="C1294" s="218" t="s">
        <v>1950</v>
      </c>
      <c r="D1294" s="219" t="s">
        <v>2151</v>
      </c>
      <c r="E1294" s="220"/>
      <c r="F1294" s="220"/>
      <c r="G1294" s="220" t="s">
        <v>2152</v>
      </c>
      <c r="H1294" s="231">
        <v>42891</v>
      </c>
    </row>
    <row r="1295" spans="1:8" customFormat="1" ht="21.9">
      <c r="A1295" s="221">
        <v>42891</v>
      </c>
      <c r="B1295" s="217" t="s">
        <v>565</v>
      </c>
      <c r="C1295" s="218" t="s">
        <v>1950</v>
      </c>
      <c r="D1295" s="219" t="s">
        <v>2153</v>
      </c>
      <c r="E1295" s="220"/>
      <c r="F1295" s="220"/>
      <c r="G1295" s="220" t="s">
        <v>2154</v>
      </c>
      <c r="H1295" s="231">
        <v>42891</v>
      </c>
    </row>
    <row r="1296" spans="1:8" customFormat="1" ht="32.15">
      <c r="A1296" s="221">
        <v>42891</v>
      </c>
      <c r="B1296" s="217" t="s">
        <v>565</v>
      </c>
      <c r="C1296" s="218" t="s">
        <v>220</v>
      </c>
      <c r="D1296" s="219" t="s">
        <v>1901</v>
      </c>
      <c r="E1296" s="220"/>
      <c r="F1296" s="220"/>
      <c r="G1296" s="220" t="s">
        <v>2155</v>
      </c>
      <c r="H1296" s="231">
        <v>42891</v>
      </c>
    </row>
    <row r="1297" spans="1:8" customFormat="1" ht="21.9">
      <c r="A1297" s="221">
        <v>42891</v>
      </c>
      <c r="B1297" s="217" t="s">
        <v>423</v>
      </c>
      <c r="C1297" s="218" t="s">
        <v>1950</v>
      </c>
      <c r="D1297" s="219" t="s">
        <v>2156</v>
      </c>
      <c r="E1297" s="220"/>
      <c r="F1297" s="220"/>
      <c r="G1297" s="220" t="s">
        <v>2157</v>
      </c>
      <c r="H1297" s="231">
        <v>42891</v>
      </c>
    </row>
    <row r="1298" spans="1:8" customFormat="1" ht="32.15">
      <c r="A1298" s="221">
        <v>42891</v>
      </c>
      <c r="B1298" s="217" t="s">
        <v>423</v>
      </c>
      <c r="C1298" s="218" t="s">
        <v>220</v>
      </c>
      <c r="D1298" s="219" t="s">
        <v>2158</v>
      </c>
      <c r="E1298" s="220"/>
      <c r="F1298" s="220"/>
      <c r="G1298" s="220" t="s">
        <v>2159</v>
      </c>
      <c r="H1298" s="231">
        <v>42891</v>
      </c>
    </row>
    <row r="1299" spans="1:8" customFormat="1" ht="32.15">
      <c r="A1299" s="221">
        <v>42891</v>
      </c>
      <c r="B1299" s="217" t="s">
        <v>423</v>
      </c>
      <c r="C1299" s="218" t="s">
        <v>220</v>
      </c>
      <c r="D1299" s="219" t="s">
        <v>2160</v>
      </c>
      <c r="E1299" s="220"/>
      <c r="F1299" s="220"/>
      <c r="G1299" s="220" t="s">
        <v>2161</v>
      </c>
      <c r="H1299" s="231">
        <v>42891</v>
      </c>
    </row>
    <row r="1300" spans="1:8" customFormat="1" ht="32.15">
      <c r="A1300" s="221">
        <v>42891</v>
      </c>
      <c r="B1300" s="217" t="s">
        <v>423</v>
      </c>
      <c r="C1300" s="218" t="s">
        <v>267</v>
      </c>
      <c r="D1300" s="219" t="s">
        <v>1971</v>
      </c>
      <c r="E1300" s="220"/>
      <c r="F1300" s="220"/>
      <c r="G1300" s="220" t="s">
        <v>2162</v>
      </c>
      <c r="H1300" s="231">
        <v>42891</v>
      </c>
    </row>
    <row r="1301" spans="1:8" customFormat="1" ht="21.9">
      <c r="A1301" s="221">
        <v>42891</v>
      </c>
      <c r="B1301" s="217" t="s">
        <v>423</v>
      </c>
      <c r="C1301" s="218" t="s">
        <v>267</v>
      </c>
      <c r="D1301" s="219" t="s">
        <v>2163</v>
      </c>
      <c r="E1301" s="220"/>
      <c r="F1301" s="220"/>
      <c r="G1301" s="220" t="s">
        <v>2164</v>
      </c>
      <c r="H1301" s="231">
        <v>42891</v>
      </c>
    </row>
    <row r="1302" spans="1:8" customFormat="1" ht="32.15">
      <c r="A1302" s="221">
        <v>42810</v>
      </c>
      <c r="B1302" s="217" t="s">
        <v>565</v>
      </c>
      <c r="C1302" s="218" t="s">
        <v>267</v>
      </c>
      <c r="D1302" s="219" t="s">
        <v>2165</v>
      </c>
      <c r="E1302" s="220"/>
      <c r="F1302" s="220"/>
      <c r="G1302" s="220" t="s">
        <v>2166</v>
      </c>
      <c r="H1302" s="231">
        <v>42810</v>
      </c>
    </row>
    <row r="1303" spans="1:8" customFormat="1" ht="32.15">
      <c r="A1303" s="221">
        <v>42793</v>
      </c>
      <c r="B1303" s="217" t="s">
        <v>7</v>
      </c>
      <c r="C1303" s="218" t="s">
        <v>1950</v>
      </c>
      <c r="D1303" s="219" t="s">
        <v>2167</v>
      </c>
      <c r="E1303" s="220"/>
      <c r="F1303" s="220"/>
      <c r="G1303" s="220" t="s">
        <v>2168</v>
      </c>
      <c r="H1303" s="231">
        <v>42793</v>
      </c>
    </row>
    <row r="1304" spans="1:8" customFormat="1" ht="32.15">
      <c r="A1304" s="221">
        <v>42793</v>
      </c>
      <c r="B1304" s="217" t="s">
        <v>7</v>
      </c>
      <c r="C1304" s="218" t="s">
        <v>220</v>
      </c>
      <c r="D1304" s="219" t="s">
        <v>2169</v>
      </c>
      <c r="E1304" s="220"/>
      <c r="F1304" s="220"/>
      <c r="G1304" s="220" t="s">
        <v>2170</v>
      </c>
      <c r="H1304" s="231">
        <v>42793</v>
      </c>
    </row>
    <row r="1305" spans="1:8" customFormat="1" ht="21.9">
      <c r="A1305" s="221">
        <v>42793</v>
      </c>
      <c r="B1305" s="217" t="s">
        <v>7</v>
      </c>
      <c r="C1305" s="218" t="s">
        <v>267</v>
      </c>
      <c r="D1305" s="219" t="s">
        <v>2171</v>
      </c>
      <c r="E1305" s="220"/>
      <c r="F1305" s="220"/>
      <c r="G1305" s="220" t="s">
        <v>2172</v>
      </c>
      <c r="H1305" s="231">
        <v>42793</v>
      </c>
    </row>
    <row r="1306" spans="1:8" customFormat="1" ht="21.9">
      <c r="A1306" s="221">
        <v>42793</v>
      </c>
      <c r="B1306" s="217" t="s">
        <v>7</v>
      </c>
      <c r="C1306" s="218" t="s">
        <v>267</v>
      </c>
      <c r="D1306" s="219" t="s">
        <v>2173</v>
      </c>
      <c r="E1306" s="220"/>
      <c r="F1306" s="220"/>
      <c r="G1306" s="220" t="s">
        <v>2174</v>
      </c>
      <c r="H1306" s="231">
        <v>42793</v>
      </c>
    </row>
    <row r="1307" spans="1:8" customFormat="1" ht="52.75">
      <c r="A1307" s="221">
        <v>42793</v>
      </c>
      <c r="B1307" s="217" t="s">
        <v>380</v>
      </c>
      <c r="C1307" s="218" t="s">
        <v>220</v>
      </c>
      <c r="D1307" s="219" t="s">
        <v>2109</v>
      </c>
      <c r="E1307" s="220"/>
      <c r="F1307" s="220"/>
      <c r="G1307" s="220" t="s">
        <v>2175</v>
      </c>
      <c r="H1307" s="231">
        <v>42793</v>
      </c>
    </row>
    <row r="1308" spans="1:8" customFormat="1" ht="42.45">
      <c r="A1308" s="221">
        <v>42793</v>
      </c>
      <c r="B1308" s="217" t="s">
        <v>565</v>
      </c>
      <c r="C1308" s="218" t="s">
        <v>220</v>
      </c>
      <c r="D1308" s="219" t="s">
        <v>1901</v>
      </c>
      <c r="E1308" s="220"/>
      <c r="F1308" s="220"/>
      <c r="G1308" s="220" t="s">
        <v>2176</v>
      </c>
      <c r="H1308" s="231">
        <v>42793</v>
      </c>
    </row>
    <row r="1309" spans="1:8" customFormat="1" ht="32.15">
      <c r="A1309" s="221">
        <v>42793</v>
      </c>
      <c r="B1309" s="217" t="s">
        <v>423</v>
      </c>
      <c r="C1309" s="218" t="s">
        <v>267</v>
      </c>
      <c r="D1309" s="219" t="s">
        <v>2117</v>
      </c>
      <c r="E1309" s="220"/>
      <c r="F1309" s="220"/>
      <c r="G1309" s="220" t="s">
        <v>2177</v>
      </c>
      <c r="H1309" s="231">
        <v>42793</v>
      </c>
    </row>
    <row r="1310" spans="1:8" customFormat="1" ht="52.75">
      <c r="A1310" s="221">
        <v>42692</v>
      </c>
      <c r="B1310" s="217" t="s">
        <v>7</v>
      </c>
      <c r="C1310" s="218" t="s">
        <v>1950</v>
      </c>
      <c r="D1310" s="219" t="s">
        <v>1776</v>
      </c>
      <c r="E1310" s="220"/>
      <c r="F1310" s="220"/>
      <c r="G1310" s="220" t="s">
        <v>2178</v>
      </c>
      <c r="H1310" s="231">
        <v>42692</v>
      </c>
    </row>
    <row r="1311" spans="1:8" customFormat="1" ht="21.9">
      <c r="A1311" s="221">
        <v>42692</v>
      </c>
      <c r="B1311" s="217" t="s">
        <v>309</v>
      </c>
      <c r="C1311" s="218" t="s">
        <v>220</v>
      </c>
      <c r="D1311" s="219" t="s">
        <v>2179</v>
      </c>
      <c r="E1311" s="220"/>
      <c r="F1311" s="220"/>
      <c r="G1311" s="220" t="s">
        <v>2180</v>
      </c>
      <c r="H1311" s="231">
        <v>42692</v>
      </c>
    </row>
    <row r="1312" spans="1:8" customFormat="1" ht="21.9">
      <c r="A1312" s="221">
        <v>42692</v>
      </c>
      <c r="B1312" s="217" t="s">
        <v>309</v>
      </c>
      <c r="C1312" s="218" t="s">
        <v>220</v>
      </c>
      <c r="D1312" s="219" t="s">
        <v>353</v>
      </c>
      <c r="E1312" s="220"/>
      <c r="F1312" s="220"/>
      <c r="G1312" s="220" t="s">
        <v>2181</v>
      </c>
      <c r="H1312" s="231">
        <v>42692</v>
      </c>
    </row>
    <row r="1313" spans="1:8" customFormat="1" ht="21.9">
      <c r="A1313" s="221">
        <v>42692</v>
      </c>
      <c r="B1313" s="217" t="s">
        <v>309</v>
      </c>
      <c r="C1313" s="218" t="s">
        <v>220</v>
      </c>
      <c r="D1313" s="219" t="s">
        <v>2068</v>
      </c>
      <c r="E1313" s="220"/>
      <c r="F1313" s="220"/>
      <c r="G1313" s="220" t="s">
        <v>2182</v>
      </c>
      <c r="H1313" s="231">
        <v>42692</v>
      </c>
    </row>
    <row r="1314" spans="1:8" customFormat="1" ht="21.9">
      <c r="A1314" s="221">
        <v>42692</v>
      </c>
      <c r="B1314" s="217" t="s">
        <v>380</v>
      </c>
      <c r="C1314" s="218" t="s">
        <v>220</v>
      </c>
      <c r="D1314" s="219" t="s">
        <v>2183</v>
      </c>
      <c r="E1314" s="220"/>
      <c r="F1314" s="220"/>
      <c r="G1314" s="220" t="s">
        <v>2184</v>
      </c>
      <c r="H1314" s="231">
        <v>42692</v>
      </c>
    </row>
    <row r="1315" spans="1:8" customFormat="1" ht="32.15">
      <c r="A1315" s="221">
        <v>42692</v>
      </c>
      <c r="B1315" s="217" t="s">
        <v>380</v>
      </c>
      <c r="C1315" s="218" t="s">
        <v>220</v>
      </c>
      <c r="D1315" s="219" t="s">
        <v>2185</v>
      </c>
      <c r="E1315" s="220"/>
      <c r="F1315" s="220"/>
      <c r="G1315" s="220" t="s">
        <v>2186</v>
      </c>
      <c r="H1315" s="231">
        <v>42692</v>
      </c>
    </row>
    <row r="1316" spans="1:8" customFormat="1" ht="32.15">
      <c r="A1316" s="221">
        <v>42692</v>
      </c>
      <c r="B1316" s="217" t="s">
        <v>565</v>
      </c>
      <c r="C1316" s="218" t="s">
        <v>220</v>
      </c>
      <c r="D1316" s="219" t="s">
        <v>1901</v>
      </c>
      <c r="E1316" s="220"/>
      <c r="F1316" s="220"/>
      <c r="G1316" s="220" t="s">
        <v>2187</v>
      </c>
      <c r="H1316" s="231">
        <v>42692</v>
      </c>
    </row>
    <row r="1317" spans="1:8" customFormat="1" ht="21.9">
      <c r="A1317" s="221">
        <v>42692</v>
      </c>
      <c r="B1317" s="217" t="s">
        <v>423</v>
      </c>
      <c r="C1317" s="218" t="s">
        <v>220</v>
      </c>
      <c r="D1317" s="219" t="s">
        <v>2160</v>
      </c>
      <c r="E1317" s="220"/>
      <c r="F1317" s="220"/>
      <c r="G1317" s="220" t="s">
        <v>2188</v>
      </c>
      <c r="H1317" s="231">
        <v>42692</v>
      </c>
    </row>
    <row r="1318" spans="1:8" customFormat="1" ht="32.15">
      <c r="A1318" s="221">
        <v>42593</v>
      </c>
      <c r="B1318" s="217" t="s">
        <v>7</v>
      </c>
      <c r="C1318" s="218" t="s">
        <v>220</v>
      </c>
      <c r="D1318" s="219" t="s">
        <v>2189</v>
      </c>
      <c r="E1318" s="220"/>
      <c r="F1318" s="220"/>
      <c r="G1318" s="220" t="s">
        <v>2190</v>
      </c>
      <c r="H1318" s="231">
        <v>42593</v>
      </c>
    </row>
    <row r="1319" spans="1:8" customFormat="1" ht="32.15">
      <c r="A1319" s="221">
        <v>42593</v>
      </c>
      <c r="B1319" s="217" t="s">
        <v>7</v>
      </c>
      <c r="C1319" s="218" t="s">
        <v>220</v>
      </c>
      <c r="D1319" s="219" t="s">
        <v>2191</v>
      </c>
      <c r="E1319" s="220"/>
      <c r="F1319" s="220"/>
      <c r="G1319" s="220" t="s">
        <v>2192</v>
      </c>
      <c r="H1319" s="231">
        <v>42593</v>
      </c>
    </row>
    <row r="1320" spans="1:8" customFormat="1" ht="21.9">
      <c r="A1320" s="221">
        <v>42593</v>
      </c>
      <c r="B1320" s="217" t="s">
        <v>7</v>
      </c>
      <c r="C1320" s="218" t="s">
        <v>267</v>
      </c>
      <c r="D1320" s="219" t="s">
        <v>2125</v>
      </c>
      <c r="E1320" s="220"/>
      <c r="F1320" s="220"/>
      <c r="G1320" s="220" t="s">
        <v>2193</v>
      </c>
      <c r="H1320" s="231">
        <v>42593</v>
      </c>
    </row>
    <row r="1321" spans="1:8" customFormat="1" ht="21.9">
      <c r="A1321" s="221">
        <v>42593</v>
      </c>
      <c r="B1321" s="217" t="s">
        <v>7</v>
      </c>
      <c r="C1321" s="218" t="s">
        <v>267</v>
      </c>
      <c r="D1321" s="219" t="s">
        <v>2194</v>
      </c>
      <c r="E1321" s="220"/>
      <c r="F1321" s="220"/>
      <c r="G1321" s="220" t="s">
        <v>2195</v>
      </c>
      <c r="H1321" s="231">
        <v>42593</v>
      </c>
    </row>
    <row r="1322" spans="1:8" customFormat="1" ht="21.9">
      <c r="A1322" s="221">
        <v>42593</v>
      </c>
      <c r="B1322" s="217" t="s">
        <v>7</v>
      </c>
      <c r="C1322" s="218" t="s">
        <v>267</v>
      </c>
      <c r="D1322" s="219" t="s">
        <v>2169</v>
      </c>
      <c r="E1322" s="220"/>
      <c r="F1322" s="220"/>
      <c r="G1322" s="220" t="s">
        <v>2196</v>
      </c>
      <c r="H1322" s="231">
        <v>42593</v>
      </c>
    </row>
    <row r="1323" spans="1:8" customFormat="1" ht="21.9">
      <c r="A1323" s="221">
        <v>42593</v>
      </c>
      <c r="B1323" s="217" t="s">
        <v>309</v>
      </c>
      <c r="C1323" s="218" t="s">
        <v>220</v>
      </c>
      <c r="D1323" s="219" t="s">
        <v>2179</v>
      </c>
      <c r="E1323" s="220"/>
      <c r="F1323" s="220"/>
      <c r="G1323" s="220" t="s">
        <v>2197</v>
      </c>
      <c r="H1323" s="231">
        <v>42593</v>
      </c>
    </row>
    <row r="1324" spans="1:8" customFormat="1" ht="21.9">
      <c r="A1324" s="221">
        <v>42593</v>
      </c>
      <c r="B1324" s="217" t="s">
        <v>309</v>
      </c>
      <c r="C1324" s="218" t="s">
        <v>220</v>
      </c>
      <c r="D1324" s="219" t="s">
        <v>2198</v>
      </c>
      <c r="E1324" s="220"/>
      <c r="F1324" s="220"/>
      <c r="G1324" s="220" t="s">
        <v>2199</v>
      </c>
      <c r="H1324" s="231">
        <v>42593</v>
      </c>
    </row>
    <row r="1325" spans="1:8" customFormat="1">
      <c r="A1325" s="221">
        <v>42593</v>
      </c>
      <c r="B1325" s="217" t="s">
        <v>309</v>
      </c>
      <c r="C1325" s="218" t="s">
        <v>220</v>
      </c>
      <c r="D1325" s="219" t="s">
        <v>187</v>
      </c>
      <c r="E1325" s="220"/>
      <c r="F1325" s="220"/>
      <c r="G1325" s="220" t="s">
        <v>2200</v>
      </c>
      <c r="H1325" s="231">
        <v>42593</v>
      </c>
    </row>
    <row r="1326" spans="1:8" customFormat="1" ht="21.9">
      <c r="A1326" s="221">
        <v>42593</v>
      </c>
      <c r="B1326" s="217" t="s">
        <v>309</v>
      </c>
      <c r="C1326" s="218" t="s">
        <v>267</v>
      </c>
      <c r="D1326" s="219" t="s">
        <v>2201</v>
      </c>
      <c r="E1326" s="220"/>
      <c r="F1326" s="220"/>
      <c r="G1326" s="220" t="s">
        <v>2202</v>
      </c>
      <c r="H1326" s="231">
        <v>42593</v>
      </c>
    </row>
    <row r="1327" spans="1:8" customFormat="1" ht="21.9">
      <c r="A1327" s="221">
        <v>42593</v>
      </c>
      <c r="B1327" s="217" t="s">
        <v>309</v>
      </c>
      <c r="C1327" s="218" t="s">
        <v>267</v>
      </c>
      <c r="D1327" s="219" t="s">
        <v>353</v>
      </c>
      <c r="E1327" s="220"/>
      <c r="F1327" s="220"/>
      <c r="G1327" s="220" t="s">
        <v>2203</v>
      </c>
      <c r="H1327" s="231">
        <v>42593</v>
      </c>
    </row>
    <row r="1328" spans="1:8" customFormat="1" ht="32.15">
      <c r="A1328" s="221">
        <v>42593</v>
      </c>
      <c r="B1328" s="217" t="s">
        <v>380</v>
      </c>
      <c r="C1328" s="218" t="s">
        <v>220</v>
      </c>
      <c r="D1328" s="219" t="s">
        <v>2204</v>
      </c>
      <c r="E1328" s="220"/>
      <c r="F1328" s="220"/>
      <c r="G1328" s="220" t="s">
        <v>2205</v>
      </c>
      <c r="H1328" s="231">
        <v>42593</v>
      </c>
    </row>
    <row r="1329" spans="1:8" customFormat="1" ht="21.9">
      <c r="A1329" s="221">
        <v>42593</v>
      </c>
      <c r="B1329" s="217" t="s">
        <v>380</v>
      </c>
      <c r="C1329" s="218" t="s">
        <v>220</v>
      </c>
      <c r="D1329" s="219" t="s">
        <v>2191</v>
      </c>
      <c r="E1329" s="220"/>
      <c r="F1329" s="220"/>
      <c r="G1329" s="220" t="s">
        <v>2206</v>
      </c>
      <c r="H1329" s="231">
        <v>42593</v>
      </c>
    </row>
    <row r="1330" spans="1:8" customFormat="1" ht="21.9">
      <c r="A1330" s="221">
        <v>42593</v>
      </c>
      <c r="B1330" s="217" t="s">
        <v>380</v>
      </c>
      <c r="C1330" s="218" t="s">
        <v>220</v>
      </c>
      <c r="D1330" s="219" t="s">
        <v>2207</v>
      </c>
      <c r="E1330" s="220"/>
      <c r="F1330" s="220"/>
      <c r="G1330" s="220" t="s">
        <v>2208</v>
      </c>
      <c r="H1330" s="231">
        <v>42593</v>
      </c>
    </row>
    <row r="1331" spans="1:8" customFormat="1" ht="21.9">
      <c r="A1331" s="221">
        <v>42593</v>
      </c>
      <c r="B1331" s="217" t="s">
        <v>380</v>
      </c>
      <c r="C1331" s="218" t="s">
        <v>220</v>
      </c>
      <c r="D1331" s="219" t="s">
        <v>2209</v>
      </c>
      <c r="E1331" s="220"/>
      <c r="F1331" s="220"/>
      <c r="G1331" s="220" t="s">
        <v>2210</v>
      </c>
      <c r="H1331" s="231">
        <v>42593</v>
      </c>
    </row>
    <row r="1332" spans="1:8" customFormat="1" ht="32.15">
      <c r="A1332" s="221">
        <v>42593</v>
      </c>
      <c r="B1332" s="217" t="s">
        <v>380</v>
      </c>
      <c r="C1332" s="218" t="s">
        <v>220</v>
      </c>
      <c r="D1332" s="219" t="s">
        <v>2211</v>
      </c>
      <c r="E1332" s="220"/>
      <c r="F1332" s="220"/>
      <c r="G1332" s="220" t="s">
        <v>2212</v>
      </c>
      <c r="H1332" s="231">
        <v>42593</v>
      </c>
    </row>
    <row r="1333" spans="1:8" customFormat="1" ht="21.9">
      <c r="A1333" s="221">
        <v>42593</v>
      </c>
      <c r="B1333" s="217" t="s">
        <v>380</v>
      </c>
      <c r="C1333" s="218" t="s">
        <v>267</v>
      </c>
      <c r="D1333" s="219" t="s">
        <v>2213</v>
      </c>
      <c r="E1333" s="220"/>
      <c r="F1333" s="220"/>
      <c r="G1333" s="220" t="s">
        <v>2214</v>
      </c>
      <c r="H1333" s="231">
        <v>42593</v>
      </c>
    </row>
    <row r="1334" spans="1:8" customFormat="1" ht="21.9">
      <c r="A1334" s="221">
        <v>42593</v>
      </c>
      <c r="B1334" s="217" t="s">
        <v>380</v>
      </c>
      <c r="C1334" s="218" t="s">
        <v>267</v>
      </c>
      <c r="D1334" s="219" t="s">
        <v>2215</v>
      </c>
      <c r="E1334" s="220"/>
      <c r="F1334" s="220"/>
      <c r="G1334" s="220" t="s">
        <v>2216</v>
      </c>
      <c r="H1334" s="231">
        <v>42593</v>
      </c>
    </row>
    <row r="1335" spans="1:8" customFormat="1" ht="21.9">
      <c r="A1335" s="221">
        <v>42593</v>
      </c>
      <c r="B1335" s="217" t="s">
        <v>565</v>
      </c>
      <c r="C1335" s="218" t="s">
        <v>220</v>
      </c>
      <c r="D1335" s="219" t="s">
        <v>2217</v>
      </c>
      <c r="E1335" s="220"/>
      <c r="F1335" s="220"/>
      <c r="G1335" s="220" t="s">
        <v>2218</v>
      </c>
      <c r="H1335" s="231">
        <v>42593</v>
      </c>
    </row>
    <row r="1336" spans="1:8" customFormat="1" ht="21.9">
      <c r="A1336" s="221">
        <v>42593</v>
      </c>
      <c r="B1336" s="217" t="s">
        <v>565</v>
      </c>
      <c r="C1336" s="218" t="s">
        <v>220</v>
      </c>
      <c r="D1336" s="219" t="s">
        <v>1901</v>
      </c>
      <c r="E1336" s="220"/>
      <c r="F1336" s="220"/>
      <c r="G1336" s="220" t="s">
        <v>2219</v>
      </c>
      <c r="H1336" s="231">
        <v>42593</v>
      </c>
    </row>
    <row r="1337" spans="1:8" customFormat="1">
      <c r="A1337" s="221">
        <v>42593</v>
      </c>
      <c r="B1337" s="217" t="s">
        <v>423</v>
      </c>
      <c r="C1337" s="218" t="s">
        <v>220</v>
      </c>
      <c r="D1337" s="219" t="s">
        <v>2191</v>
      </c>
      <c r="E1337" s="220"/>
      <c r="F1337" s="220"/>
      <c r="G1337" s="220" t="s">
        <v>2220</v>
      </c>
      <c r="H1337" s="231">
        <v>42593</v>
      </c>
    </row>
    <row r="1338" spans="1:8" customFormat="1" ht="21.9">
      <c r="A1338" s="221">
        <v>42593</v>
      </c>
      <c r="B1338" s="217" t="s">
        <v>423</v>
      </c>
      <c r="C1338" s="218" t="s">
        <v>267</v>
      </c>
      <c r="D1338" s="219" t="s">
        <v>823</v>
      </c>
      <c r="E1338" s="220"/>
      <c r="F1338" s="220"/>
      <c r="G1338" s="220" t="s">
        <v>2221</v>
      </c>
      <c r="H1338" s="231">
        <v>42593</v>
      </c>
    </row>
    <row r="1339" spans="1:8" customFormat="1" ht="21.9">
      <c r="A1339" s="221">
        <v>42475</v>
      </c>
      <c r="B1339" s="217" t="s">
        <v>7</v>
      </c>
      <c r="C1339" s="218" t="s">
        <v>220</v>
      </c>
      <c r="D1339" s="219" t="s">
        <v>2189</v>
      </c>
      <c r="E1339" s="220"/>
      <c r="F1339" s="220"/>
      <c r="G1339" s="220" t="s">
        <v>2222</v>
      </c>
      <c r="H1339" s="231">
        <v>42475</v>
      </c>
    </row>
    <row r="1340" spans="1:8" customFormat="1" ht="32.15">
      <c r="A1340" s="221">
        <v>42475</v>
      </c>
      <c r="B1340" s="217" t="s">
        <v>7</v>
      </c>
      <c r="C1340" s="218" t="s">
        <v>220</v>
      </c>
      <c r="D1340" s="219" t="s">
        <v>2191</v>
      </c>
      <c r="E1340" s="220"/>
      <c r="F1340" s="220"/>
      <c r="G1340" s="220" t="s">
        <v>2223</v>
      </c>
      <c r="H1340" s="231">
        <v>42475</v>
      </c>
    </row>
    <row r="1341" spans="1:8" customFormat="1" ht="21.9">
      <c r="A1341" s="221">
        <v>42475</v>
      </c>
      <c r="B1341" s="217" t="s">
        <v>7</v>
      </c>
      <c r="C1341" s="218" t="s">
        <v>220</v>
      </c>
      <c r="D1341" s="219" t="s">
        <v>2224</v>
      </c>
      <c r="E1341" s="220"/>
      <c r="F1341" s="220"/>
      <c r="G1341" s="220" t="s">
        <v>2225</v>
      </c>
      <c r="H1341" s="231">
        <v>42475</v>
      </c>
    </row>
    <row r="1342" spans="1:8" customFormat="1" ht="21.9">
      <c r="A1342" s="221">
        <v>42475</v>
      </c>
      <c r="B1342" s="217" t="s">
        <v>309</v>
      </c>
      <c r="C1342" s="218" t="s">
        <v>220</v>
      </c>
      <c r="D1342" s="219" t="s">
        <v>2226</v>
      </c>
      <c r="E1342" s="220"/>
      <c r="F1342" s="220"/>
      <c r="G1342" s="220" t="s">
        <v>2227</v>
      </c>
      <c r="H1342" s="231">
        <v>42475</v>
      </c>
    </row>
    <row r="1343" spans="1:8" customFormat="1">
      <c r="A1343" s="221">
        <v>42475</v>
      </c>
      <c r="B1343" s="217" t="s">
        <v>309</v>
      </c>
      <c r="C1343" s="218" t="s">
        <v>220</v>
      </c>
      <c r="D1343" s="219" t="s">
        <v>2228</v>
      </c>
      <c r="E1343" s="220"/>
      <c r="F1343" s="220"/>
      <c r="G1343" s="220" t="s">
        <v>2229</v>
      </c>
      <c r="H1343" s="231">
        <v>42475</v>
      </c>
    </row>
    <row r="1344" spans="1:8" customFormat="1" ht="21.9">
      <c r="A1344" s="221">
        <v>42475</v>
      </c>
      <c r="B1344" s="217" t="s">
        <v>309</v>
      </c>
      <c r="C1344" s="218" t="s">
        <v>220</v>
      </c>
      <c r="D1344" s="219" t="s">
        <v>2179</v>
      </c>
      <c r="E1344" s="220"/>
      <c r="F1344" s="220"/>
      <c r="G1344" s="220" t="s">
        <v>2230</v>
      </c>
      <c r="H1344" s="231">
        <v>42475</v>
      </c>
    </row>
    <row r="1345" spans="1:8" customFormat="1" ht="63">
      <c r="A1345" s="221">
        <v>42475</v>
      </c>
      <c r="B1345" s="217" t="s">
        <v>309</v>
      </c>
      <c r="C1345" s="218" t="s">
        <v>220</v>
      </c>
      <c r="D1345" s="219" t="s">
        <v>2191</v>
      </c>
      <c r="E1345" s="220"/>
      <c r="F1345" s="220"/>
      <c r="G1345" s="220" t="s">
        <v>2231</v>
      </c>
      <c r="H1345" s="231">
        <v>42475</v>
      </c>
    </row>
    <row r="1346" spans="1:8" customFormat="1" ht="21.9">
      <c r="A1346" s="221">
        <v>42475</v>
      </c>
      <c r="B1346" s="217" t="s">
        <v>309</v>
      </c>
      <c r="C1346" s="218" t="s">
        <v>220</v>
      </c>
      <c r="D1346" s="219" t="s">
        <v>2232</v>
      </c>
      <c r="E1346" s="220"/>
      <c r="F1346" s="220"/>
      <c r="G1346" s="220" t="s">
        <v>2233</v>
      </c>
      <c r="H1346" s="231">
        <v>42475</v>
      </c>
    </row>
    <row r="1347" spans="1:8" customFormat="1" ht="21.9">
      <c r="A1347" s="221">
        <v>42475</v>
      </c>
      <c r="B1347" s="217" t="s">
        <v>309</v>
      </c>
      <c r="C1347" s="218" t="s">
        <v>220</v>
      </c>
      <c r="D1347" s="219" t="s">
        <v>2234</v>
      </c>
      <c r="E1347" s="220"/>
      <c r="F1347" s="220"/>
      <c r="G1347" s="220" t="s">
        <v>2235</v>
      </c>
      <c r="H1347" s="231">
        <v>42475</v>
      </c>
    </row>
    <row r="1348" spans="1:8" customFormat="1" ht="63">
      <c r="A1348" s="221">
        <v>42475</v>
      </c>
      <c r="B1348" s="217" t="s">
        <v>380</v>
      </c>
      <c r="C1348" s="218" t="s">
        <v>220</v>
      </c>
      <c r="D1348" s="219" t="s">
        <v>2191</v>
      </c>
      <c r="E1348" s="220"/>
      <c r="F1348" s="220"/>
      <c r="G1348" s="220" t="s">
        <v>2236</v>
      </c>
      <c r="H1348" s="231">
        <v>42475</v>
      </c>
    </row>
    <row r="1349" spans="1:8" customFormat="1" ht="21.9">
      <c r="A1349" s="221">
        <v>42475</v>
      </c>
      <c r="B1349" s="217" t="s">
        <v>380</v>
      </c>
      <c r="C1349" s="218" t="s">
        <v>220</v>
      </c>
      <c r="D1349" s="219" t="s">
        <v>2207</v>
      </c>
      <c r="E1349" s="220"/>
      <c r="F1349" s="220"/>
      <c r="G1349" s="220" t="s">
        <v>2237</v>
      </c>
      <c r="H1349" s="231">
        <v>42475</v>
      </c>
    </row>
    <row r="1350" spans="1:8" customFormat="1" ht="21.9">
      <c r="A1350" s="221">
        <v>42475</v>
      </c>
      <c r="B1350" s="217" t="s">
        <v>380</v>
      </c>
      <c r="C1350" s="218" t="s">
        <v>220</v>
      </c>
      <c r="D1350" s="219" t="s">
        <v>2209</v>
      </c>
      <c r="E1350" s="220"/>
      <c r="F1350" s="220"/>
      <c r="G1350" s="220" t="s">
        <v>2238</v>
      </c>
      <c r="H1350" s="231">
        <v>42475</v>
      </c>
    </row>
    <row r="1351" spans="1:8" customFormat="1" ht="32.15">
      <c r="A1351" s="221">
        <v>42475</v>
      </c>
      <c r="B1351" s="217" t="s">
        <v>380</v>
      </c>
      <c r="C1351" s="218" t="s">
        <v>267</v>
      </c>
      <c r="D1351" s="219" t="s">
        <v>2239</v>
      </c>
      <c r="E1351" s="220"/>
      <c r="F1351" s="220"/>
      <c r="G1351" s="220" t="s">
        <v>2240</v>
      </c>
      <c r="H1351" s="231">
        <v>42475</v>
      </c>
    </row>
    <row r="1352" spans="1:8" customFormat="1" ht="52.75">
      <c r="A1352" s="221">
        <v>42475</v>
      </c>
      <c r="B1352" s="217" t="s">
        <v>565</v>
      </c>
      <c r="C1352" s="218" t="s">
        <v>1950</v>
      </c>
      <c r="D1352" s="219" t="s">
        <v>2241</v>
      </c>
      <c r="E1352" s="220"/>
      <c r="F1352" s="220"/>
      <c r="G1352" s="220" t="s">
        <v>2242</v>
      </c>
      <c r="H1352" s="231">
        <v>42475</v>
      </c>
    </row>
    <row r="1353" spans="1:8" customFormat="1" ht="21.9">
      <c r="A1353" s="221">
        <v>42475</v>
      </c>
      <c r="B1353" s="217" t="s">
        <v>565</v>
      </c>
      <c r="C1353" s="218" t="s">
        <v>220</v>
      </c>
      <c r="D1353" s="219" t="s">
        <v>1901</v>
      </c>
      <c r="E1353" s="220"/>
      <c r="F1353" s="220"/>
      <c r="G1353" s="220" t="s">
        <v>2243</v>
      </c>
      <c r="H1353" s="231">
        <v>42475</v>
      </c>
    </row>
    <row r="1354" spans="1:8" customFormat="1" ht="21.9">
      <c r="A1354" s="221">
        <v>42475</v>
      </c>
      <c r="B1354" s="217" t="s">
        <v>565</v>
      </c>
      <c r="C1354" s="218" t="s">
        <v>220</v>
      </c>
      <c r="D1354" s="219" t="s">
        <v>2244</v>
      </c>
      <c r="E1354" s="220"/>
      <c r="F1354" s="220"/>
      <c r="G1354" s="220" t="s">
        <v>2245</v>
      </c>
      <c r="H1354" s="231">
        <v>42475</v>
      </c>
    </row>
    <row r="1355" spans="1:8" customFormat="1" ht="21.9">
      <c r="A1355" s="221">
        <v>42475</v>
      </c>
      <c r="B1355" s="217" t="s">
        <v>423</v>
      </c>
      <c r="C1355" s="218" t="s">
        <v>220</v>
      </c>
      <c r="D1355" s="219" t="s">
        <v>2246</v>
      </c>
      <c r="E1355" s="220"/>
      <c r="F1355" s="220"/>
      <c r="G1355" s="220" t="s">
        <v>2247</v>
      </c>
      <c r="H1355" s="231">
        <v>42475</v>
      </c>
    </row>
    <row r="1356" spans="1:8" customFormat="1" ht="32.15">
      <c r="A1356" s="221">
        <v>42475</v>
      </c>
      <c r="B1356" s="217" t="s">
        <v>423</v>
      </c>
      <c r="C1356" s="218" t="s">
        <v>267</v>
      </c>
      <c r="D1356" s="219" t="s">
        <v>2248</v>
      </c>
      <c r="E1356" s="220"/>
      <c r="F1356" s="220"/>
      <c r="G1356" s="220" t="s">
        <v>2249</v>
      </c>
      <c r="H1356" s="231">
        <v>42475</v>
      </c>
    </row>
    <row r="1357" spans="1:8" customFormat="1" ht="63">
      <c r="A1357" s="221">
        <v>42432</v>
      </c>
      <c r="B1357" s="217" t="s">
        <v>380</v>
      </c>
      <c r="C1357" s="218" t="s">
        <v>220</v>
      </c>
      <c r="D1357" s="219" t="s">
        <v>2191</v>
      </c>
      <c r="E1357" s="220"/>
      <c r="F1357" s="220"/>
      <c r="G1357" s="220" t="s">
        <v>2250</v>
      </c>
      <c r="H1357" s="231">
        <v>42432</v>
      </c>
    </row>
    <row r="1358" spans="1:8" customFormat="1" ht="32.15">
      <c r="A1358" s="221">
        <v>42300</v>
      </c>
      <c r="B1358" s="217" t="s">
        <v>7</v>
      </c>
      <c r="C1358" s="218" t="s">
        <v>220</v>
      </c>
      <c r="D1358" s="219" t="s">
        <v>2251</v>
      </c>
      <c r="E1358" s="220"/>
      <c r="F1358" s="220"/>
      <c r="G1358" s="220" t="s">
        <v>2252</v>
      </c>
      <c r="H1358" s="231">
        <v>42300</v>
      </c>
    </row>
    <row r="1359" spans="1:8" customFormat="1" ht="42.45">
      <c r="A1359" s="221">
        <v>42300</v>
      </c>
      <c r="B1359" s="217" t="s">
        <v>380</v>
      </c>
      <c r="C1359" s="218" t="s">
        <v>1950</v>
      </c>
      <c r="D1359" s="219" t="s">
        <v>2253</v>
      </c>
      <c r="E1359" s="220"/>
      <c r="F1359" s="220"/>
      <c r="G1359" s="220" t="s">
        <v>2254</v>
      </c>
      <c r="H1359" s="231">
        <v>42300</v>
      </c>
    </row>
    <row r="1360" spans="1:8" customFormat="1" ht="21.9">
      <c r="A1360" s="221">
        <v>42300</v>
      </c>
      <c r="B1360" s="217" t="s">
        <v>380</v>
      </c>
      <c r="C1360" s="218" t="s">
        <v>220</v>
      </c>
      <c r="D1360" s="219" t="s">
        <v>2207</v>
      </c>
      <c r="E1360" s="220"/>
      <c r="F1360" s="220"/>
      <c r="G1360" s="220" t="s">
        <v>2255</v>
      </c>
      <c r="H1360" s="231">
        <v>42300</v>
      </c>
    </row>
    <row r="1361" spans="1:8" customFormat="1" ht="21.9">
      <c r="A1361" s="221">
        <v>42300</v>
      </c>
      <c r="B1361" s="217" t="s">
        <v>380</v>
      </c>
      <c r="C1361" s="218" t="s">
        <v>220</v>
      </c>
      <c r="D1361" s="219" t="s">
        <v>2209</v>
      </c>
      <c r="E1361" s="220"/>
      <c r="F1361" s="220"/>
      <c r="G1361" s="220" t="s">
        <v>2256</v>
      </c>
      <c r="H1361" s="231">
        <v>42300</v>
      </c>
    </row>
    <row r="1362" spans="1:8" customFormat="1" ht="21.9">
      <c r="A1362" s="221">
        <v>42300</v>
      </c>
      <c r="B1362" s="217" t="s">
        <v>380</v>
      </c>
      <c r="C1362" s="218" t="s">
        <v>220</v>
      </c>
      <c r="D1362" s="219" t="s">
        <v>2257</v>
      </c>
      <c r="E1362" s="220"/>
      <c r="F1362" s="220"/>
      <c r="G1362" s="220" t="s">
        <v>2258</v>
      </c>
      <c r="H1362" s="231">
        <v>42300</v>
      </c>
    </row>
    <row r="1363" spans="1:8" customFormat="1" ht="21.9">
      <c r="A1363" s="221">
        <v>42300</v>
      </c>
      <c r="B1363" s="217" t="s">
        <v>380</v>
      </c>
      <c r="C1363" s="218" t="s">
        <v>220</v>
      </c>
      <c r="D1363" s="219" t="s">
        <v>2259</v>
      </c>
      <c r="E1363" s="220"/>
      <c r="F1363" s="220"/>
      <c r="G1363" s="220" t="s">
        <v>2260</v>
      </c>
      <c r="H1363" s="231">
        <v>42300</v>
      </c>
    </row>
    <row r="1364" spans="1:8" customFormat="1" ht="32.15">
      <c r="A1364" s="221">
        <v>42300</v>
      </c>
      <c r="B1364" s="217" t="s">
        <v>380</v>
      </c>
      <c r="C1364" s="218" t="s">
        <v>267</v>
      </c>
      <c r="D1364" s="219" t="s">
        <v>2239</v>
      </c>
      <c r="E1364" s="220"/>
      <c r="F1364" s="220"/>
      <c r="G1364" s="220" t="s">
        <v>2261</v>
      </c>
      <c r="H1364" s="231">
        <v>42300</v>
      </c>
    </row>
    <row r="1365" spans="1:8" customFormat="1" ht="21.9">
      <c r="A1365" s="221">
        <v>42229</v>
      </c>
      <c r="B1365" s="217" t="s">
        <v>7</v>
      </c>
      <c r="C1365" s="218" t="s">
        <v>220</v>
      </c>
      <c r="D1365" s="219" t="s">
        <v>2262</v>
      </c>
      <c r="E1365" s="220"/>
      <c r="F1365" s="220"/>
      <c r="G1365" s="220" t="s">
        <v>2263</v>
      </c>
      <c r="H1365" s="231">
        <v>42229</v>
      </c>
    </row>
    <row r="1366" spans="1:8" customFormat="1" ht="21.9">
      <c r="A1366" s="221">
        <v>42229</v>
      </c>
      <c r="B1366" s="217" t="s">
        <v>7</v>
      </c>
      <c r="C1366" s="218" t="s">
        <v>220</v>
      </c>
      <c r="D1366" s="219" t="s">
        <v>2264</v>
      </c>
      <c r="E1366" s="220"/>
      <c r="F1366" s="220"/>
      <c r="G1366" s="220" t="s">
        <v>2265</v>
      </c>
      <c r="H1366" s="231">
        <v>42229</v>
      </c>
    </row>
    <row r="1367" spans="1:8" customFormat="1" ht="42.45">
      <c r="A1367" s="221">
        <v>42229</v>
      </c>
      <c r="B1367" s="217" t="s">
        <v>7</v>
      </c>
      <c r="C1367" s="218" t="s">
        <v>220</v>
      </c>
      <c r="D1367" s="219" t="s">
        <v>2266</v>
      </c>
      <c r="E1367" s="220"/>
      <c r="F1367" s="220"/>
      <c r="G1367" s="220" t="s">
        <v>2267</v>
      </c>
      <c r="H1367" s="231">
        <v>42229</v>
      </c>
    </row>
    <row r="1368" spans="1:8" customFormat="1" ht="21.9">
      <c r="A1368" s="221">
        <v>42229</v>
      </c>
      <c r="B1368" s="217" t="s">
        <v>7</v>
      </c>
      <c r="C1368" s="218" t="s">
        <v>220</v>
      </c>
      <c r="D1368" s="219" t="s">
        <v>2224</v>
      </c>
      <c r="E1368" s="220"/>
      <c r="F1368" s="220"/>
      <c r="G1368" s="220" t="s">
        <v>2268</v>
      </c>
      <c r="H1368" s="231">
        <v>42229</v>
      </c>
    </row>
    <row r="1369" spans="1:8" customFormat="1" ht="32.15">
      <c r="A1369" s="221">
        <v>42229</v>
      </c>
      <c r="B1369" s="217" t="s">
        <v>7</v>
      </c>
      <c r="C1369" s="218" t="s">
        <v>220</v>
      </c>
      <c r="D1369" s="219" t="s">
        <v>2269</v>
      </c>
      <c r="E1369" s="220"/>
      <c r="F1369" s="220"/>
      <c r="G1369" s="220" t="s">
        <v>2270</v>
      </c>
      <c r="H1369" s="231">
        <v>42229</v>
      </c>
    </row>
    <row r="1370" spans="1:8" customFormat="1" ht="21.9">
      <c r="A1370" s="221">
        <v>42229</v>
      </c>
      <c r="B1370" s="217" t="s">
        <v>7</v>
      </c>
      <c r="C1370" s="218" t="s">
        <v>220</v>
      </c>
      <c r="D1370" s="219" t="s">
        <v>2271</v>
      </c>
      <c r="E1370" s="220"/>
      <c r="F1370" s="220"/>
      <c r="G1370" s="220" t="s">
        <v>2272</v>
      </c>
      <c r="H1370" s="231">
        <v>42229</v>
      </c>
    </row>
    <row r="1371" spans="1:8" customFormat="1" ht="32.15">
      <c r="A1371" s="221">
        <v>42229</v>
      </c>
      <c r="B1371" s="217" t="s">
        <v>309</v>
      </c>
      <c r="C1371" s="218" t="s">
        <v>1950</v>
      </c>
      <c r="D1371" s="219" t="s">
        <v>2234</v>
      </c>
      <c r="E1371" s="220"/>
      <c r="F1371" s="220"/>
      <c r="G1371" s="220" t="s">
        <v>2273</v>
      </c>
      <c r="H1371" s="231">
        <v>42229</v>
      </c>
    </row>
    <row r="1372" spans="1:8" customFormat="1" ht="42.45">
      <c r="A1372" s="221">
        <v>42229</v>
      </c>
      <c r="B1372" s="217" t="s">
        <v>380</v>
      </c>
      <c r="C1372" s="218" t="s">
        <v>220</v>
      </c>
      <c r="D1372" s="219" t="s">
        <v>2207</v>
      </c>
      <c r="E1372" s="220"/>
      <c r="F1372" s="220"/>
      <c r="G1372" s="220" t="s">
        <v>2274</v>
      </c>
      <c r="H1372" s="231">
        <v>42229</v>
      </c>
    </row>
    <row r="1373" spans="1:8" customFormat="1" ht="21.9">
      <c r="A1373" s="221">
        <v>42229</v>
      </c>
      <c r="B1373" s="217" t="s">
        <v>380</v>
      </c>
      <c r="C1373" s="218" t="s">
        <v>220</v>
      </c>
      <c r="D1373" s="219" t="s">
        <v>2209</v>
      </c>
      <c r="E1373" s="220"/>
      <c r="F1373" s="220"/>
      <c r="G1373" s="220" t="s">
        <v>2275</v>
      </c>
      <c r="H1373" s="231">
        <v>42229</v>
      </c>
    </row>
    <row r="1374" spans="1:8" customFormat="1" ht="52.75">
      <c r="A1374" s="221">
        <v>42229</v>
      </c>
      <c r="B1374" s="217" t="s">
        <v>565</v>
      </c>
      <c r="C1374" s="218" t="s">
        <v>1950</v>
      </c>
      <c r="D1374" s="219" t="s">
        <v>2241</v>
      </c>
      <c r="E1374" s="220"/>
      <c r="F1374" s="220"/>
      <c r="G1374" s="220" t="s">
        <v>2276</v>
      </c>
      <c r="H1374" s="231">
        <v>42229</v>
      </c>
    </row>
    <row r="1375" spans="1:8" customFormat="1" ht="42.45">
      <c r="A1375" s="221">
        <v>42229</v>
      </c>
      <c r="B1375" s="217" t="s">
        <v>565</v>
      </c>
      <c r="C1375" s="218" t="s">
        <v>220</v>
      </c>
      <c r="D1375" s="219" t="s">
        <v>1901</v>
      </c>
      <c r="E1375" s="220"/>
      <c r="F1375" s="220"/>
      <c r="G1375" s="220" t="s">
        <v>2277</v>
      </c>
      <c r="H1375" s="231">
        <v>42229</v>
      </c>
    </row>
    <row r="1376" spans="1:8" customFormat="1" ht="21.9">
      <c r="A1376" s="221">
        <v>42229</v>
      </c>
      <c r="B1376" s="217" t="s">
        <v>565</v>
      </c>
      <c r="C1376" s="218" t="s">
        <v>220</v>
      </c>
      <c r="D1376" s="219" t="s">
        <v>2278</v>
      </c>
      <c r="E1376" s="220"/>
      <c r="F1376" s="220"/>
      <c r="G1376" s="220" t="s">
        <v>2279</v>
      </c>
      <c r="H1376" s="231">
        <v>42229</v>
      </c>
    </row>
    <row r="1377" spans="1:8" customFormat="1" ht="52.75">
      <c r="A1377" s="221">
        <v>42229</v>
      </c>
      <c r="B1377" s="217" t="s">
        <v>423</v>
      </c>
      <c r="C1377" s="218" t="s">
        <v>1950</v>
      </c>
      <c r="D1377" s="219" t="s">
        <v>2280</v>
      </c>
      <c r="E1377" s="220"/>
      <c r="F1377" s="220"/>
      <c r="G1377" s="220" t="s">
        <v>2281</v>
      </c>
      <c r="H1377" s="231">
        <v>42229</v>
      </c>
    </row>
    <row r="1378" spans="1:8" customFormat="1" ht="42.45">
      <c r="A1378" s="221">
        <v>42229</v>
      </c>
      <c r="B1378" s="217" t="s">
        <v>423</v>
      </c>
      <c r="C1378" s="218" t="s">
        <v>1950</v>
      </c>
      <c r="D1378" s="219" t="s">
        <v>1700</v>
      </c>
      <c r="E1378" s="220"/>
      <c r="F1378" s="220"/>
      <c r="G1378" s="220" t="s">
        <v>2282</v>
      </c>
      <c r="H1378" s="231">
        <v>42229</v>
      </c>
    </row>
    <row r="1379" spans="1:8" customFormat="1" ht="32.15">
      <c r="A1379" s="221">
        <v>42229</v>
      </c>
      <c r="B1379" s="217" t="s">
        <v>423</v>
      </c>
      <c r="C1379" s="218" t="s">
        <v>1950</v>
      </c>
      <c r="D1379" s="219" t="s">
        <v>2283</v>
      </c>
      <c r="E1379" s="220"/>
      <c r="F1379" s="220"/>
      <c r="G1379" s="220" t="s">
        <v>2284</v>
      </c>
      <c r="H1379" s="231">
        <v>42229</v>
      </c>
    </row>
    <row r="1380" spans="1:8" customFormat="1" ht="32.15">
      <c r="A1380" s="221">
        <v>42229</v>
      </c>
      <c r="B1380" s="217" t="s">
        <v>423</v>
      </c>
      <c r="C1380" s="218" t="s">
        <v>220</v>
      </c>
      <c r="D1380" s="219" t="s">
        <v>2246</v>
      </c>
      <c r="E1380" s="220"/>
      <c r="F1380" s="220"/>
      <c r="G1380" s="220" t="s">
        <v>2285</v>
      </c>
      <c r="H1380" s="231">
        <v>42229</v>
      </c>
    </row>
    <row r="1381" spans="1:8" customFormat="1" ht="21.9">
      <c r="A1381" s="221">
        <v>42229</v>
      </c>
      <c r="B1381" s="217" t="s">
        <v>423</v>
      </c>
      <c r="C1381" s="218" t="s">
        <v>220</v>
      </c>
      <c r="D1381" s="219" t="s">
        <v>2286</v>
      </c>
      <c r="E1381" s="220"/>
      <c r="F1381" s="220"/>
      <c r="G1381" s="220" t="s">
        <v>2287</v>
      </c>
      <c r="H1381" s="231">
        <v>42229</v>
      </c>
    </row>
    <row r="1382" spans="1:8" customFormat="1" ht="21.9">
      <c r="A1382" s="221">
        <v>42139</v>
      </c>
      <c r="B1382" s="217" t="s">
        <v>423</v>
      </c>
      <c r="C1382" s="218" t="s">
        <v>220</v>
      </c>
      <c r="D1382" s="219" t="s">
        <v>2288</v>
      </c>
      <c r="E1382" s="220"/>
      <c r="F1382" s="220"/>
      <c r="G1382" s="220" t="s">
        <v>2289</v>
      </c>
      <c r="H1382" s="231">
        <v>42139</v>
      </c>
    </row>
    <row r="1383" spans="1:8" customFormat="1" ht="32.15">
      <c r="A1383" s="221">
        <v>42139</v>
      </c>
      <c r="B1383" s="217" t="s">
        <v>423</v>
      </c>
      <c r="C1383" s="218" t="s">
        <v>220</v>
      </c>
      <c r="D1383" s="219" t="s">
        <v>2246</v>
      </c>
      <c r="E1383" s="220"/>
      <c r="F1383" s="220"/>
      <c r="G1383" s="220" t="s">
        <v>2290</v>
      </c>
      <c r="H1383" s="231">
        <v>42139</v>
      </c>
    </row>
    <row r="1384" spans="1:8" customFormat="1" ht="32.15">
      <c r="A1384" s="221">
        <v>42139</v>
      </c>
      <c r="B1384" s="217" t="s">
        <v>423</v>
      </c>
      <c r="C1384" s="218" t="s">
        <v>220</v>
      </c>
      <c r="D1384" s="219" t="s">
        <v>2248</v>
      </c>
      <c r="E1384" s="220"/>
      <c r="F1384" s="220"/>
      <c r="G1384" s="220" t="s">
        <v>2291</v>
      </c>
      <c r="H1384" s="231">
        <v>42139</v>
      </c>
    </row>
    <row r="1385" spans="1:8" customFormat="1" ht="32.15">
      <c r="A1385" s="221">
        <v>42139</v>
      </c>
      <c r="B1385" s="217" t="s">
        <v>423</v>
      </c>
      <c r="C1385" s="218" t="s">
        <v>220</v>
      </c>
      <c r="D1385" s="219" t="s">
        <v>2292</v>
      </c>
      <c r="E1385" s="220"/>
      <c r="F1385" s="220"/>
      <c r="G1385" s="220" t="s">
        <v>2293</v>
      </c>
      <c r="H1385" s="231">
        <v>42139</v>
      </c>
    </row>
    <row r="1386" spans="1:8" customFormat="1" ht="32.15">
      <c r="A1386" s="221">
        <v>42109</v>
      </c>
      <c r="B1386" s="217" t="s">
        <v>7</v>
      </c>
      <c r="C1386" s="218" t="s">
        <v>220</v>
      </c>
      <c r="D1386" s="219" t="s">
        <v>2294</v>
      </c>
      <c r="E1386" s="220"/>
      <c r="F1386" s="220"/>
      <c r="G1386" s="220" t="s">
        <v>2295</v>
      </c>
      <c r="H1386" s="231">
        <v>42109</v>
      </c>
    </row>
    <row r="1387" spans="1:8" customFormat="1" ht="21.9">
      <c r="A1387" s="221">
        <v>42109</v>
      </c>
      <c r="B1387" s="217" t="s">
        <v>7</v>
      </c>
      <c r="C1387" s="218" t="s">
        <v>220</v>
      </c>
      <c r="D1387" s="219" t="s">
        <v>2296</v>
      </c>
      <c r="E1387" s="220"/>
      <c r="F1387" s="220"/>
      <c r="G1387" s="220" t="s">
        <v>2297</v>
      </c>
      <c r="H1387" s="231">
        <v>42109</v>
      </c>
    </row>
    <row r="1388" spans="1:8" customFormat="1" ht="32.15">
      <c r="A1388" s="221">
        <v>42109</v>
      </c>
      <c r="B1388" s="217" t="s">
        <v>7</v>
      </c>
      <c r="C1388" s="218" t="s">
        <v>220</v>
      </c>
      <c r="D1388" s="219" t="s">
        <v>2189</v>
      </c>
      <c r="E1388" s="220"/>
      <c r="F1388" s="220"/>
      <c r="G1388" s="220" t="s">
        <v>2298</v>
      </c>
      <c r="H1388" s="231">
        <v>42109</v>
      </c>
    </row>
    <row r="1389" spans="1:8" customFormat="1" ht="32.15">
      <c r="A1389" s="221">
        <v>42109</v>
      </c>
      <c r="B1389" s="217" t="s">
        <v>7</v>
      </c>
      <c r="C1389" s="218" t="s">
        <v>220</v>
      </c>
      <c r="D1389" s="219" t="s">
        <v>2299</v>
      </c>
      <c r="E1389" s="220"/>
      <c r="F1389" s="220"/>
      <c r="G1389" s="220" t="s">
        <v>2300</v>
      </c>
      <c r="H1389" s="231">
        <v>42109</v>
      </c>
    </row>
    <row r="1390" spans="1:8" customFormat="1" ht="32.15">
      <c r="A1390" s="221">
        <v>42109</v>
      </c>
      <c r="B1390" s="217" t="s">
        <v>7</v>
      </c>
      <c r="C1390" s="218" t="s">
        <v>220</v>
      </c>
      <c r="D1390" s="219" t="s">
        <v>2269</v>
      </c>
      <c r="E1390" s="220"/>
      <c r="F1390" s="220"/>
      <c r="G1390" s="220" t="s">
        <v>2301</v>
      </c>
      <c r="H1390" s="231">
        <v>42109</v>
      </c>
    </row>
    <row r="1391" spans="1:8" customFormat="1" ht="21.9">
      <c r="A1391" s="221">
        <v>42109</v>
      </c>
      <c r="B1391" s="217" t="s">
        <v>7</v>
      </c>
      <c r="C1391" s="218" t="s">
        <v>220</v>
      </c>
      <c r="D1391" s="219" t="s">
        <v>2302</v>
      </c>
      <c r="E1391" s="220"/>
      <c r="F1391" s="220"/>
      <c r="G1391" s="220" t="s">
        <v>2303</v>
      </c>
      <c r="H1391" s="231">
        <v>42109</v>
      </c>
    </row>
    <row r="1392" spans="1:8" customFormat="1" ht="21.9">
      <c r="A1392" s="221">
        <v>42109</v>
      </c>
      <c r="B1392" s="217" t="s">
        <v>309</v>
      </c>
      <c r="C1392" s="218" t="s">
        <v>1950</v>
      </c>
      <c r="D1392" s="219" t="s">
        <v>2304</v>
      </c>
      <c r="E1392" s="220"/>
      <c r="F1392" s="220"/>
      <c r="G1392" s="220" t="s">
        <v>2305</v>
      </c>
      <c r="H1392" s="231">
        <v>42109</v>
      </c>
    </row>
    <row r="1393" spans="1:8" customFormat="1" ht="21.9">
      <c r="A1393" s="221">
        <v>42109</v>
      </c>
      <c r="B1393" s="217" t="s">
        <v>309</v>
      </c>
      <c r="C1393" s="218" t="s">
        <v>220</v>
      </c>
      <c r="D1393" s="222" t="s">
        <v>2228</v>
      </c>
      <c r="E1393" s="220"/>
      <c r="F1393" s="220"/>
      <c r="G1393" s="220" t="s">
        <v>2306</v>
      </c>
      <c r="H1393" s="231">
        <v>42109</v>
      </c>
    </row>
    <row r="1394" spans="1:8" customFormat="1" ht="32.15">
      <c r="A1394" s="221">
        <v>42109</v>
      </c>
      <c r="B1394" s="217" t="s">
        <v>380</v>
      </c>
      <c r="C1394" s="218" t="s">
        <v>1950</v>
      </c>
      <c r="D1394" s="222" t="s">
        <v>2253</v>
      </c>
      <c r="E1394" s="220"/>
      <c r="F1394" s="220"/>
      <c r="G1394" s="220" t="s">
        <v>2307</v>
      </c>
      <c r="H1394" s="231">
        <v>42109</v>
      </c>
    </row>
    <row r="1395" spans="1:8" customFormat="1" ht="21.9">
      <c r="A1395" s="221">
        <v>42109</v>
      </c>
      <c r="B1395" s="217" t="s">
        <v>380</v>
      </c>
      <c r="C1395" s="218" t="s">
        <v>220</v>
      </c>
      <c r="D1395" s="222" t="s">
        <v>2239</v>
      </c>
      <c r="E1395" s="220"/>
      <c r="F1395" s="220"/>
      <c r="G1395" s="220" t="s">
        <v>2308</v>
      </c>
      <c r="H1395" s="231">
        <v>42109</v>
      </c>
    </row>
    <row r="1396" spans="1:8" customFormat="1" ht="21.9">
      <c r="A1396" s="221">
        <v>42109</v>
      </c>
      <c r="B1396" s="217" t="s">
        <v>380</v>
      </c>
      <c r="C1396" s="218" t="s">
        <v>220</v>
      </c>
      <c r="D1396" s="222" t="s">
        <v>2211</v>
      </c>
      <c r="E1396" s="220"/>
      <c r="F1396" s="220"/>
      <c r="G1396" s="220" t="s">
        <v>2309</v>
      </c>
      <c r="H1396" s="231">
        <v>42109</v>
      </c>
    </row>
    <row r="1397" spans="1:8" customFormat="1" ht="32.15">
      <c r="A1397" s="221">
        <v>41983</v>
      </c>
      <c r="B1397" s="217" t="s">
        <v>7</v>
      </c>
      <c r="C1397" s="218" t="s">
        <v>220</v>
      </c>
      <c r="D1397" s="222" t="s">
        <v>2310</v>
      </c>
      <c r="E1397" s="220"/>
      <c r="F1397" s="220"/>
      <c r="G1397" s="220" t="s">
        <v>2311</v>
      </c>
      <c r="H1397" s="231">
        <v>41983</v>
      </c>
    </row>
    <row r="1398" spans="1:8" customFormat="1" ht="42.45">
      <c r="A1398" s="221">
        <v>41983</v>
      </c>
      <c r="B1398" s="217" t="s">
        <v>7</v>
      </c>
      <c r="C1398" s="218" t="s">
        <v>220</v>
      </c>
      <c r="D1398" s="222" t="s">
        <v>2271</v>
      </c>
      <c r="E1398" s="220"/>
      <c r="F1398" s="220"/>
      <c r="G1398" s="220" t="s">
        <v>2312</v>
      </c>
      <c r="H1398" s="231">
        <v>41983</v>
      </c>
    </row>
    <row r="1399" spans="1:8" customFormat="1" ht="32.15">
      <c r="A1399" s="221">
        <v>41983</v>
      </c>
      <c r="B1399" s="217" t="s">
        <v>7</v>
      </c>
      <c r="C1399" s="218" t="s">
        <v>220</v>
      </c>
      <c r="D1399" s="222" t="s">
        <v>2302</v>
      </c>
      <c r="E1399" s="220"/>
      <c r="F1399" s="220"/>
      <c r="G1399" s="220" t="s">
        <v>2313</v>
      </c>
      <c r="H1399" s="231">
        <v>41983</v>
      </c>
    </row>
    <row r="1400" spans="1:8" customFormat="1" ht="42.45">
      <c r="A1400" s="221">
        <v>41983</v>
      </c>
      <c r="B1400" s="217" t="s">
        <v>7</v>
      </c>
      <c r="C1400" s="218" t="s">
        <v>267</v>
      </c>
      <c r="D1400" s="222" t="s">
        <v>2294</v>
      </c>
      <c r="E1400" s="220"/>
      <c r="F1400" s="220"/>
      <c r="G1400" s="220" t="s">
        <v>2314</v>
      </c>
      <c r="H1400" s="231">
        <v>41983</v>
      </c>
    </row>
    <row r="1401" spans="1:8" customFormat="1" ht="32.15">
      <c r="A1401" s="221">
        <v>41983</v>
      </c>
      <c r="B1401" s="217" t="s">
        <v>7</v>
      </c>
      <c r="C1401" s="218" t="s">
        <v>267</v>
      </c>
      <c r="D1401" s="222" t="s">
        <v>2189</v>
      </c>
      <c r="E1401" s="220"/>
      <c r="F1401" s="220"/>
      <c r="G1401" s="220" t="s">
        <v>2315</v>
      </c>
      <c r="H1401" s="231">
        <v>41983</v>
      </c>
    </row>
    <row r="1402" spans="1:8" customFormat="1" ht="42.45">
      <c r="A1402" s="221">
        <v>41983</v>
      </c>
      <c r="B1402" s="217" t="s">
        <v>7</v>
      </c>
      <c r="C1402" s="218" t="s">
        <v>267</v>
      </c>
      <c r="D1402" s="222" t="s">
        <v>2299</v>
      </c>
      <c r="E1402" s="220"/>
      <c r="F1402" s="220"/>
      <c r="G1402" s="220" t="s">
        <v>2316</v>
      </c>
      <c r="H1402" s="231">
        <v>41983</v>
      </c>
    </row>
    <row r="1403" spans="1:8" customFormat="1" ht="32.15">
      <c r="A1403" s="221">
        <v>41983</v>
      </c>
      <c r="B1403" s="217" t="s">
        <v>7</v>
      </c>
      <c r="C1403" s="218" t="s">
        <v>267</v>
      </c>
      <c r="D1403" s="222" t="s">
        <v>2269</v>
      </c>
      <c r="E1403" s="220"/>
      <c r="F1403" s="220"/>
      <c r="G1403" s="220" t="s">
        <v>2317</v>
      </c>
      <c r="H1403" s="231">
        <v>41983</v>
      </c>
    </row>
    <row r="1404" spans="1:8" customFormat="1" ht="32.15">
      <c r="A1404" s="221">
        <v>41983</v>
      </c>
      <c r="B1404" s="217" t="s">
        <v>309</v>
      </c>
      <c r="C1404" s="218" t="s">
        <v>220</v>
      </c>
      <c r="D1404" s="222" t="s">
        <v>2318</v>
      </c>
      <c r="E1404" s="220"/>
      <c r="F1404" s="220"/>
      <c r="G1404" s="220" t="s">
        <v>2319</v>
      </c>
      <c r="H1404" s="231">
        <v>41983</v>
      </c>
    </row>
    <row r="1405" spans="1:8" customFormat="1" ht="21.9">
      <c r="A1405" s="221">
        <v>41983</v>
      </c>
      <c r="B1405" s="217" t="s">
        <v>380</v>
      </c>
      <c r="C1405" s="218" t="s">
        <v>220</v>
      </c>
      <c r="D1405" s="222" t="s">
        <v>2207</v>
      </c>
      <c r="E1405" s="220"/>
      <c r="F1405" s="220"/>
      <c r="G1405" s="220" t="s">
        <v>2320</v>
      </c>
      <c r="H1405" s="231">
        <v>41983</v>
      </c>
    </row>
    <row r="1406" spans="1:8" customFormat="1" ht="32.15">
      <c r="A1406" s="221">
        <v>41983</v>
      </c>
      <c r="B1406" s="217" t="s">
        <v>380</v>
      </c>
      <c r="C1406" s="218" t="s">
        <v>220</v>
      </c>
      <c r="D1406" s="222" t="s">
        <v>2321</v>
      </c>
      <c r="E1406" s="220"/>
      <c r="F1406" s="220"/>
      <c r="G1406" s="220" t="s">
        <v>2322</v>
      </c>
      <c r="H1406" s="231">
        <v>41983</v>
      </c>
    </row>
    <row r="1407" spans="1:8" customFormat="1" ht="32.15">
      <c r="A1407" s="221">
        <v>41983</v>
      </c>
      <c r="B1407" s="217" t="s">
        <v>565</v>
      </c>
      <c r="C1407" s="218" t="s">
        <v>1950</v>
      </c>
      <c r="D1407" s="222" t="s">
        <v>2323</v>
      </c>
      <c r="E1407" s="220"/>
      <c r="F1407" s="220"/>
      <c r="G1407" s="220" t="s">
        <v>2324</v>
      </c>
      <c r="H1407" s="231">
        <v>41983</v>
      </c>
    </row>
    <row r="1408" spans="1:8" customFormat="1" ht="63">
      <c r="A1408" s="221">
        <v>41983</v>
      </c>
      <c r="B1408" s="217" t="s">
        <v>565</v>
      </c>
      <c r="C1408" s="218" t="s">
        <v>1950</v>
      </c>
      <c r="D1408" s="222" t="s">
        <v>1545</v>
      </c>
      <c r="E1408" s="220"/>
      <c r="F1408" s="220"/>
      <c r="G1408" s="220" t="s">
        <v>2325</v>
      </c>
      <c r="H1408" s="231">
        <v>41983</v>
      </c>
    </row>
    <row r="1409" spans="1:8" customFormat="1" ht="32.15">
      <c r="A1409" s="221">
        <v>41983</v>
      </c>
      <c r="B1409" s="217" t="s">
        <v>565</v>
      </c>
      <c r="C1409" s="218" t="s">
        <v>1950</v>
      </c>
      <c r="D1409" s="222" t="s">
        <v>2326</v>
      </c>
      <c r="E1409" s="220"/>
      <c r="F1409" s="220"/>
      <c r="G1409" s="220" t="s">
        <v>2327</v>
      </c>
      <c r="H1409" s="231">
        <v>41983</v>
      </c>
    </row>
    <row r="1410" spans="1:8" customFormat="1" ht="21.9">
      <c r="A1410" s="221">
        <v>41983</v>
      </c>
      <c r="B1410" s="217" t="s">
        <v>565</v>
      </c>
      <c r="C1410" s="218" t="s">
        <v>1950</v>
      </c>
      <c r="D1410" s="222" t="s">
        <v>2328</v>
      </c>
      <c r="E1410" s="220"/>
      <c r="F1410" s="220"/>
      <c r="G1410" s="220" t="s">
        <v>2329</v>
      </c>
      <c r="H1410" s="231">
        <v>41983</v>
      </c>
    </row>
    <row r="1411" spans="1:8" customFormat="1" ht="21.9">
      <c r="A1411" s="221">
        <v>41983</v>
      </c>
      <c r="B1411" s="217" t="s">
        <v>565</v>
      </c>
      <c r="C1411" s="218" t="s">
        <v>1950</v>
      </c>
      <c r="D1411" s="222" t="s">
        <v>2330</v>
      </c>
      <c r="E1411" s="220"/>
      <c r="F1411" s="220"/>
      <c r="G1411" s="220" t="s">
        <v>2331</v>
      </c>
      <c r="H1411" s="231">
        <v>41983</v>
      </c>
    </row>
    <row r="1412" spans="1:8" customFormat="1" ht="21.9">
      <c r="A1412" s="221">
        <v>41983</v>
      </c>
      <c r="B1412" s="217" t="s">
        <v>423</v>
      </c>
      <c r="C1412" s="218" t="s">
        <v>220</v>
      </c>
      <c r="D1412" s="222" t="s">
        <v>2286</v>
      </c>
      <c r="E1412" s="220"/>
      <c r="F1412" s="220"/>
      <c r="G1412" s="220" t="s">
        <v>2332</v>
      </c>
      <c r="H1412" s="231">
        <v>41983</v>
      </c>
    </row>
    <row r="1413" spans="1:8" customFormat="1" ht="32.15">
      <c r="A1413" s="221">
        <v>41983</v>
      </c>
      <c r="B1413" s="217" t="s">
        <v>423</v>
      </c>
      <c r="C1413" s="218" t="s">
        <v>220</v>
      </c>
      <c r="D1413" s="222" t="s">
        <v>2333</v>
      </c>
      <c r="E1413" s="220"/>
      <c r="F1413" s="220"/>
      <c r="G1413" s="220" t="s">
        <v>2334</v>
      </c>
      <c r="H1413" s="231">
        <v>41983</v>
      </c>
    </row>
    <row r="1414" spans="1:8" customFormat="1" ht="32.15">
      <c r="A1414" s="221">
        <v>41983</v>
      </c>
      <c r="B1414" s="217" t="s">
        <v>423</v>
      </c>
      <c r="C1414" s="218" t="s">
        <v>267</v>
      </c>
      <c r="D1414" s="222" t="s">
        <v>2335</v>
      </c>
      <c r="E1414" s="220"/>
      <c r="F1414" s="220"/>
      <c r="G1414" s="220" t="s">
        <v>2336</v>
      </c>
      <c r="H1414" s="231">
        <v>41983</v>
      </c>
    </row>
    <row r="1415" spans="1:8" customFormat="1" ht="32.15">
      <c r="A1415" s="221">
        <v>41858</v>
      </c>
      <c r="B1415" s="217" t="s">
        <v>7</v>
      </c>
      <c r="C1415" s="218" t="s">
        <v>220</v>
      </c>
      <c r="D1415" s="222" t="s">
        <v>2337</v>
      </c>
      <c r="E1415" s="220"/>
      <c r="F1415" s="220"/>
      <c r="G1415" s="220" t="s">
        <v>2338</v>
      </c>
      <c r="H1415" s="231">
        <v>41858</v>
      </c>
    </row>
    <row r="1416" spans="1:8" customFormat="1" ht="32.15">
      <c r="A1416" s="221">
        <v>41858</v>
      </c>
      <c r="B1416" s="217" t="s">
        <v>7</v>
      </c>
      <c r="C1416" s="218" t="s">
        <v>267</v>
      </c>
      <c r="D1416" s="222" t="s">
        <v>2189</v>
      </c>
      <c r="E1416" s="220"/>
      <c r="F1416" s="220"/>
      <c r="G1416" s="220" t="s">
        <v>2339</v>
      </c>
      <c r="H1416" s="231">
        <v>41858</v>
      </c>
    </row>
    <row r="1417" spans="1:8" customFormat="1" ht="32.15">
      <c r="A1417" s="221">
        <v>41858</v>
      </c>
      <c r="B1417" s="217" t="s">
        <v>309</v>
      </c>
      <c r="C1417" s="218" t="s">
        <v>220</v>
      </c>
      <c r="D1417" s="222" t="s">
        <v>2340</v>
      </c>
      <c r="E1417" s="220"/>
      <c r="F1417" s="220"/>
      <c r="G1417" s="220" t="s">
        <v>2341</v>
      </c>
      <c r="H1417" s="231">
        <v>41858</v>
      </c>
    </row>
    <row r="1418" spans="1:8" customFormat="1" ht="21.9">
      <c r="A1418" s="221">
        <v>41858</v>
      </c>
      <c r="B1418" s="217" t="s">
        <v>309</v>
      </c>
      <c r="C1418" s="218" t="s">
        <v>220</v>
      </c>
      <c r="D1418" s="222" t="s">
        <v>2304</v>
      </c>
      <c r="E1418" s="220"/>
      <c r="F1418" s="220"/>
      <c r="G1418" s="220" t="s">
        <v>2342</v>
      </c>
      <c r="H1418" s="231">
        <v>41858</v>
      </c>
    </row>
    <row r="1419" spans="1:8" customFormat="1" ht="21.9">
      <c r="A1419" s="221">
        <v>41858</v>
      </c>
      <c r="B1419" s="217" t="s">
        <v>380</v>
      </c>
      <c r="C1419" s="218" t="s">
        <v>1950</v>
      </c>
      <c r="D1419" s="222" t="s">
        <v>2343</v>
      </c>
      <c r="E1419" s="220"/>
      <c r="F1419" s="220"/>
      <c r="G1419" s="220" t="s">
        <v>2344</v>
      </c>
      <c r="H1419" s="231">
        <v>41858</v>
      </c>
    </row>
    <row r="1420" spans="1:8" customFormat="1" ht="21.9">
      <c r="A1420" s="221">
        <v>41858</v>
      </c>
      <c r="B1420" s="217" t="s">
        <v>380</v>
      </c>
      <c r="C1420" s="218" t="s">
        <v>1950</v>
      </c>
      <c r="D1420" s="222" t="s">
        <v>2345</v>
      </c>
      <c r="E1420" s="220"/>
      <c r="F1420" s="220"/>
      <c r="G1420" s="220" t="s">
        <v>2346</v>
      </c>
      <c r="H1420" s="231">
        <v>41858</v>
      </c>
    </row>
    <row r="1421" spans="1:8" customFormat="1" ht="32.15">
      <c r="A1421" s="221">
        <v>41858</v>
      </c>
      <c r="B1421" s="217" t="s">
        <v>423</v>
      </c>
      <c r="C1421" s="218" t="s">
        <v>220</v>
      </c>
      <c r="D1421" s="222" t="s">
        <v>2288</v>
      </c>
      <c r="E1421" s="220"/>
      <c r="F1421" s="220"/>
      <c r="G1421" s="220" t="s">
        <v>2347</v>
      </c>
      <c r="H1421" s="231">
        <v>41858</v>
      </c>
    </row>
    <row r="1422" spans="1:8" customFormat="1" ht="32.15">
      <c r="A1422" s="221">
        <v>41858</v>
      </c>
      <c r="B1422" s="217" t="s">
        <v>423</v>
      </c>
      <c r="C1422" s="218" t="s">
        <v>220</v>
      </c>
      <c r="D1422" s="222" t="s">
        <v>2333</v>
      </c>
      <c r="E1422" s="220"/>
      <c r="F1422" s="220"/>
      <c r="G1422" s="220" t="s">
        <v>2348</v>
      </c>
      <c r="H1422" s="231">
        <v>41858</v>
      </c>
    </row>
    <row r="1423" spans="1:8" customFormat="1" ht="32.15">
      <c r="A1423" s="221">
        <v>41789</v>
      </c>
      <c r="B1423" s="217" t="s">
        <v>7</v>
      </c>
      <c r="C1423" s="218" t="s">
        <v>1950</v>
      </c>
      <c r="D1423" s="222" t="s">
        <v>2349</v>
      </c>
      <c r="E1423" s="220"/>
      <c r="F1423" s="220"/>
      <c r="G1423" s="220" t="s">
        <v>2350</v>
      </c>
      <c r="H1423" s="231">
        <v>41789</v>
      </c>
    </row>
    <row r="1424" spans="1:8" customFormat="1" ht="42.45">
      <c r="A1424" s="221">
        <v>41789</v>
      </c>
      <c r="B1424" s="217" t="s">
        <v>7</v>
      </c>
      <c r="C1424" s="218" t="s">
        <v>1950</v>
      </c>
      <c r="D1424" s="222" t="s">
        <v>2351</v>
      </c>
      <c r="E1424" s="220"/>
      <c r="F1424" s="220"/>
      <c r="G1424" s="220" t="s">
        <v>2352</v>
      </c>
      <c r="H1424" s="231">
        <v>41789</v>
      </c>
    </row>
    <row r="1425" spans="1:8" customFormat="1" ht="42.45">
      <c r="A1425" s="221">
        <v>41789</v>
      </c>
      <c r="B1425" s="217" t="s">
        <v>7</v>
      </c>
      <c r="C1425" s="218" t="s">
        <v>267</v>
      </c>
      <c r="D1425" s="222" t="s">
        <v>2294</v>
      </c>
      <c r="E1425" s="220"/>
      <c r="F1425" s="220"/>
      <c r="G1425" s="220" t="s">
        <v>2353</v>
      </c>
      <c r="H1425" s="231">
        <v>41789</v>
      </c>
    </row>
    <row r="1426" spans="1:8" customFormat="1" ht="42.45">
      <c r="A1426" s="221">
        <v>41789</v>
      </c>
      <c r="B1426" s="217" t="s">
        <v>7</v>
      </c>
      <c r="C1426" s="218" t="s">
        <v>267</v>
      </c>
      <c r="D1426" s="222" t="s">
        <v>2251</v>
      </c>
      <c r="E1426" s="220"/>
      <c r="F1426" s="220"/>
      <c r="G1426" s="220" t="s">
        <v>2354</v>
      </c>
      <c r="H1426" s="231">
        <v>41789</v>
      </c>
    </row>
    <row r="1427" spans="1:8" customFormat="1" ht="63">
      <c r="A1427" s="221">
        <v>41789</v>
      </c>
      <c r="B1427" s="217" t="s">
        <v>309</v>
      </c>
      <c r="C1427" s="218" t="s">
        <v>1950</v>
      </c>
      <c r="D1427" s="222" t="s">
        <v>2234</v>
      </c>
      <c r="E1427" s="220"/>
      <c r="F1427" s="220"/>
      <c r="G1427" s="220" t="s">
        <v>2355</v>
      </c>
      <c r="H1427" s="231">
        <v>41789</v>
      </c>
    </row>
    <row r="1428" spans="1:8" customFormat="1" ht="21.9">
      <c r="A1428" s="221">
        <v>41789</v>
      </c>
      <c r="B1428" s="217" t="s">
        <v>309</v>
      </c>
      <c r="C1428" s="218" t="s">
        <v>220</v>
      </c>
      <c r="D1428" s="222" t="s">
        <v>2356</v>
      </c>
      <c r="E1428" s="220"/>
      <c r="F1428" s="220"/>
      <c r="G1428" s="220" t="s">
        <v>2357</v>
      </c>
      <c r="H1428" s="231">
        <v>41789</v>
      </c>
    </row>
    <row r="1429" spans="1:8" customFormat="1" ht="21.9">
      <c r="A1429" s="221">
        <v>41789</v>
      </c>
      <c r="B1429" s="217" t="s">
        <v>309</v>
      </c>
      <c r="C1429" s="218" t="s">
        <v>220</v>
      </c>
      <c r="D1429" s="222" t="s">
        <v>1353</v>
      </c>
      <c r="E1429" s="220"/>
      <c r="F1429" s="220"/>
      <c r="G1429" s="220" t="s">
        <v>2358</v>
      </c>
      <c r="H1429" s="231">
        <v>41789</v>
      </c>
    </row>
    <row r="1430" spans="1:8" customFormat="1" ht="21.9">
      <c r="A1430" s="221">
        <v>41789</v>
      </c>
      <c r="B1430" s="217" t="s">
        <v>309</v>
      </c>
      <c r="C1430" s="218" t="s">
        <v>220</v>
      </c>
      <c r="D1430" s="222" t="s">
        <v>2198</v>
      </c>
      <c r="E1430" s="220"/>
      <c r="F1430" s="220"/>
      <c r="G1430" s="220" t="s">
        <v>2359</v>
      </c>
      <c r="H1430" s="231">
        <v>41789</v>
      </c>
    </row>
    <row r="1431" spans="1:8" customFormat="1" ht="32.15">
      <c r="A1431" s="221">
        <v>41789</v>
      </c>
      <c r="B1431" s="217" t="s">
        <v>309</v>
      </c>
      <c r="C1431" s="218" t="s">
        <v>220</v>
      </c>
      <c r="D1431" s="222" t="s">
        <v>2318</v>
      </c>
      <c r="E1431" s="220"/>
      <c r="F1431" s="220"/>
      <c r="G1431" s="220" t="s">
        <v>2360</v>
      </c>
      <c r="H1431" s="231">
        <v>41789</v>
      </c>
    </row>
    <row r="1432" spans="1:8" customFormat="1" ht="52.75">
      <c r="A1432" s="221">
        <v>41789</v>
      </c>
      <c r="B1432" s="217" t="s">
        <v>309</v>
      </c>
      <c r="C1432" s="218" t="s">
        <v>267</v>
      </c>
      <c r="D1432" s="222" t="s">
        <v>2228</v>
      </c>
      <c r="E1432" s="220"/>
      <c r="F1432" s="220"/>
      <c r="G1432" s="220" t="s">
        <v>2361</v>
      </c>
      <c r="H1432" s="231">
        <v>41789</v>
      </c>
    </row>
    <row r="1433" spans="1:8" customFormat="1" ht="42.45">
      <c r="A1433" s="221">
        <v>41789</v>
      </c>
      <c r="B1433" s="217" t="s">
        <v>380</v>
      </c>
      <c r="C1433" s="218" t="s">
        <v>267</v>
      </c>
      <c r="D1433" s="222" t="s">
        <v>2362</v>
      </c>
      <c r="E1433" s="220"/>
      <c r="F1433" s="220"/>
      <c r="G1433" s="220" t="s">
        <v>2363</v>
      </c>
      <c r="H1433" s="231">
        <v>41789</v>
      </c>
    </row>
    <row r="1434" spans="1:8" customFormat="1" ht="32.15">
      <c r="A1434" s="221">
        <v>41789</v>
      </c>
      <c r="B1434" s="217" t="s">
        <v>423</v>
      </c>
      <c r="C1434" s="218" t="s">
        <v>1950</v>
      </c>
      <c r="D1434" s="222" t="s">
        <v>2364</v>
      </c>
      <c r="E1434" s="220"/>
      <c r="F1434" s="220"/>
      <c r="G1434" s="220" t="s">
        <v>2365</v>
      </c>
      <c r="H1434" s="231">
        <v>41789</v>
      </c>
    </row>
    <row r="1435" spans="1:8" customFormat="1" ht="42.45">
      <c r="A1435" s="221">
        <v>41789</v>
      </c>
      <c r="B1435" s="217" t="s">
        <v>423</v>
      </c>
      <c r="C1435" s="218" t="s">
        <v>1950</v>
      </c>
      <c r="D1435" s="222" t="s">
        <v>2286</v>
      </c>
      <c r="E1435" s="220"/>
      <c r="F1435" s="220"/>
      <c r="G1435" s="220" t="s">
        <v>2366</v>
      </c>
      <c r="H1435" s="231">
        <v>41789</v>
      </c>
    </row>
    <row r="1436" spans="1:8" customFormat="1" ht="32.15">
      <c r="A1436" s="221">
        <v>41789</v>
      </c>
      <c r="B1436" s="217" t="s">
        <v>423</v>
      </c>
      <c r="C1436" s="218" t="s">
        <v>267</v>
      </c>
      <c r="D1436" s="222" t="s">
        <v>2367</v>
      </c>
      <c r="E1436" s="220"/>
      <c r="F1436" s="220"/>
      <c r="G1436" s="220" t="s">
        <v>2368</v>
      </c>
      <c r="H1436" s="231">
        <v>41789</v>
      </c>
    </row>
    <row r="1437" spans="1:8" customFormat="1" ht="32.15">
      <c r="A1437" s="221">
        <v>41789</v>
      </c>
      <c r="B1437" s="217" t="s">
        <v>423</v>
      </c>
      <c r="C1437" s="218" t="s">
        <v>267</v>
      </c>
      <c r="D1437" s="222" t="s">
        <v>2333</v>
      </c>
      <c r="E1437" s="220"/>
      <c r="F1437" s="220"/>
      <c r="G1437" s="220" t="s">
        <v>2369</v>
      </c>
      <c r="H1437" s="231">
        <v>41789</v>
      </c>
    </row>
    <row r="1438" spans="1:8" customFormat="1" ht="42.45">
      <c r="A1438" s="221">
        <v>41789</v>
      </c>
      <c r="B1438" s="217" t="s">
        <v>423</v>
      </c>
      <c r="C1438" s="218" t="s">
        <v>267</v>
      </c>
      <c r="D1438" s="222" t="s">
        <v>2292</v>
      </c>
      <c r="E1438" s="220"/>
      <c r="F1438" s="220"/>
      <c r="G1438" s="220" t="s">
        <v>2370</v>
      </c>
      <c r="H1438" s="231">
        <v>41789</v>
      </c>
    </row>
    <row r="1439" spans="1:8" customFormat="1" ht="32.15">
      <c r="A1439" s="221">
        <v>41789</v>
      </c>
      <c r="B1439" s="217" t="s">
        <v>423</v>
      </c>
      <c r="C1439" s="218" t="s">
        <v>1931</v>
      </c>
      <c r="D1439" s="222" t="s">
        <v>2280</v>
      </c>
      <c r="E1439" s="220"/>
      <c r="F1439" s="220"/>
      <c r="G1439" s="220" t="s">
        <v>2371</v>
      </c>
      <c r="H1439" s="231">
        <v>41789</v>
      </c>
    </row>
    <row r="1440" spans="1:8" customFormat="1" ht="42.45">
      <c r="A1440" s="221">
        <v>41698</v>
      </c>
      <c r="B1440" s="217" t="s">
        <v>7</v>
      </c>
      <c r="C1440" s="218" t="s">
        <v>1950</v>
      </c>
      <c r="D1440" s="222" t="s">
        <v>2372</v>
      </c>
      <c r="E1440" s="220"/>
      <c r="F1440" s="220"/>
      <c r="G1440" s="220" t="s">
        <v>2373</v>
      </c>
      <c r="H1440" s="231">
        <v>41698</v>
      </c>
    </row>
    <row r="1441" spans="1:8" customFormat="1" ht="42.45">
      <c r="A1441" s="221">
        <v>41698</v>
      </c>
      <c r="B1441" s="217" t="s">
        <v>7</v>
      </c>
      <c r="C1441" s="218" t="s">
        <v>220</v>
      </c>
      <c r="D1441" s="222" t="s">
        <v>2374</v>
      </c>
      <c r="E1441" s="220"/>
      <c r="F1441" s="220"/>
      <c r="G1441" s="220" t="s">
        <v>2375</v>
      </c>
      <c r="H1441" s="231">
        <v>41698</v>
      </c>
    </row>
    <row r="1442" spans="1:8" customFormat="1" ht="42.45">
      <c r="A1442" s="221">
        <v>41698</v>
      </c>
      <c r="B1442" s="217" t="s">
        <v>7</v>
      </c>
      <c r="C1442" s="218" t="s">
        <v>267</v>
      </c>
      <c r="D1442" s="222" t="s">
        <v>2264</v>
      </c>
      <c r="E1442" s="220"/>
      <c r="F1442" s="220"/>
      <c r="G1442" s="220" t="s">
        <v>2376</v>
      </c>
      <c r="H1442" s="231">
        <v>41698</v>
      </c>
    </row>
    <row r="1443" spans="1:8" customFormat="1" ht="32.15">
      <c r="A1443" s="221">
        <v>41698</v>
      </c>
      <c r="B1443" s="217" t="s">
        <v>309</v>
      </c>
      <c r="C1443" s="218" t="s">
        <v>220</v>
      </c>
      <c r="D1443" s="222" t="s">
        <v>2318</v>
      </c>
      <c r="E1443" s="220"/>
      <c r="F1443" s="220"/>
      <c r="G1443" s="220" t="s">
        <v>2377</v>
      </c>
      <c r="H1443" s="231">
        <v>41698</v>
      </c>
    </row>
    <row r="1444" spans="1:8" customFormat="1" ht="21.9">
      <c r="A1444" s="221">
        <v>41698</v>
      </c>
      <c r="B1444" s="217" t="s">
        <v>380</v>
      </c>
      <c r="C1444" s="218" t="s">
        <v>220</v>
      </c>
      <c r="D1444" s="222" t="s">
        <v>2362</v>
      </c>
      <c r="E1444" s="220"/>
      <c r="F1444" s="220"/>
      <c r="G1444" s="220" t="s">
        <v>2378</v>
      </c>
      <c r="H1444" s="231">
        <v>41698</v>
      </c>
    </row>
    <row r="1445" spans="1:8" customFormat="1" ht="52.75">
      <c r="A1445" s="221">
        <v>41593</v>
      </c>
      <c r="B1445" s="217" t="s">
        <v>7</v>
      </c>
      <c r="C1445" s="218" t="s">
        <v>220</v>
      </c>
      <c r="D1445" s="222" t="s">
        <v>958</v>
      </c>
      <c r="E1445" s="220"/>
      <c r="F1445" s="220"/>
      <c r="G1445" s="220" t="s">
        <v>2379</v>
      </c>
      <c r="H1445" s="231">
        <v>41593</v>
      </c>
    </row>
    <row r="1446" spans="1:8" customFormat="1" ht="21.9">
      <c r="A1446" s="221">
        <v>41593</v>
      </c>
      <c r="B1446" s="217" t="s">
        <v>7</v>
      </c>
      <c r="C1446" s="218" t="s">
        <v>220</v>
      </c>
      <c r="D1446" s="222" t="s">
        <v>2380</v>
      </c>
      <c r="E1446" s="220"/>
      <c r="F1446" s="220"/>
      <c r="G1446" s="220" t="s">
        <v>2381</v>
      </c>
      <c r="H1446" s="231">
        <v>41593</v>
      </c>
    </row>
    <row r="1447" spans="1:8" customFormat="1" ht="32.15">
      <c r="A1447" s="221">
        <v>41593</v>
      </c>
      <c r="B1447" s="217" t="s">
        <v>7</v>
      </c>
      <c r="C1447" s="218" t="s">
        <v>220</v>
      </c>
      <c r="D1447" s="222" t="s">
        <v>2382</v>
      </c>
      <c r="E1447" s="220"/>
      <c r="F1447" s="220"/>
      <c r="G1447" s="220" t="s">
        <v>2383</v>
      </c>
      <c r="H1447" s="231">
        <v>41593</v>
      </c>
    </row>
    <row r="1448" spans="1:8" customFormat="1" ht="42.45">
      <c r="A1448" s="221">
        <v>41593</v>
      </c>
      <c r="B1448" s="217" t="s">
        <v>7</v>
      </c>
      <c r="C1448" s="218" t="s">
        <v>220</v>
      </c>
      <c r="D1448" s="222" t="s">
        <v>2384</v>
      </c>
      <c r="E1448" s="220"/>
      <c r="F1448" s="220"/>
      <c r="G1448" s="220" t="s">
        <v>2385</v>
      </c>
      <c r="H1448" s="231">
        <v>41593</v>
      </c>
    </row>
    <row r="1449" spans="1:8" customFormat="1" ht="32.15">
      <c r="A1449" s="221">
        <v>41593</v>
      </c>
      <c r="B1449" s="217" t="s">
        <v>7</v>
      </c>
      <c r="C1449" s="218" t="s">
        <v>220</v>
      </c>
      <c r="D1449" s="222" t="s">
        <v>2386</v>
      </c>
      <c r="E1449" s="220"/>
      <c r="F1449" s="220"/>
      <c r="G1449" s="220" t="s">
        <v>2387</v>
      </c>
      <c r="H1449" s="231">
        <v>41593</v>
      </c>
    </row>
    <row r="1450" spans="1:8" customFormat="1" ht="42.45">
      <c r="A1450" s="221">
        <v>41593</v>
      </c>
      <c r="B1450" s="217" t="s">
        <v>7</v>
      </c>
      <c r="C1450" s="218" t="s">
        <v>267</v>
      </c>
      <c r="D1450" s="222" t="s">
        <v>2299</v>
      </c>
      <c r="E1450" s="220"/>
      <c r="F1450" s="220"/>
      <c r="G1450" s="220" t="s">
        <v>2388</v>
      </c>
      <c r="H1450" s="231">
        <v>41593</v>
      </c>
    </row>
    <row r="1451" spans="1:8" customFormat="1" ht="52.75">
      <c r="A1451" s="221">
        <v>41593</v>
      </c>
      <c r="B1451" s="217" t="s">
        <v>309</v>
      </c>
      <c r="C1451" s="218" t="s">
        <v>220</v>
      </c>
      <c r="D1451" s="222" t="s">
        <v>2389</v>
      </c>
      <c r="E1451" s="220"/>
      <c r="F1451" s="220"/>
      <c r="G1451" s="220" t="s">
        <v>2390</v>
      </c>
      <c r="H1451" s="231">
        <v>41593</v>
      </c>
    </row>
    <row r="1452" spans="1:8" customFormat="1" ht="32.15">
      <c r="A1452" s="221">
        <v>41593</v>
      </c>
      <c r="B1452" s="217" t="s">
        <v>380</v>
      </c>
      <c r="C1452" s="218" t="s">
        <v>220</v>
      </c>
      <c r="D1452" s="222" t="s">
        <v>2391</v>
      </c>
      <c r="E1452" s="220"/>
      <c r="F1452" s="220"/>
      <c r="G1452" s="220" t="s">
        <v>2392</v>
      </c>
      <c r="H1452" s="231">
        <v>41593</v>
      </c>
    </row>
    <row r="1453" spans="1:8" customFormat="1" ht="32.15">
      <c r="A1453" s="221">
        <v>41593</v>
      </c>
      <c r="B1453" s="217" t="s">
        <v>380</v>
      </c>
      <c r="C1453" s="218" t="s">
        <v>267</v>
      </c>
      <c r="D1453" s="222" t="s">
        <v>2362</v>
      </c>
      <c r="E1453" s="220"/>
      <c r="F1453" s="220"/>
      <c r="G1453" s="220" t="s">
        <v>2393</v>
      </c>
      <c r="H1453" s="231">
        <v>41593</v>
      </c>
    </row>
    <row r="1454" spans="1:8" customFormat="1" ht="21.9">
      <c r="A1454" s="221">
        <v>41593</v>
      </c>
      <c r="B1454" s="217" t="s">
        <v>565</v>
      </c>
      <c r="C1454" s="218" t="s">
        <v>220</v>
      </c>
      <c r="D1454" s="222" t="s">
        <v>2394</v>
      </c>
      <c r="E1454" s="220"/>
      <c r="F1454" s="220"/>
      <c r="G1454" s="220" t="s">
        <v>2395</v>
      </c>
      <c r="H1454" s="231">
        <v>41593</v>
      </c>
    </row>
    <row r="1455" spans="1:8" customFormat="1" ht="21.9">
      <c r="A1455" s="221">
        <v>41593</v>
      </c>
      <c r="B1455" s="217" t="s">
        <v>565</v>
      </c>
      <c r="C1455" s="218" t="s">
        <v>220</v>
      </c>
      <c r="D1455" s="222" t="s">
        <v>2396</v>
      </c>
      <c r="E1455" s="220"/>
      <c r="F1455" s="220"/>
      <c r="G1455" s="220" t="s">
        <v>2397</v>
      </c>
      <c r="H1455" s="231">
        <v>41593</v>
      </c>
    </row>
    <row r="1456" spans="1:8" customFormat="1" ht="21.9">
      <c r="A1456" s="221">
        <v>41593</v>
      </c>
      <c r="B1456" s="217" t="s">
        <v>423</v>
      </c>
      <c r="C1456" s="218" t="s">
        <v>220</v>
      </c>
      <c r="D1456" s="222" t="s">
        <v>2398</v>
      </c>
      <c r="E1456" s="220"/>
      <c r="F1456" s="220"/>
      <c r="G1456" s="220" t="s">
        <v>2399</v>
      </c>
      <c r="H1456" s="231">
        <v>41593</v>
      </c>
    </row>
    <row r="1457" spans="1:8" customFormat="1" ht="42.45">
      <c r="A1457" s="221">
        <v>41593</v>
      </c>
      <c r="B1457" s="217" t="s">
        <v>423</v>
      </c>
      <c r="C1457" s="218" t="s">
        <v>220</v>
      </c>
      <c r="D1457" s="222" t="s">
        <v>2292</v>
      </c>
      <c r="E1457" s="220"/>
      <c r="F1457" s="220"/>
      <c r="G1457" s="220" t="s">
        <v>2400</v>
      </c>
      <c r="H1457" s="231">
        <v>41593</v>
      </c>
    </row>
    <row r="1458" spans="1:8" customFormat="1" ht="32.15">
      <c r="A1458" s="221">
        <v>41499</v>
      </c>
      <c r="B1458" s="217" t="s">
        <v>7</v>
      </c>
      <c r="C1458" s="218" t="s">
        <v>267</v>
      </c>
      <c r="D1458" s="222" t="s">
        <v>2294</v>
      </c>
      <c r="E1458" s="220"/>
      <c r="F1458" s="220"/>
      <c r="G1458" s="220" t="s">
        <v>2401</v>
      </c>
      <c r="H1458" s="231">
        <v>41499</v>
      </c>
    </row>
    <row r="1459" spans="1:8" customFormat="1" ht="32.15">
      <c r="A1459" s="221">
        <v>41499</v>
      </c>
      <c r="B1459" s="217" t="s">
        <v>7</v>
      </c>
      <c r="C1459" s="218" t="s">
        <v>267</v>
      </c>
      <c r="D1459" s="222" t="s">
        <v>2269</v>
      </c>
      <c r="E1459" s="220"/>
      <c r="F1459" s="220"/>
      <c r="G1459" s="220" t="s">
        <v>2402</v>
      </c>
      <c r="H1459" s="231">
        <v>41499</v>
      </c>
    </row>
    <row r="1460" spans="1:8" customFormat="1" ht="21.9">
      <c r="A1460" s="221">
        <v>41499</v>
      </c>
      <c r="B1460" s="217" t="s">
        <v>423</v>
      </c>
      <c r="C1460" s="218" t="s">
        <v>1950</v>
      </c>
      <c r="D1460" s="222" t="s">
        <v>2398</v>
      </c>
      <c r="E1460" s="220"/>
      <c r="F1460" s="220"/>
      <c r="G1460" s="220" t="s">
        <v>2403</v>
      </c>
      <c r="H1460" s="231">
        <v>41499</v>
      </c>
    </row>
    <row r="1461" spans="1:8" customFormat="1" ht="32.15">
      <c r="A1461" s="221">
        <v>41455</v>
      </c>
      <c r="B1461" s="217" t="s">
        <v>7</v>
      </c>
      <c r="C1461" s="218" t="s">
        <v>1950</v>
      </c>
      <c r="D1461" s="222" t="s">
        <v>2262</v>
      </c>
      <c r="E1461" s="220"/>
      <c r="F1461" s="220"/>
      <c r="G1461" s="220" t="s">
        <v>2404</v>
      </c>
      <c r="H1461" s="231">
        <v>41455</v>
      </c>
    </row>
    <row r="1462" spans="1:8" customFormat="1" ht="21.9">
      <c r="A1462" s="221">
        <v>41455</v>
      </c>
      <c r="B1462" s="217" t="s">
        <v>7</v>
      </c>
      <c r="C1462" s="218" t="s">
        <v>1950</v>
      </c>
      <c r="D1462" s="222" t="s">
        <v>2405</v>
      </c>
      <c r="E1462" s="220"/>
      <c r="F1462" s="220"/>
      <c r="G1462" s="220" t="s">
        <v>2406</v>
      </c>
      <c r="H1462" s="231">
        <v>41455</v>
      </c>
    </row>
    <row r="1463" spans="1:8" customFormat="1" ht="32.15">
      <c r="A1463" s="221">
        <v>41455</v>
      </c>
      <c r="B1463" s="217" t="s">
        <v>7</v>
      </c>
      <c r="C1463" s="218" t="s">
        <v>1950</v>
      </c>
      <c r="D1463" s="222" t="s">
        <v>2407</v>
      </c>
      <c r="E1463" s="220"/>
      <c r="F1463" s="220"/>
      <c r="G1463" s="220" t="s">
        <v>2408</v>
      </c>
      <c r="H1463" s="231">
        <v>41455</v>
      </c>
    </row>
    <row r="1464" spans="1:8" customFormat="1" ht="21.9">
      <c r="A1464" s="221">
        <v>41455</v>
      </c>
      <c r="B1464" s="217" t="s">
        <v>7</v>
      </c>
      <c r="C1464" s="218" t="s">
        <v>267</v>
      </c>
      <c r="D1464" s="222" t="s">
        <v>2380</v>
      </c>
      <c r="E1464" s="220"/>
      <c r="F1464" s="220"/>
      <c r="G1464" s="220" t="s">
        <v>2409</v>
      </c>
      <c r="H1464" s="231">
        <v>41455</v>
      </c>
    </row>
    <row r="1465" spans="1:8" customFormat="1" ht="32.15">
      <c r="A1465" s="221">
        <v>41455</v>
      </c>
      <c r="B1465" s="217" t="s">
        <v>7</v>
      </c>
      <c r="C1465" s="218" t="s">
        <v>267</v>
      </c>
      <c r="D1465" s="222" t="s">
        <v>2310</v>
      </c>
      <c r="E1465" s="220"/>
      <c r="F1465" s="220"/>
      <c r="G1465" s="220" t="s">
        <v>2410</v>
      </c>
      <c r="H1465" s="231">
        <v>41455</v>
      </c>
    </row>
    <row r="1466" spans="1:8" customFormat="1" ht="63">
      <c r="A1466" s="221">
        <v>41455</v>
      </c>
      <c r="B1466" s="217" t="s">
        <v>309</v>
      </c>
      <c r="C1466" s="218" t="s">
        <v>1950</v>
      </c>
      <c r="D1466" s="222" t="s">
        <v>2411</v>
      </c>
      <c r="E1466" s="220"/>
      <c r="F1466" s="220"/>
      <c r="G1466" s="220" t="s">
        <v>2412</v>
      </c>
      <c r="H1466" s="231">
        <v>41455</v>
      </c>
    </row>
    <row r="1467" spans="1:8" customFormat="1" ht="32.15">
      <c r="A1467" s="221">
        <v>41455</v>
      </c>
      <c r="B1467" s="217" t="s">
        <v>309</v>
      </c>
      <c r="C1467" s="218" t="s">
        <v>1950</v>
      </c>
      <c r="D1467" s="222" t="s">
        <v>2413</v>
      </c>
      <c r="E1467" s="220"/>
      <c r="F1467" s="220"/>
      <c r="G1467" s="220" t="s">
        <v>2414</v>
      </c>
      <c r="H1467" s="231">
        <v>41455</v>
      </c>
    </row>
    <row r="1468" spans="1:8" customFormat="1" ht="21.9">
      <c r="A1468" s="221">
        <v>41455</v>
      </c>
      <c r="B1468" s="217" t="s">
        <v>309</v>
      </c>
      <c r="C1468" s="218" t="s">
        <v>267</v>
      </c>
      <c r="D1468" s="222" t="s">
        <v>2228</v>
      </c>
      <c r="E1468" s="220"/>
      <c r="F1468" s="220"/>
      <c r="G1468" s="220" t="s">
        <v>2415</v>
      </c>
      <c r="H1468" s="231">
        <v>41455</v>
      </c>
    </row>
    <row r="1469" spans="1:8" customFormat="1" ht="21.9">
      <c r="A1469" s="221">
        <v>41455</v>
      </c>
      <c r="B1469" s="217" t="s">
        <v>380</v>
      </c>
      <c r="C1469" s="218" t="s">
        <v>1950</v>
      </c>
      <c r="D1469" s="222" t="s">
        <v>2416</v>
      </c>
      <c r="E1469" s="220"/>
      <c r="F1469" s="220"/>
      <c r="G1469" s="220" t="s">
        <v>2417</v>
      </c>
      <c r="H1469" s="231">
        <v>41455</v>
      </c>
    </row>
    <row r="1470" spans="1:8" customFormat="1" ht="21.9">
      <c r="A1470" s="221">
        <v>41455</v>
      </c>
      <c r="B1470" s="217" t="s">
        <v>380</v>
      </c>
      <c r="C1470" s="218" t="s">
        <v>1950</v>
      </c>
      <c r="D1470" s="222" t="s">
        <v>2418</v>
      </c>
      <c r="E1470" s="220"/>
      <c r="F1470" s="220"/>
      <c r="G1470" s="220" t="s">
        <v>2419</v>
      </c>
      <c r="H1470" s="231">
        <v>41455</v>
      </c>
    </row>
    <row r="1471" spans="1:8" customFormat="1" ht="21.9">
      <c r="A1471" s="221">
        <v>41455</v>
      </c>
      <c r="B1471" s="217" t="s">
        <v>380</v>
      </c>
      <c r="C1471" s="218" t="s">
        <v>220</v>
      </c>
      <c r="D1471" s="222" t="s">
        <v>2209</v>
      </c>
      <c r="E1471" s="220"/>
      <c r="F1471" s="220"/>
      <c r="G1471" s="220" t="s">
        <v>2420</v>
      </c>
      <c r="H1471" s="231">
        <v>41455</v>
      </c>
    </row>
    <row r="1472" spans="1:8" customFormat="1" ht="32.15">
      <c r="A1472" s="221">
        <v>41455</v>
      </c>
      <c r="B1472" s="217" t="s">
        <v>565</v>
      </c>
      <c r="C1472" s="218" t="s">
        <v>220</v>
      </c>
      <c r="D1472" s="222" t="s">
        <v>2421</v>
      </c>
      <c r="E1472" s="220"/>
      <c r="F1472" s="220"/>
      <c r="G1472" s="220" t="s">
        <v>2422</v>
      </c>
      <c r="H1472" s="231">
        <v>41455</v>
      </c>
    </row>
    <row r="1473" spans="1:8" customFormat="1" ht="42.45">
      <c r="A1473" s="221">
        <v>41455</v>
      </c>
      <c r="B1473" s="217" t="s">
        <v>565</v>
      </c>
      <c r="C1473" s="218" t="s">
        <v>220</v>
      </c>
      <c r="D1473" s="222" t="s">
        <v>2421</v>
      </c>
      <c r="E1473" s="220"/>
      <c r="F1473" s="220"/>
      <c r="G1473" s="220" t="s">
        <v>2423</v>
      </c>
      <c r="H1473" s="231">
        <v>41455</v>
      </c>
    </row>
    <row r="1474" spans="1:8" customFormat="1" ht="32.15">
      <c r="A1474" s="221">
        <v>41455</v>
      </c>
      <c r="B1474" s="217" t="s">
        <v>423</v>
      </c>
      <c r="C1474" s="218" t="s">
        <v>1950</v>
      </c>
      <c r="D1474" s="222" t="s">
        <v>2424</v>
      </c>
      <c r="E1474" s="220"/>
      <c r="F1474" s="220"/>
      <c r="G1474" s="220" t="s">
        <v>2425</v>
      </c>
      <c r="H1474" s="231">
        <v>41455</v>
      </c>
    </row>
    <row r="1475" spans="1:8" customFormat="1" ht="21.9">
      <c r="A1475" s="221">
        <v>41455</v>
      </c>
      <c r="B1475" s="217" t="s">
        <v>423</v>
      </c>
      <c r="C1475" s="218" t="s">
        <v>220</v>
      </c>
      <c r="D1475" s="222" t="s">
        <v>2426</v>
      </c>
      <c r="E1475" s="220"/>
      <c r="F1475" s="220"/>
      <c r="G1475" s="220" t="s">
        <v>2427</v>
      </c>
      <c r="H1475" s="231">
        <v>41455</v>
      </c>
    </row>
    <row r="1476" spans="1:8" customFormat="1" ht="21.9">
      <c r="A1476" s="221">
        <v>41455</v>
      </c>
      <c r="B1476" s="217" t="s">
        <v>423</v>
      </c>
      <c r="C1476" s="218" t="s">
        <v>220</v>
      </c>
      <c r="D1476" s="222" t="s">
        <v>2428</v>
      </c>
      <c r="E1476" s="220"/>
      <c r="F1476" s="220"/>
      <c r="G1476" s="220" t="s">
        <v>2429</v>
      </c>
      <c r="H1476" s="231">
        <v>41455</v>
      </c>
    </row>
    <row r="1477" spans="1:8" customFormat="1" ht="21.9">
      <c r="A1477" s="221">
        <v>41455</v>
      </c>
      <c r="B1477" s="217" t="s">
        <v>423</v>
      </c>
      <c r="C1477" s="218" t="s">
        <v>220</v>
      </c>
      <c r="D1477" s="222" t="s">
        <v>2430</v>
      </c>
      <c r="E1477" s="220"/>
      <c r="F1477" s="220"/>
      <c r="G1477" s="220" t="s">
        <v>2431</v>
      </c>
      <c r="H1477" s="231">
        <v>41455</v>
      </c>
    </row>
    <row r="1478" spans="1:8" customFormat="1" ht="42.45">
      <c r="A1478" s="221">
        <v>41455</v>
      </c>
      <c r="B1478" s="217" t="s">
        <v>423</v>
      </c>
      <c r="C1478" s="218" t="s">
        <v>267</v>
      </c>
      <c r="D1478" s="222" t="s">
        <v>2398</v>
      </c>
      <c r="E1478" s="220"/>
      <c r="F1478" s="220"/>
      <c r="G1478" s="220" t="s">
        <v>2432</v>
      </c>
      <c r="H1478" s="231">
        <v>41455</v>
      </c>
    </row>
    <row r="1479" spans="1:8" customFormat="1" ht="32.15">
      <c r="A1479" s="221">
        <v>41455</v>
      </c>
      <c r="B1479" s="217" t="s">
        <v>423</v>
      </c>
      <c r="C1479" s="218" t="s">
        <v>267</v>
      </c>
      <c r="D1479" s="222" t="s">
        <v>2333</v>
      </c>
      <c r="E1479" s="220"/>
      <c r="F1479" s="220"/>
      <c r="G1479" s="220" t="s">
        <v>2433</v>
      </c>
      <c r="H1479" s="231">
        <v>41455</v>
      </c>
    </row>
    <row r="1480" spans="1:8" customFormat="1" ht="32.15">
      <c r="A1480" s="221">
        <v>41327</v>
      </c>
      <c r="B1480" s="217" t="s">
        <v>7</v>
      </c>
      <c r="C1480" s="218" t="s">
        <v>1950</v>
      </c>
      <c r="D1480" s="222" t="s">
        <v>2434</v>
      </c>
      <c r="E1480" s="220"/>
      <c r="F1480" s="220"/>
      <c r="G1480" s="220" t="s">
        <v>2435</v>
      </c>
      <c r="H1480" s="231">
        <v>41327</v>
      </c>
    </row>
    <row r="1481" spans="1:8" customFormat="1" ht="52.75">
      <c r="A1481" s="221">
        <v>41327</v>
      </c>
      <c r="B1481" s="217" t="s">
        <v>7</v>
      </c>
      <c r="C1481" s="218" t="s">
        <v>1950</v>
      </c>
      <c r="D1481" s="222" t="s">
        <v>2407</v>
      </c>
      <c r="E1481" s="220"/>
      <c r="F1481" s="220"/>
      <c r="G1481" s="220" t="s">
        <v>2436</v>
      </c>
      <c r="H1481" s="231">
        <v>41327</v>
      </c>
    </row>
    <row r="1482" spans="1:8" customFormat="1" ht="32.15">
      <c r="A1482" s="221">
        <v>41327</v>
      </c>
      <c r="B1482" s="217" t="s">
        <v>309</v>
      </c>
      <c r="C1482" s="218" t="s">
        <v>1950</v>
      </c>
      <c r="D1482" s="222" t="s">
        <v>2411</v>
      </c>
      <c r="E1482" s="220"/>
      <c r="F1482" s="220"/>
      <c r="G1482" s="220" t="s">
        <v>2437</v>
      </c>
      <c r="H1482" s="231">
        <v>41327</v>
      </c>
    </row>
    <row r="1483" spans="1:8" customFormat="1" ht="32.15">
      <c r="A1483" s="221">
        <v>41327</v>
      </c>
      <c r="B1483" s="217" t="s">
        <v>309</v>
      </c>
      <c r="C1483" s="218" t="s">
        <v>1950</v>
      </c>
      <c r="D1483" s="222" t="s">
        <v>2438</v>
      </c>
      <c r="E1483" s="220"/>
      <c r="F1483" s="220"/>
      <c r="G1483" s="220" t="s">
        <v>2439</v>
      </c>
      <c r="H1483" s="231">
        <v>41327</v>
      </c>
    </row>
    <row r="1484" spans="1:8" customFormat="1" ht="32.15">
      <c r="A1484" s="221">
        <v>41327</v>
      </c>
      <c r="B1484" s="217" t="s">
        <v>565</v>
      </c>
      <c r="C1484" s="218" t="s">
        <v>1950</v>
      </c>
      <c r="D1484" s="222" t="s">
        <v>2440</v>
      </c>
      <c r="E1484" s="220"/>
      <c r="F1484" s="220"/>
      <c r="G1484" s="220" t="s">
        <v>2441</v>
      </c>
      <c r="H1484" s="231">
        <v>41327</v>
      </c>
    </row>
    <row r="1485" spans="1:8" customFormat="1" ht="32.15">
      <c r="A1485" s="221">
        <v>41327</v>
      </c>
      <c r="B1485" s="217" t="s">
        <v>565</v>
      </c>
      <c r="C1485" s="218" t="s">
        <v>267</v>
      </c>
      <c r="D1485" s="222" t="s">
        <v>2394</v>
      </c>
      <c r="E1485" s="220"/>
      <c r="F1485" s="220"/>
      <c r="G1485" s="220" t="s">
        <v>2442</v>
      </c>
      <c r="H1485" s="231">
        <v>41327</v>
      </c>
    </row>
    <row r="1486" spans="1:8" customFormat="1" ht="21.9">
      <c r="A1486" s="221">
        <v>41263</v>
      </c>
      <c r="B1486" s="217" t="s">
        <v>7</v>
      </c>
      <c r="C1486" s="218" t="s">
        <v>220</v>
      </c>
      <c r="D1486" s="222" t="s">
        <v>2443</v>
      </c>
      <c r="E1486" s="220"/>
      <c r="F1486" s="220"/>
      <c r="G1486" s="220" t="s">
        <v>2444</v>
      </c>
      <c r="H1486" s="231">
        <v>41263</v>
      </c>
    </row>
    <row r="1487" spans="1:8" customFormat="1" ht="42.45">
      <c r="A1487" s="221">
        <v>41263</v>
      </c>
      <c r="B1487" s="217" t="s">
        <v>309</v>
      </c>
      <c r="C1487" s="218" t="s">
        <v>1950</v>
      </c>
      <c r="D1487" s="222" t="s">
        <v>2356</v>
      </c>
      <c r="E1487" s="220"/>
      <c r="F1487" s="220"/>
      <c r="G1487" s="220" t="s">
        <v>2445</v>
      </c>
      <c r="H1487" s="231">
        <v>41263</v>
      </c>
    </row>
    <row r="1488" spans="1:8" customFormat="1" ht="63">
      <c r="A1488" s="221">
        <v>41263</v>
      </c>
      <c r="B1488" s="217" t="s">
        <v>309</v>
      </c>
      <c r="C1488" s="218" t="s">
        <v>1950</v>
      </c>
      <c r="D1488" s="222" t="s">
        <v>2234</v>
      </c>
      <c r="E1488" s="220"/>
      <c r="F1488" s="220"/>
      <c r="G1488" s="220" t="s">
        <v>2446</v>
      </c>
      <c r="H1488" s="231">
        <v>41263</v>
      </c>
    </row>
    <row r="1489" spans="1:8" customFormat="1" ht="32.15">
      <c r="A1489" s="221">
        <v>41263</v>
      </c>
      <c r="B1489" s="217" t="s">
        <v>309</v>
      </c>
      <c r="C1489" s="218" t="s">
        <v>220</v>
      </c>
      <c r="D1489" s="222" t="s">
        <v>2447</v>
      </c>
      <c r="E1489" s="220"/>
      <c r="F1489" s="220"/>
      <c r="G1489" s="220" t="s">
        <v>2448</v>
      </c>
      <c r="H1489" s="231">
        <v>41263</v>
      </c>
    </row>
    <row r="1490" spans="1:8" customFormat="1" ht="32.15">
      <c r="A1490" s="221">
        <v>41263</v>
      </c>
      <c r="B1490" s="217" t="s">
        <v>380</v>
      </c>
      <c r="C1490" s="218" t="s">
        <v>267</v>
      </c>
      <c r="D1490" s="222" t="s">
        <v>2321</v>
      </c>
      <c r="E1490" s="220"/>
      <c r="F1490" s="220"/>
      <c r="G1490" s="220" t="s">
        <v>2449</v>
      </c>
      <c r="H1490" s="231">
        <v>41263</v>
      </c>
    </row>
    <row r="1491" spans="1:8" customFormat="1" ht="32.15">
      <c r="A1491" s="221">
        <v>41263</v>
      </c>
      <c r="B1491" s="217" t="s">
        <v>565</v>
      </c>
      <c r="C1491" s="218" t="s">
        <v>267</v>
      </c>
      <c r="D1491" s="222" t="s">
        <v>2421</v>
      </c>
      <c r="E1491" s="220"/>
      <c r="F1491" s="220"/>
      <c r="G1491" s="220" t="s">
        <v>2450</v>
      </c>
      <c r="H1491" s="231">
        <v>41263</v>
      </c>
    </row>
    <row r="1492" spans="1:8" customFormat="1" ht="42.45">
      <c r="A1492" s="221">
        <v>41263</v>
      </c>
      <c r="B1492" s="217" t="s">
        <v>423</v>
      </c>
      <c r="C1492" s="218" t="s">
        <v>267</v>
      </c>
      <c r="D1492" s="222" t="s">
        <v>2430</v>
      </c>
      <c r="E1492" s="220"/>
      <c r="F1492" s="220"/>
      <c r="G1492" s="220" t="s">
        <v>2451</v>
      </c>
      <c r="H1492" s="231">
        <v>41263</v>
      </c>
    </row>
    <row r="1493" spans="1:8" customFormat="1" ht="63">
      <c r="A1493" s="221">
        <v>41263</v>
      </c>
      <c r="B1493" s="217" t="s">
        <v>423</v>
      </c>
      <c r="C1493" s="218" t="s">
        <v>1931</v>
      </c>
      <c r="D1493" s="222" t="s">
        <v>2452</v>
      </c>
      <c r="E1493" s="220"/>
      <c r="F1493" s="220"/>
      <c r="G1493" s="220" t="s">
        <v>2453</v>
      </c>
      <c r="H1493" s="231">
        <v>41263</v>
      </c>
    </row>
  </sheetData>
  <sheetProtection algorithmName="SHA-512" hashValue="JGTPat1ryQ6O2UCyuowHaCA9jRSdhpf580iJrUbbgSh4805Zxm+L8EaHULjN1zDkMcHmcctbdk8cqXZtKjjJiw==" saltValue="BzbMXU855pr2GQXqQLZFwA==" spinCount="100000" sheet="1" sort="0" autoFilter="0" pivotTables="0"/>
  <conditionalFormatting sqref="A6:H131 A132:A134">
    <cfRule type="expression" dxfId="197" priority="7">
      <formula>$A6&lt;&gt;OFFSET($A6,-1,0,1,1)</formula>
    </cfRule>
  </conditionalFormatting>
  <conditionalFormatting sqref="A132:H132 A135:B141 A306:D309 A310:H1493 D135:H141 F306:H309">
    <cfRule type="expression" dxfId="196" priority="130">
      <formula>$A132&lt;&gt;OFFSET($A132,-1,0,1,1)</formula>
    </cfRule>
  </conditionalFormatting>
  <conditionalFormatting sqref="A436:H439 A445:H448">
    <cfRule type="expression" dxfId="195" priority="108">
      <formula>$A436&lt;&gt;OFFSET($A436,-1,0,1,1)</formula>
    </cfRule>
  </conditionalFormatting>
  <conditionalFormatting sqref="A481:H482">
    <cfRule type="expression" dxfId="194" priority="110">
      <formula>$A481&lt;&gt;OFFSET($A481,-1,0,1,1)</formula>
    </cfRule>
  </conditionalFormatting>
  <conditionalFormatting sqref="A537:H1392">
    <cfRule type="expression" dxfId="193" priority="119">
      <formula>$A537&lt;&gt;OFFSET($A537,-1,0,1,1)</formula>
    </cfRule>
  </conditionalFormatting>
  <conditionalFormatting sqref="B6:B1493">
    <cfRule type="expression" dxfId="192" priority="129">
      <formula>AND($A6=OFFSET($A6,-1,0,1,1),$B6=OFFSET($B6,-1,0,1,1))</formula>
    </cfRule>
  </conditionalFormatting>
  <conditionalFormatting sqref="B455:C455 C6:H132 D135:H141 C142:H305 C306:D309 C310:H310 C133:C141 F306:H309 H311:H350">
    <cfRule type="expression" dxfId="191" priority="115">
      <formula>$D6&lt;&gt;OFFSET($D6,-1,0,1,1)</formula>
    </cfRule>
    <cfRule type="expression" dxfId="190" priority="114">
      <formula>$C6="Project commitment"</formula>
    </cfRule>
  </conditionalFormatting>
  <conditionalFormatting sqref="C133:C141 A142:H305">
    <cfRule type="expression" dxfId="189" priority="79">
      <formula>$A133&lt;&gt;OFFSET($A133,-1,0,1,1)</formula>
    </cfRule>
  </conditionalFormatting>
  <conditionalFormatting sqref="C455">
    <cfRule type="expression" dxfId="188" priority="113">
      <formula>AND($A455=OFFSET($A455,-1,0,1,1),$B455=OFFSET($B455,-1,0,1,1))</formula>
    </cfRule>
  </conditionalFormatting>
  <conditionalFormatting sqref="C311:H1493">
    <cfRule type="expression" dxfId="187" priority="125">
      <formula>$C311="Project commitment"</formula>
    </cfRule>
    <cfRule type="expression" dxfId="186" priority="126">
      <formula>$D311&lt;&gt;OFFSET($D311,-1,0,1,1)</formula>
    </cfRule>
  </conditionalFormatting>
  <conditionalFormatting sqref="D6:D132 D135:D310">
    <cfRule type="expression" dxfId="185" priority="88">
      <formula>$D6=OFFSET($D6,-1,0,1,1)</formula>
    </cfRule>
    <cfRule type="expression" dxfId="184" priority="87">
      <formula>$C6="Project commitment"</formula>
    </cfRule>
    <cfRule type="expression" dxfId="183" priority="89">
      <formula>$C6="Project commitment"</formula>
    </cfRule>
    <cfRule type="expression" dxfId="182" priority="90">
      <formula>$D6&lt;&gt;OFFSET($D6,-1,0,1,1)</formula>
    </cfRule>
    <cfRule type="expression" dxfId="181" priority="91">
      <formula>$C6="Project commitment"</formula>
    </cfRule>
    <cfRule type="expression" dxfId="180" priority="93">
      <formula>$D6=OFFSET($D6,-1,0,1,1)</formula>
    </cfRule>
  </conditionalFormatting>
  <conditionalFormatting sqref="D6:D1493">
    <cfRule type="expression" dxfId="179" priority="124">
      <formula>$D6=OFFSET($D6,-1,0,1,1)</formula>
    </cfRule>
    <cfRule type="expression" dxfId="178" priority="120">
      <formula>$C6="Project commitment"</formula>
    </cfRule>
  </conditionalFormatting>
  <conditionalFormatting sqref="E306:E308">
    <cfRule type="expression" dxfId="177" priority="131">
      <formula>$A307&lt;&gt;OFFSET($A307,-1,0,1,1)</formula>
    </cfRule>
    <cfRule type="expression" dxfId="176" priority="132">
      <formula>$C307="Project commitment"</formula>
    </cfRule>
    <cfRule type="expression" dxfId="175" priority="133">
      <formula>$D307&lt;&gt;OFFSET($D307,-1,0,1,1)</formula>
    </cfRule>
  </conditionalFormatting>
  <conditionalFormatting sqref="E309">
    <cfRule type="expression" dxfId="174" priority="134">
      <formula>#REF!&lt;&gt;OFFSET(#REF!,-1,0,1,1)</formula>
    </cfRule>
    <cfRule type="expression" dxfId="173" priority="135">
      <formula>#REF!="Project commitment"</formula>
    </cfRule>
    <cfRule type="expression" dxfId="172" priority="136">
      <formula>#REF!&lt;&gt;OFFSET(#REF!,-1,0,1,1)</formula>
    </cfRule>
  </conditionalFormatting>
  <conditionalFormatting sqref="F6:H130 F132:H132">
    <cfRule type="expression" dxfId="171" priority="65">
      <formula>$F6&lt;&gt;OFFSET($F6,-1,0,1,1)</formula>
    </cfRule>
  </conditionalFormatting>
  <conditionalFormatting sqref="F131:H131">
    <cfRule type="expression" dxfId="170" priority="4">
      <formula>$F131&lt;&gt;OFFSET($F131,-1,0,1,1)</formula>
    </cfRule>
  </conditionalFormatting>
  <conditionalFormatting sqref="F135:H310">
    <cfRule type="expression" dxfId="169" priority="92">
      <formula>$F135&lt;&gt;OFFSET($F135,-1,0,1,1)</formula>
    </cfRule>
  </conditionalFormatting>
  <conditionalFormatting sqref="F311:H1493">
    <cfRule type="expression" dxfId="168" priority="123">
      <formula>$F311&lt;&gt;OFFSET($F311,-1,0,1,1)</formula>
    </cfRule>
  </conditionalFormatting>
  <conditionalFormatting sqref="F436:H439 F445:H448">
    <cfRule type="expression" dxfId="167" priority="107">
      <formula>$F436&lt;&gt;OFFSET($F436,-1,0,1,1)</formula>
    </cfRule>
  </conditionalFormatting>
  <conditionalFormatting sqref="F481:H482">
    <cfRule type="expression" dxfId="166" priority="109">
      <formula>$F481&lt;&gt;OFFSET($F481,-1,0,1,1)</formula>
    </cfRule>
  </conditionalFormatting>
  <conditionalFormatting sqref="F537:H1392">
    <cfRule type="expression" dxfId="165" priority="118">
      <formula>$F537&lt;&gt;OFFSET($F537,-1,0,1,1)</formula>
    </cfRule>
  </conditionalFormatting>
  <conditionalFormatting sqref="G6:G130 G132">
    <cfRule type="expression" dxfId="164" priority="62">
      <formula>$A6&lt;&gt;OFFSET($A6,-1,0,1,1)</formula>
    </cfRule>
    <cfRule type="expression" dxfId="163" priority="63">
      <formula>$F6&lt;&gt;OFFSET($F6,-1,0,1,1)</formula>
    </cfRule>
  </conditionalFormatting>
  <conditionalFormatting sqref="G6:G1493">
    <cfRule type="expression" dxfId="162" priority="122">
      <formula>ISNUMBER(SEARCH("committed",$G6,1))</formula>
    </cfRule>
  </conditionalFormatting>
  <conditionalFormatting sqref="G296:G309">
    <cfRule type="expression" dxfId="161" priority="99">
      <formula>$D296&lt;&gt;OFFSET($D296,-1,0,1,1)</formula>
    </cfRule>
    <cfRule type="expression" dxfId="160" priority="98">
      <formula>$C296="Project commitment"</formula>
    </cfRule>
    <cfRule type="expression" dxfId="159" priority="97">
      <formula>$F296&lt;&gt;OFFSET($F296,-1,0,1,1)</formula>
    </cfRule>
  </conditionalFormatting>
  <conditionalFormatting sqref="H6:H380 A6:A1493">
    <cfRule type="expression" dxfId="158" priority="127">
      <formula>$A6&lt;&gt;OFFSET($A6,-1,0,1,1)</formula>
    </cfRule>
    <cfRule type="expression" dxfId="157" priority="128">
      <formula>$A6=OFFSET($A6,-1,0,1,1)</formula>
    </cfRule>
  </conditionalFormatting>
  <conditionalFormatting sqref="H6:H1493">
    <cfRule type="expression" dxfId="156" priority="121">
      <formula>AND($C6=OFFSET($C6,-1,0,1,1),$G6=OFFSET($G6,-1,0,1,1),H6=OFFSET(H6,-1,0,1,1))</formula>
    </cfRule>
  </conditionalFormatting>
  <conditionalFormatting sqref="H132">
    <cfRule type="expression" dxfId="155" priority="16">
      <formula>$A132&lt;&gt;OFFSET($A132,-1,0,1,1)</formula>
    </cfRule>
  </conditionalFormatting>
  <conditionalFormatting sqref="H133:H134">
    <cfRule type="expression" dxfId="154" priority="80">
      <formula>$F133&lt;&gt;OFFSET($F133,-1,0,1,1)</formula>
    </cfRule>
    <cfRule type="expression" dxfId="153" priority="81">
      <formula>$C133="Project commitment"</formula>
    </cfRule>
    <cfRule type="expression" dxfId="152" priority="82">
      <formula>$D133&lt;&gt;OFFSET($D133,-1,0,1,1)</formula>
    </cfRule>
    <cfRule type="expression" dxfId="151" priority="83">
      <formula>$A133&lt;&gt;OFFSET($A133,-1,0,1,1)</formula>
    </cfRule>
  </conditionalFormatting>
  <conditionalFormatting sqref="H311:H350">
    <cfRule type="expression" dxfId="150" priority="105">
      <formula>$F311&lt;&gt;OFFSET($F311,-1,0,1,1)</formula>
    </cfRule>
  </conditionalFormatting>
  <conditionalFormatting sqref="H454:H455 H459:H462 H467 H471:H472">
    <cfRule type="expression" dxfId="149" priority="116">
      <formula>$A454&lt;&gt;OFFSET($A454,-1,0,1,1)</formula>
    </cfRule>
    <cfRule type="expression" dxfId="148" priority="117">
      <formula>$A454=OFFSET($A454,-1,0,1,1)</formula>
    </cfRule>
  </conditionalFormatting>
  <conditionalFormatting sqref="H475">
    <cfRule type="expression" dxfId="147" priority="111">
      <formula>$A475&lt;&gt;OFFSET($A475,-1,0,1,1)</formula>
    </cfRule>
    <cfRule type="expression" dxfId="146" priority="112">
      <formula>$A475=OFFSET($A475,-1,0,1,1)</formula>
    </cfRule>
  </conditionalFormatting>
  <pageMargins left="0.70866141732283472" right="0.70866141732283472" top="0.74803149606299213" bottom="0.74803149606299213" header="0.31496062992125984" footer="0.31496062992125984"/>
  <pageSetup paperSize="8" scale="67" fitToHeight="0" orientation="portrait"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F902C-ABEC-4778-BBA3-350663BE08FA}">
  <sheetPr codeName="Sheet3"/>
  <dimension ref="A1:Y1577"/>
  <sheetViews>
    <sheetView zoomScaleNormal="100" workbookViewId="0">
      <pane ySplit="2" topLeftCell="A3" activePane="bottomLeft" state="frozen"/>
      <selection pane="bottomLeft" activeCell="F13" sqref="F13"/>
    </sheetView>
  </sheetViews>
  <sheetFormatPr defaultColWidth="8.53515625" defaultRowHeight="14.6"/>
  <cols>
    <col min="1" max="1" width="7.15234375" style="2" customWidth="1"/>
    <col min="2" max="2" width="13.3828125" style="2" bestFit="1" customWidth="1"/>
    <col min="3" max="3" width="41.69140625" style="2" customWidth="1"/>
    <col min="4" max="4" width="31.15234375" style="2" customWidth="1"/>
    <col min="5" max="5" width="30.3828125" style="2" customWidth="1"/>
    <col min="6" max="6" width="26.3046875" style="2" customWidth="1"/>
    <col min="7" max="7" width="12" style="2" customWidth="1"/>
    <col min="8" max="8" width="11.84375" style="2" customWidth="1"/>
    <col min="9" max="10" width="9.3828125" style="2" customWidth="1"/>
    <col min="11" max="12" width="10.3828125" style="2" customWidth="1"/>
    <col min="13" max="13" width="12.3828125" style="143" customWidth="1"/>
    <col min="14" max="14" width="10.53515625" style="2" customWidth="1"/>
    <col min="15" max="15" width="23.3828125" style="2" customWidth="1"/>
    <col min="16" max="16" width="7.3828125" style="2" customWidth="1"/>
    <col min="17" max="17" width="10.53515625" style="2" customWidth="1"/>
    <col min="18" max="18" width="9.3828125" style="2" customWidth="1"/>
    <col min="19" max="19" width="13.69140625" style="2" customWidth="1"/>
    <col min="20" max="20" width="28" style="3" customWidth="1"/>
    <col min="21" max="21" width="12.53515625" style="2" customWidth="1"/>
    <col min="22" max="22" width="10.3046875" style="138" customWidth="1"/>
    <col min="23" max="23" width="12" style="2" customWidth="1"/>
    <col min="24" max="24" width="16.15234375" style="2" customWidth="1"/>
    <col min="25" max="25" width="18.15234375" style="136" customWidth="1"/>
    <col min="26" max="16384" width="8.53515625" style="2"/>
  </cols>
  <sheetData>
    <row r="1" spans="1:25" ht="19.3">
      <c r="A1" s="7" t="s">
        <v>2454</v>
      </c>
      <c r="B1" s="4"/>
      <c r="C1" s="4"/>
      <c r="D1" s="4"/>
      <c r="E1" s="4"/>
      <c r="F1" s="4"/>
      <c r="G1" s="4"/>
      <c r="H1" s="4"/>
      <c r="I1" s="4"/>
      <c r="J1" s="4"/>
      <c r="K1" s="4"/>
      <c r="L1" s="4"/>
      <c r="M1" s="142"/>
      <c r="N1" s="4"/>
      <c r="O1" s="4"/>
      <c r="P1" s="4"/>
      <c r="Q1" s="4"/>
      <c r="R1" s="4"/>
      <c r="S1" s="4"/>
      <c r="T1" s="5"/>
      <c r="U1" s="4"/>
      <c r="V1" s="4"/>
      <c r="W1" s="199"/>
      <c r="X1" s="199"/>
      <c r="Y1" s="199"/>
    </row>
    <row r="2" spans="1:25" ht="51.45">
      <c r="A2" s="99" t="s">
        <v>6</v>
      </c>
      <c r="B2" s="100" t="s">
        <v>79</v>
      </c>
      <c r="C2" s="128" t="s">
        <v>194</v>
      </c>
      <c r="D2" s="128" t="s">
        <v>195</v>
      </c>
      <c r="E2" s="128" t="s">
        <v>2455</v>
      </c>
      <c r="F2" s="128" t="s">
        <v>2456</v>
      </c>
      <c r="G2" s="128" t="s">
        <v>81</v>
      </c>
      <c r="H2" s="100" t="s">
        <v>2457</v>
      </c>
      <c r="I2" s="100" t="s">
        <v>53</v>
      </c>
      <c r="J2" s="100" t="s">
        <v>56</v>
      </c>
      <c r="K2" s="100" t="s">
        <v>58</v>
      </c>
      <c r="L2" s="100" t="s">
        <v>60</v>
      </c>
      <c r="M2" s="100" t="s">
        <v>2458</v>
      </c>
      <c r="N2" s="100" t="s">
        <v>2459</v>
      </c>
      <c r="O2" s="100" t="s">
        <v>1801</v>
      </c>
      <c r="P2" s="100" t="s">
        <v>8</v>
      </c>
      <c r="Q2" s="100" t="s">
        <v>64</v>
      </c>
      <c r="R2" s="100" t="s">
        <v>66</v>
      </c>
      <c r="S2" s="100" t="s">
        <v>68</v>
      </c>
      <c r="T2" s="100" t="s">
        <v>2460</v>
      </c>
      <c r="U2" s="100" t="s">
        <v>2461</v>
      </c>
      <c r="V2" s="139" t="s">
        <v>70</v>
      </c>
      <c r="W2" s="128" t="s">
        <v>72</v>
      </c>
      <c r="X2" s="128" t="s">
        <v>74</v>
      </c>
      <c r="Y2" s="128" t="s">
        <v>2462</v>
      </c>
    </row>
    <row r="3" spans="1:25">
      <c r="A3" s="163" t="s">
        <v>309</v>
      </c>
      <c r="B3" s="144" t="s">
        <v>2463</v>
      </c>
      <c r="C3" s="164" t="s">
        <v>2464</v>
      </c>
      <c r="D3" s="144" t="s">
        <v>5417</v>
      </c>
      <c r="E3" s="150" t="s">
        <v>2466</v>
      </c>
      <c r="F3" s="144" t="s">
        <v>2467</v>
      </c>
      <c r="G3" s="166"/>
      <c r="H3" s="151">
        <v>1</v>
      </c>
      <c r="I3" s="160">
        <v>168</v>
      </c>
      <c r="J3" s="159">
        <v>168</v>
      </c>
      <c r="K3" s="161">
        <v>168</v>
      </c>
      <c r="L3" s="159">
        <v>168</v>
      </c>
      <c r="M3" s="160">
        <v>168</v>
      </c>
      <c r="N3" s="145">
        <v>250</v>
      </c>
      <c r="O3" s="156" t="s">
        <v>135</v>
      </c>
      <c r="P3" s="144" t="s">
        <v>2468</v>
      </c>
      <c r="Q3" s="147"/>
      <c r="R3" s="146"/>
      <c r="S3" s="157"/>
      <c r="T3" s="144" t="s">
        <v>29</v>
      </c>
      <c r="U3" s="150" t="s">
        <v>20</v>
      </c>
      <c r="V3" s="146">
        <v>2489</v>
      </c>
      <c r="W3" s="148" t="s">
        <v>2469</v>
      </c>
      <c r="X3" s="149">
        <v>45689</v>
      </c>
      <c r="Y3" s="165" t="s">
        <v>2470</v>
      </c>
    </row>
    <row r="4" spans="1:25">
      <c r="A4" s="163" t="s">
        <v>7</v>
      </c>
      <c r="B4" s="144" t="s">
        <v>163</v>
      </c>
      <c r="C4" s="164" t="s">
        <v>2471</v>
      </c>
      <c r="D4" s="144" t="s">
        <v>1163</v>
      </c>
      <c r="E4" s="150" t="s">
        <v>2466</v>
      </c>
      <c r="F4" s="144" t="s">
        <v>2467</v>
      </c>
      <c r="G4" s="166" t="s">
        <v>2472</v>
      </c>
      <c r="H4" s="151">
        <v>1</v>
      </c>
      <c r="I4" s="160"/>
      <c r="J4" s="159">
        <v>10</v>
      </c>
      <c r="K4" s="161"/>
      <c r="L4" s="159">
        <v>10</v>
      </c>
      <c r="M4" s="160">
        <v>10</v>
      </c>
      <c r="N4" s="145">
        <v>20</v>
      </c>
      <c r="O4" s="156" t="s">
        <v>166</v>
      </c>
      <c r="P4" s="144" t="s">
        <v>2468</v>
      </c>
      <c r="Q4" s="147">
        <v>44835</v>
      </c>
      <c r="R4" s="146">
        <v>2033</v>
      </c>
      <c r="S4" s="157"/>
      <c r="T4" s="144" t="s">
        <v>25</v>
      </c>
      <c r="U4" s="150" t="s">
        <v>20</v>
      </c>
      <c r="V4" s="146">
        <v>1934</v>
      </c>
      <c r="W4" s="148" t="s">
        <v>2473</v>
      </c>
      <c r="X4" s="149">
        <v>45689</v>
      </c>
      <c r="Y4" s="165" t="s">
        <v>2474</v>
      </c>
    </row>
    <row r="5" spans="1:25">
      <c r="A5" s="163" t="s">
        <v>380</v>
      </c>
      <c r="B5" s="144" t="s">
        <v>163</v>
      </c>
      <c r="C5" s="164" t="s">
        <v>766</v>
      </c>
      <c r="D5" s="144" t="s">
        <v>400</v>
      </c>
      <c r="E5" s="150" t="s">
        <v>2466</v>
      </c>
      <c r="F5" s="144" t="s">
        <v>2467</v>
      </c>
      <c r="G5" s="166" t="s">
        <v>990</v>
      </c>
      <c r="H5" s="151">
        <v>1</v>
      </c>
      <c r="I5" s="160"/>
      <c r="J5" s="159">
        <v>7.76</v>
      </c>
      <c r="K5" s="161"/>
      <c r="L5" s="159">
        <v>7.76</v>
      </c>
      <c r="M5" s="160">
        <v>7.76</v>
      </c>
      <c r="N5" s="145">
        <v>12.6</v>
      </c>
      <c r="O5" s="156" t="s">
        <v>166</v>
      </c>
      <c r="P5" s="144" t="s">
        <v>2468</v>
      </c>
      <c r="Q5" s="147">
        <v>44682</v>
      </c>
      <c r="R5" s="146">
        <v>2041</v>
      </c>
      <c r="S5" s="157"/>
      <c r="T5" s="144" t="s">
        <v>25</v>
      </c>
      <c r="U5" s="150" t="s">
        <v>20</v>
      </c>
      <c r="V5" s="146">
        <v>1844</v>
      </c>
      <c r="W5" s="148"/>
      <c r="X5" s="149">
        <v>45901</v>
      </c>
      <c r="Y5" s="165" t="s">
        <v>2475</v>
      </c>
    </row>
    <row r="6" spans="1:25">
      <c r="A6" s="163" t="s">
        <v>380</v>
      </c>
      <c r="B6" s="144" t="s">
        <v>163</v>
      </c>
      <c r="C6" s="164" t="s">
        <v>766</v>
      </c>
      <c r="D6" s="144" t="s">
        <v>400</v>
      </c>
      <c r="E6" s="150" t="s">
        <v>2476</v>
      </c>
      <c r="F6" s="144" t="s">
        <v>2477</v>
      </c>
      <c r="G6" s="166" t="s">
        <v>991</v>
      </c>
      <c r="H6" s="151">
        <v>4</v>
      </c>
      <c r="I6" s="160"/>
      <c r="J6" s="159">
        <v>2.75</v>
      </c>
      <c r="K6" s="161"/>
      <c r="L6" s="159">
        <v>11</v>
      </c>
      <c r="M6" s="160">
        <v>11</v>
      </c>
      <c r="N6" s="145"/>
      <c r="O6" s="156" t="s">
        <v>166</v>
      </c>
      <c r="P6" s="144" t="s">
        <v>2478</v>
      </c>
      <c r="Q6" s="147">
        <v>44682</v>
      </c>
      <c r="R6" s="146">
        <v>2041</v>
      </c>
      <c r="S6" s="157"/>
      <c r="T6" s="144" t="s">
        <v>25</v>
      </c>
      <c r="U6" s="150" t="s">
        <v>2479</v>
      </c>
      <c r="V6" s="146">
        <v>1844</v>
      </c>
      <c r="W6" s="148"/>
      <c r="X6" s="149">
        <v>45901</v>
      </c>
      <c r="Y6" s="165" t="s">
        <v>2475</v>
      </c>
    </row>
    <row r="7" spans="1:25">
      <c r="A7" s="163" t="s">
        <v>380</v>
      </c>
      <c r="B7" s="144" t="s">
        <v>163</v>
      </c>
      <c r="C7" s="164" t="s">
        <v>766</v>
      </c>
      <c r="D7" s="144" t="s">
        <v>400</v>
      </c>
      <c r="E7" s="150" t="s">
        <v>2476</v>
      </c>
      <c r="F7" s="144" t="s">
        <v>2477</v>
      </c>
      <c r="G7" s="166" t="s">
        <v>992</v>
      </c>
      <c r="H7" s="151">
        <v>5</v>
      </c>
      <c r="I7" s="160"/>
      <c r="J7" s="159">
        <v>2.75</v>
      </c>
      <c r="K7" s="161"/>
      <c r="L7" s="159">
        <v>13.75</v>
      </c>
      <c r="M7" s="160">
        <v>13.75</v>
      </c>
      <c r="N7" s="145"/>
      <c r="O7" s="156" t="s">
        <v>166</v>
      </c>
      <c r="P7" s="144" t="s">
        <v>2480</v>
      </c>
      <c r="Q7" s="147">
        <v>44743</v>
      </c>
      <c r="R7" s="146">
        <v>2041</v>
      </c>
      <c r="S7" s="157"/>
      <c r="T7" s="144" t="s">
        <v>25</v>
      </c>
      <c r="U7" s="150" t="s">
        <v>2479</v>
      </c>
      <c r="V7" s="146">
        <v>1844</v>
      </c>
      <c r="W7" s="148"/>
      <c r="X7" s="149">
        <v>45901</v>
      </c>
      <c r="Y7" s="165" t="s">
        <v>2475</v>
      </c>
    </row>
    <row r="8" spans="1:25">
      <c r="A8" s="163" t="s">
        <v>380</v>
      </c>
      <c r="B8" s="144" t="s">
        <v>163</v>
      </c>
      <c r="C8" s="164" t="s">
        <v>766</v>
      </c>
      <c r="D8" s="144" t="s">
        <v>400</v>
      </c>
      <c r="E8" s="150" t="s">
        <v>2476</v>
      </c>
      <c r="F8" s="144" t="s">
        <v>2477</v>
      </c>
      <c r="G8" s="166" t="s">
        <v>993</v>
      </c>
      <c r="H8" s="151">
        <v>1</v>
      </c>
      <c r="I8" s="160">
        <v>0.02</v>
      </c>
      <c r="J8" s="159">
        <v>0.02</v>
      </c>
      <c r="K8" s="161">
        <v>0.02</v>
      </c>
      <c r="L8" s="159">
        <v>0.02</v>
      </c>
      <c r="M8" s="160">
        <v>0.02</v>
      </c>
      <c r="N8" s="145"/>
      <c r="O8" s="156" t="s">
        <v>166</v>
      </c>
      <c r="P8" s="144" t="s">
        <v>2480</v>
      </c>
      <c r="Q8" s="147">
        <v>44896</v>
      </c>
      <c r="R8" s="146">
        <v>2050</v>
      </c>
      <c r="S8" s="157"/>
      <c r="T8" s="144" t="s">
        <v>25</v>
      </c>
      <c r="U8" s="150" t="s">
        <v>2479</v>
      </c>
      <c r="V8" s="146">
        <v>1844</v>
      </c>
      <c r="W8" s="148"/>
      <c r="X8" s="149">
        <v>45901</v>
      </c>
      <c r="Y8" s="165" t="s">
        <v>2475</v>
      </c>
    </row>
    <row r="9" spans="1:25">
      <c r="A9" s="163" t="s">
        <v>380</v>
      </c>
      <c r="B9" s="144" t="s">
        <v>163</v>
      </c>
      <c r="C9" s="164" t="s">
        <v>766</v>
      </c>
      <c r="D9" s="144" t="s">
        <v>400</v>
      </c>
      <c r="E9" s="150" t="s">
        <v>2481</v>
      </c>
      <c r="F9" s="144" t="s">
        <v>2482</v>
      </c>
      <c r="G9" s="166" t="s">
        <v>994</v>
      </c>
      <c r="H9" s="151">
        <v>1</v>
      </c>
      <c r="I9" s="160">
        <v>1</v>
      </c>
      <c r="J9" s="159">
        <v>1</v>
      </c>
      <c r="K9" s="161">
        <v>1</v>
      </c>
      <c r="L9" s="159">
        <v>1</v>
      </c>
      <c r="M9" s="160">
        <v>1</v>
      </c>
      <c r="N9" s="145"/>
      <c r="O9" s="156" t="s">
        <v>166</v>
      </c>
      <c r="P9" s="144" t="s">
        <v>2480</v>
      </c>
      <c r="Q9" s="147">
        <v>44866</v>
      </c>
      <c r="R9" s="146">
        <v>2050</v>
      </c>
      <c r="S9" s="157"/>
      <c r="T9" s="144" t="s">
        <v>25</v>
      </c>
      <c r="U9" s="150" t="s">
        <v>18</v>
      </c>
      <c r="V9" s="146">
        <v>1844</v>
      </c>
      <c r="W9" s="148"/>
      <c r="X9" s="149">
        <v>45901</v>
      </c>
      <c r="Y9" s="165" t="s">
        <v>2475</v>
      </c>
    </row>
    <row r="10" spans="1:25">
      <c r="A10" s="163" t="s">
        <v>423</v>
      </c>
      <c r="B10" s="144" t="s">
        <v>2463</v>
      </c>
      <c r="C10" s="164" t="s">
        <v>2483</v>
      </c>
      <c r="D10" s="144" t="s">
        <v>2484</v>
      </c>
      <c r="E10" s="150" t="s">
        <v>2485</v>
      </c>
      <c r="F10" s="144" t="s">
        <v>2486</v>
      </c>
      <c r="G10" s="166"/>
      <c r="H10" s="151">
        <v>34</v>
      </c>
      <c r="I10" s="160">
        <v>3.6</v>
      </c>
      <c r="J10" s="159">
        <v>3.6</v>
      </c>
      <c r="K10" s="161">
        <v>122.4</v>
      </c>
      <c r="L10" s="159">
        <v>122.4</v>
      </c>
      <c r="M10" s="160">
        <v>122.4</v>
      </c>
      <c r="N10" s="145"/>
      <c r="O10" s="156" t="s">
        <v>135</v>
      </c>
      <c r="P10" s="144" t="s">
        <v>2478</v>
      </c>
      <c r="Q10" s="147"/>
      <c r="R10" s="146"/>
      <c r="S10" s="157"/>
      <c r="T10" s="144" t="s">
        <v>29</v>
      </c>
      <c r="U10" s="150" t="s">
        <v>17</v>
      </c>
      <c r="V10" s="146">
        <v>1547</v>
      </c>
      <c r="W10" s="148"/>
      <c r="X10" s="149">
        <v>45901</v>
      </c>
      <c r="Y10" s="165" t="s">
        <v>2487</v>
      </c>
    </row>
    <row r="11" spans="1:25">
      <c r="A11" s="163" t="s">
        <v>309</v>
      </c>
      <c r="B11" s="144" t="s">
        <v>2463</v>
      </c>
      <c r="C11" s="164" t="s">
        <v>323</v>
      </c>
      <c r="D11" s="144" t="s">
        <v>324</v>
      </c>
      <c r="E11" s="150" t="s">
        <v>2466</v>
      </c>
      <c r="F11" s="144" t="s">
        <v>2467</v>
      </c>
      <c r="G11" s="166"/>
      <c r="H11" s="151">
        <v>1</v>
      </c>
      <c r="I11" s="160">
        <v>200</v>
      </c>
      <c r="J11" s="159">
        <v>400</v>
      </c>
      <c r="K11" s="161">
        <v>200</v>
      </c>
      <c r="L11" s="159">
        <v>400</v>
      </c>
      <c r="M11" s="160" t="s">
        <v>2488</v>
      </c>
      <c r="N11" s="145">
        <v>400</v>
      </c>
      <c r="O11" s="156" t="s">
        <v>135</v>
      </c>
      <c r="P11" s="144" t="s">
        <v>2468</v>
      </c>
      <c r="Q11" s="147">
        <v>46722</v>
      </c>
      <c r="R11" s="146">
        <v>2049</v>
      </c>
      <c r="S11" s="157"/>
      <c r="T11" s="144" t="s">
        <v>29</v>
      </c>
      <c r="U11" s="150" t="s">
        <v>20</v>
      </c>
      <c r="V11" s="146">
        <v>2591</v>
      </c>
      <c r="W11" s="148" t="s">
        <v>2489</v>
      </c>
      <c r="X11" s="149">
        <v>45901</v>
      </c>
      <c r="Y11" s="165" t="s">
        <v>2490</v>
      </c>
    </row>
    <row r="12" spans="1:25">
      <c r="A12" s="163" t="s">
        <v>309</v>
      </c>
      <c r="B12" s="211" t="s">
        <v>163</v>
      </c>
      <c r="C12" s="164" t="s">
        <v>367</v>
      </c>
      <c r="D12" s="144" t="s">
        <v>368</v>
      </c>
      <c r="E12" s="150" t="s">
        <v>2491</v>
      </c>
      <c r="F12" s="144" t="s">
        <v>2477</v>
      </c>
      <c r="G12" s="166" t="s">
        <v>325</v>
      </c>
      <c r="H12" s="151">
        <v>157</v>
      </c>
      <c r="I12" s="160">
        <v>2.4700000000000002</v>
      </c>
      <c r="J12" s="159">
        <v>2.4700000000000002</v>
      </c>
      <c r="K12" s="161">
        <v>387.01</v>
      </c>
      <c r="L12" s="159">
        <v>387.01</v>
      </c>
      <c r="M12" s="160">
        <v>387.01</v>
      </c>
      <c r="N12" s="145"/>
      <c r="O12" s="156" t="s">
        <v>166</v>
      </c>
      <c r="P12" s="144" t="s">
        <v>2478</v>
      </c>
      <c r="Q12" s="147">
        <v>45962</v>
      </c>
      <c r="R12" s="146">
        <v>2051</v>
      </c>
      <c r="S12" s="157"/>
      <c r="T12" s="144" t="s">
        <v>25</v>
      </c>
      <c r="U12" s="150" t="s">
        <v>2479</v>
      </c>
      <c r="V12" s="146">
        <v>1509</v>
      </c>
      <c r="W12" s="148" t="s">
        <v>2492</v>
      </c>
      <c r="X12" s="149">
        <v>45901</v>
      </c>
      <c r="Y12" s="165" t="s">
        <v>2490</v>
      </c>
    </row>
    <row r="13" spans="1:25">
      <c r="A13" s="163" t="s">
        <v>309</v>
      </c>
      <c r="B13" s="144" t="s">
        <v>2463</v>
      </c>
      <c r="C13" s="164" t="s">
        <v>2493</v>
      </c>
      <c r="D13" s="144" t="s">
        <v>2494</v>
      </c>
      <c r="E13" s="150" t="s">
        <v>2466</v>
      </c>
      <c r="F13" s="144" t="s">
        <v>2467</v>
      </c>
      <c r="G13" s="166"/>
      <c r="H13" s="151">
        <v>1</v>
      </c>
      <c r="I13" s="160">
        <v>120</v>
      </c>
      <c r="J13" s="159">
        <v>120</v>
      </c>
      <c r="K13" s="161">
        <v>120</v>
      </c>
      <c r="L13" s="159">
        <v>120</v>
      </c>
      <c r="M13" s="160">
        <v>120</v>
      </c>
      <c r="N13" s="145">
        <v>0</v>
      </c>
      <c r="O13" s="156" t="s">
        <v>135</v>
      </c>
      <c r="P13" s="144" t="s">
        <v>2468</v>
      </c>
      <c r="Q13" s="147"/>
      <c r="R13" s="146"/>
      <c r="S13" s="157"/>
      <c r="T13" s="144" t="s">
        <v>29</v>
      </c>
      <c r="U13" s="150" t="s">
        <v>20</v>
      </c>
      <c r="V13" s="146">
        <v>3069</v>
      </c>
      <c r="W13" s="148" t="s">
        <v>2495</v>
      </c>
      <c r="X13" s="149">
        <v>45901</v>
      </c>
      <c r="Y13" s="165" t="s">
        <v>2496</v>
      </c>
    </row>
    <row r="14" spans="1:25">
      <c r="A14" s="163" t="s">
        <v>423</v>
      </c>
      <c r="B14" s="144" t="s">
        <v>2463</v>
      </c>
      <c r="C14" s="164" t="s">
        <v>2497</v>
      </c>
      <c r="D14" s="144" t="s">
        <v>2498</v>
      </c>
      <c r="E14" s="150" t="s">
        <v>2466</v>
      </c>
      <c r="F14" s="144" t="s">
        <v>2467</v>
      </c>
      <c r="G14" s="166"/>
      <c r="H14" s="151">
        <v>1</v>
      </c>
      <c r="I14" s="160"/>
      <c r="J14" s="159">
        <v>100</v>
      </c>
      <c r="K14" s="161"/>
      <c r="L14" s="159">
        <v>100</v>
      </c>
      <c r="M14" s="160">
        <v>100</v>
      </c>
      <c r="N14" s="145">
        <v>200</v>
      </c>
      <c r="O14" s="156" t="s">
        <v>135</v>
      </c>
      <c r="P14" s="144" t="s">
        <v>2468</v>
      </c>
      <c r="Q14" s="147">
        <v>46661</v>
      </c>
      <c r="R14" s="146"/>
      <c r="S14" s="157"/>
      <c r="T14" s="144" t="s">
        <v>29</v>
      </c>
      <c r="U14" s="150" t="s">
        <v>20</v>
      </c>
      <c r="V14" s="146">
        <v>2435</v>
      </c>
      <c r="W14" s="148" t="s">
        <v>2499</v>
      </c>
      <c r="X14" s="149">
        <v>45778</v>
      </c>
      <c r="Y14" s="165" t="s">
        <v>2500</v>
      </c>
    </row>
    <row r="15" spans="1:25">
      <c r="A15" s="163" t="s">
        <v>380</v>
      </c>
      <c r="B15" s="144" t="s">
        <v>163</v>
      </c>
      <c r="C15" s="164" t="s">
        <v>2204</v>
      </c>
      <c r="D15" s="144" t="s">
        <v>218</v>
      </c>
      <c r="E15" s="150" t="s">
        <v>2501</v>
      </c>
      <c r="F15" s="144" t="s">
        <v>2502</v>
      </c>
      <c r="G15" s="166" t="s">
        <v>2503</v>
      </c>
      <c r="H15" s="151">
        <v>1</v>
      </c>
      <c r="I15" s="160"/>
      <c r="J15" s="159">
        <v>15.4</v>
      </c>
      <c r="K15" s="161"/>
      <c r="L15" s="159">
        <v>15.4</v>
      </c>
      <c r="M15" s="160">
        <v>15.4</v>
      </c>
      <c r="N15" s="145"/>
      <c r="O15" s="156" t="s">
        <v>166</v>
      </c>
      <c r="P15" s="144" t="s">
        <v>2468</v>
      </c>
      <c r="Q15" s="147"/>
      <c r="R15" s="146">
        <v>2070</v>
      </c>
      <c r="S15" s="157"/>
      <c r="T15" s="144" t="s">
        <v>25</v>
      </c>
      <c r="U15" s="150" t="s">
        <v>21</v>
      </c>
      <c r="V15" s="146">
        <v>1002</v>
      </c>
      <c r="W15" s="148"/>
      <c r="X15" s="149">
        <v>45689</v>
      </c>
      <c r="Y15" s="165" t="s">
        <v>2500</v>
      </c>
    </row>
    <row r="16" spans="1:25">
      <c r="A16" s="163" t="s">
        <v>380</v>
      </c>
      <c r="B16" s="144" t="s">
        <v>163</v>
      </c>
      <c r="C16" s="164" t="s">
        <v>2204</v>
      </c>
      <c r="D16" s="144" t="s">
        <v>218</v>
      </c>
      <c r="E16" s="150" t="s">
        <v>2501</v>
      </c>
      <c r="F16" s="144" t="s">
        <v>2502</v>
      </c>
      <c r="G16" s="166" t="s">
        <v>2503</v>
      </c>
      <c r="H16" s="151">
        <v>1</v>
      </c>
      <c r="I16" s="160"/>
      <c r="J16" s="159">
        <v>30.8</v>
      </c>
      <c r="K16" s="161"/>
      <c r="L16" s="159">
        <v>30.8</v>
      </c>
      <c r="M16" s="160">
        <v>30.8</v>
      </c>
      <c r="N16" s="145"/>
      <c r="O16" s="156" t="s">
        <v>166</v>
      </c>
      <c r="P16" s="144" t="s">
        <v>2468</v>
      </c>
      <c r="Q16" s="147"/>
      <c r="R16" s="146">
        <v>2070</v>
      </c>
      <c r="S16" s="157"/>
      <c r="T16" s="144" t="s">
        <v>25</v>
      </c>
      <c r="U16" s="150" t="s">
        <v>21</v>
      </c>
      <c r="V16" s="146">
        <v>1002</v>
      </c>
      <c r="W16" s="148"/>
      <c r="X16" s="149">
        <v>45689</v>
      </c>
      <c r="Y16" s="165" t="s">
        <v>2500</v>
      </c>
    </row>
    <row r="17" spans="1:25">
      <c r="A17" s="163" t="s">
        <v>7</v>
      </c>
      <c r="B17" s="144" t="s">
        <v>163</v>
      </c>
      <c r="C17" s="164" t="s">
        <v>2504</v>
      </c>
      <c r="D17" s="144" t="s">
        <v>2505</v>
      </c>
      <c r="E17" s="150" t="s">
        <v>2506</v>
      </c>
      <c r="F17" s="144" t="s">
        <v>2507</v>
      </c>
      <c r="G17" s="166" t="s">
        <v>2508</v>
      </c>
      <c r="H17" s="151">
        <v>54</v>
      </c>
      <c r="I17" s="160"/>
      <c r="J17" s="159">
        <v>1.03</v>
      </c>
      <c r="K17" s="161"/>
      <c r="L17" s="159">
        <v>55.62</v>
      </c>
      <c r="M17" s="160">
        <v>55.62</v>
      </c>
      <c r="N17" s="145"/>
      <c r="O17" s="156" t="s">
        <v>166</v>
      </c>
      <c r="P17" s="144" t="s">
        <v>2480</v>
      </c>
      <c r="Q17" s="147"/>
      <c r="R17" s="146">
        <v>2036</v>
      </c>
      <c r="S17" s="157"/>
      <c r="T17" s="144" t="s">
        <v>25</v>
      </c>
      <c r="U17" s="150" t="s">
        <v>15</v>
      </c>
      <c r="V17" s="146">
        <v>1003</v>
      </c>
      <c r="W17" s="148"/>
      <c r="X17" s="149">
        <v>45566</v>
      </c>
      <c r="Y17" s="165" t="s">
        <v>2509</v>
      </c>
    </row>
    <row r="18" spans="1:25">
      <c r="A18" s="163" t="s">
        <v>7</v>
      </c>
      <c r="B18" s="144" t="s">
        <v>2463</v>
      </c>
      <c r="C18" s="164" t="s">
        <v>2510</v>
      </c>
      <c r="D18" s="144" t="s">
        <v>2511</v>
      </c>
      <c r="E18" s="150" t="s">
        <v>2466</v>
      </c>
      <c r="F18" s="144" t="s">
        <v>2467</v>
      </c>
      <c r="G18" s="166"/>
      <c r="H18" s="151">
        <v>1</v>
      </c>
      <c r="I18" s="160">
        <v>120</v>
      </c>
      <c r="J18" s="159">
        <v>120</v>
      </c>
      <c r="K18" s="161">
        <v>120</v>
      </c>
      <c r="L18" s="159">
        <v>120</v>
      </c>
      <c r="M18" s="160">
        <v>120</v>
      </c>
      <c r="N18" s="145">
        <v>260</v>
      </c>
      <c r="O18" s="156" t="s">
        <v>135</v>
      </c>
      <c r="P18" s="144" t="s">
        <v>2468</v>
      </c>
      <c r="Q18" s="147"/>
      <c r="R18" s="146"/>
      <c r="S18" s="157"/>
      <c r="T18" s="144" t="s">
        <v>29</v>
      </c>
      <c r="U18" s="150" t="s">
        <v>20</v>
      </c>
      <c r="V18" s="146">
        <v>2200</v>
      </c>
      <c r="W18" s="148" t="s">
        <v>2512</v>
      </c>
      <c r="X18" s="149">
        <v>45689</v>
      </c>
      <c r="Y18" s="165" t="s">
        <v>2500</v>
      </c>
    </row>
    <row r="19" spans="1:25">
      <c r="A19" s="163" t="s">
        <v>7</v>
      </c>
      <c r="B19" s="144" t="s">
        <v>2463</v>
      </c>
      <c r="C19" s="164" t="s">
        <v>2513</v>
      </c>
      <c r="D19" s="144" t="s">
        <v>2514</v>
      </c>
      <c r="E19" s="150" t="s">
        <v>2485</v>
      </c>
      <c r="F19" s="144" t="s">
        <v>2486</v>
      </c>
      <c r="G19" s="166"/>
      <c r="H19" s="151">
        <v>1</v>
      </c>
      <c r="I19" s="160">
        <v>0</v>
      </c>
      <c r="J19" s="159">
        <v>200</v>
      </c>
      <c r="K19" s="161">
        <v>0</v>
      </c>
      <c r="L19" s="159">
        <v>200</v>
      </c>
      <c r="M19" s="160">
        <v>200</v>
      </c>
      <c r="N19" s="145"/>
      <c r="O19" s="156" t="s">
        <v>135</v>
      </c>
      <c r="P19" s="144" t="s">
        <v>2478</v>
      </c>
      <c r="Q19" s="147"/>
      <c r="R19" s="146"/>
      <c r="S19" s="157"/>
      <c r="T19" s="144" t="s">
        <v>29</v>
      </c>
      <c r="U19" s="150" t="s">
        <v>17</v>
      </c>
      <c r="V19" s="146">
        <v>1957</v>
      </c>
      <c r="W19" s="148" t="s">
        <v>2515</v>
      </c>
      <c r="X19" s="149">
        <v>45689</v>
      </c>
      <c r="Y19" s="165" t="s">
        <v>2470</v>
      </c>
    </row>
    <row r="20" spans="1:25">
      <c r="A20" s="163" t="s">
        <v>309</v>
      </c>
      <c r="B20" s="144" t="s">
        <v>2463</v>
      </c>
      <c r="C20" s="164" t="s">
        <v>2516</v>
      </c>
      <c r="D20" s="144" t="s">
        <v>2517</v>
      </c>
      <c r="E20" s="150" t="s">
        <v>2491</v>
      </c>
      <c r="F20" s="144" t="s">
        <v>2477</v>
      </c>
      <c r="G20" s="166"/>
      <c r="H20" s="151">
        <v>1</v>
      </c>
      <c r="I20" s="160"/>
      <c r="J20" s="159">
        <v>101.4</v>
      </c>
      <c r="K20" s="161"/>
      <c r="L20" s="159">
        <v>101.4</v>
      </c>
      <c r="M20" s="160">
        <v>101.4</v>
      </c>
      <c r="N20" s="145"/>
      <c r="O20" s="156" t="s">
        <v>28</v>
      </c>
      <c r="P20" s="144" t="s">
        <v>2478</v>
      </c>
      <c r="Q20" s="147">
        <v>46905</v>
      </c>
      <c r="R20" s="146">
        <v>2054</v>
      </c>
      <c r="S20" s="157"/>
      <c r="T20" s="144" t="s">
        <v>28</v>
      </c>
      <c r="U20" s="150" t="s">
        <v>2479</v>
      </c>
      <c r="V20" s="146">
        <v>1426</v>
      </c>
      <c r="W20" s="148"/>
      <c r="X20" s="149">
        <v>45901</v>
      </c>
      <c r="Y20" s="165" t="s">
        <v>2490</v>
      </c>
    </row>
    <row r="21" spans="1:25">
      <c r="A21" s="163" t="s">
        <v>423</v>
      </c>
      <c r="B21" s="144" t="s">
        <v>163</v>
      </c>
      <c r="C21" s="164" t="s">
        <v>2246</v>
      </c>
      <c r="D21" s="144" t="s">
        <v>2518</v>
      </c>
      <c r="E21" s="150" t="s">
        <v>2485</v>
      </c>
      <c r="F21" s="144" t="s">
        <v>2486</v>
      </c>
      <c r="G21" s="166" t="s">
        <v>2519</v>
      </c>
      <c r="H21" s="151">
        <v>75</v>
      </c>
      <c r="I21" s="160"/>
      <c r="J21" s="159">
        <v>3.2</v>
      </c>
      <c r="K21" s="161"/>
      <c r="L21" s="159">
        <v>240</v>
      </c>
      <c r="M21" s="160">
        <v>240</v>
      </c>
      <c r="N21" s="145"/>
      <c r="O21" s="156" t="s">
        <v>166</v>
      </c>
      <c r="P21" s="144" t="s">
        <v>2478</v>
      </c>
      <c r="Q21" s="147"/>
      <c r="R21" s="146">
        <v>2047</v>
      </c>
      <c r="S21" s="157"/>
      <c r="T21" s="144" t="s">
        <v>25</v>
      </c>
      <c r="U21" s="150" t="s">
        <v>17</v>
      </c>
      <c r="V21" s="146">
        <v>1462</v>
      </c>
      <c r="W21" s="148"/>
      <c r="X21" s="149">
        <v>45689</v>
      </c>
      <c r="Y21" s="165" t="s">
        <v>2520</v>
      </c>
    </row>
    <row r="22" spans="1:25">
      <c r="A22" s="163" t="s">
        <v>309</v>
      </c>
      <c r="B22" s="144" t="s">
        <v>2463</v>
      </c>
      <c r="C22" s="164" t="s">
        <v>2521</v>
      </c>
      <c r="D22" s="144" t="s">
        <v>2522</v>
      </c>
      <c r="E22" s="150" t="s">
        <v>2466</v>
      </c>
      <c r="F22" s="144" t="s">
        <v>2477</v>
      </c>
      <c r="G22" s="166"/>
      <c r="H22" s="151">
        <v>22</v>
      </c>
      <c r="I22" s="160"/>
      <c r="J22" s="159">
        <v>3.41</v>
      </c>
      <c r="K22" s="161"/>
      <c r="L22" s="159">
        <v>75.02</v>
      </c>
      <c r="M22" s="160">
        <v>75.02</v>
      </c>
      <c r="N22" s="145">
        <v>150</v>
      </c>
      <c r="O22" s="156" t="s">
        <v>135</v>
      </c>
      <c r="P22" s="144" t="s">
        <v>2468</v>
      </c>
      <c r="Q22" s="147"/>
      <c r="R22" s="146"/>
      <c r="S22" s="157"/>
      <c r="T22" s="144" t="s">
        <v>29</v>
      </c>
      <c r="U22" s="150" t="s">
        <v>20</v>
      </c>
      <c r="V22" s="146">
        <v>1855</v>
      </c>
      <c r="W22" s="148"/>
      <c r="X22" s="149">
        <v>45778</v>
      </c>
      <c r="Y22" s="165" t="s">
        <v>2500</v>
      </c>
    </row>
    <row r="23" spans="1:25">
      <c r="A23" s="163" t="s">
        <v>309</v>
      </c>
      <c r="B23" s="144" t="s">
        <v>2463</v>
      </c>
      <c r="C23" s="164" t="s">
        <v>2521</v>
      </c>
      <c r="D23" s="144" t="s">
        <v>2522</v>
      </c>
      <c r="E23" s="150" t="s">
        <v>2491</v>
      </c>
      <c r="F23" s="144" t="s">
        <v>2477</v>
      </c>
      <c r="G23" s="166"/>
      <c r="H23" s="151">
        <v>28</v>
      </c>
      <c r="I23" s="160"/>
      <c r="J23" s="159">
        <v>3.46</v>
      </c>
      <c r="K23" s="161"/>
      <c r="L23" s="159">
        <v>96.99</v>
      </c>
      <c r="M23" s="160">
        <v>96.99</v>
      </c>
      <c r="N23" s="145"/>
      <c r="O23" s="156" t="s">
        <v>135</v>
      </c>
      <c r="P23" s="144" t="s">
        <v>2478</v>
      </c>
      <c r="Q23" s="147"/>
      <c r="R23" s="146"/>
      <c r="S23" s="157"/>
      <c r="T23" s="144" t="s">
        <v>29</v>
      </c>
      <c r="U23" s="150" t="s">
        <v>2479</v>
      </c>
      <c r="V23" s="146">
        <v>1855</v>
      </c>
      <c r="W23" s="148"/>
      <c r="X23" s="149">
        <v>45778</v>
      </c>
      <c r="Y23" s="165" t="s">
        <v>2500</v>
      </c>
    </row>
    <row r="24" spans="1:25">
      <c r="A24" s="163" t="s">
        <v>7</v>
      </c>
      <c r="B24" s="144" t="s">
        <v>2463</v>
      </c>
      <c r="C24" s="164" t="s">
        <v>2523</v>
      </c>
      <c r="D24" s="144" t="s">
        <v>249</v>
      </c>
      <c r="E24" s="150" t="s">
        <v>2485</v>
      </c>
      <c r="F24" s="144" t="s">
        <v>2486</v>
      </c>
      <c r="G24" s="166"/>
      <c r="H24" s="151">
        <v>85</v>
      </c>
      <c r="I24" s="160">
        <v>7.2</v>
      </c>
      <c r="J24" s="159">
        <v>7.2</v>
      </c>
      <c r="K24" s="161">
        <v>612</v>
      </c>
      <c r="L24" s="159">
        <v>612</v>
      </c>
      <c r="M24" s="160">
        <v>612</v>
      </c>
      <c r="N24" s="145"/>
      <c r="O24" s="156" t="s">
        <v>135</v>
      </c>
      <c r="P24" s="144" t="s">
        <v>2478</v>
      </c>
      <c r="Q24" s="147"/>
      <c r="R24" s="146">
        <v>2060</v>
      </c>
      <c r="S24" s="157"/>
      <c r="T24" s="144" t="s">
        <v>29</v>
      </c>
      <c r="U24" s="150" t="s">
        <v>17</v>
      </c>
      <c r="V24" s="146">
        <v>2840</v>
      </c>
      <c r="W24" s="148"/>
      <c r="X24" s="149"/>
      <c r="Y24" s="165" t="s">
        <v>2524</v>
      </c>
    </row>
    <row r="25" spans="1:25">
      <c r="A25" s="163" t="s">
        <v>7</v>
      </c>
      <c r="B25" s="144" t="s">
        <v>2463</v>
      </c>
      <c r="C25" s="164" t="s">
        <v>2525</v>
      </c>
      <c r="D25" s="144" t="s">
        <v>2526</v>
      </c>
      <c r="E25" s="150" t="s">
        <v>2491</v>
      </c>
      <c r="F25" s="144" t="s">
        <v>2477</v>
      </c>
      <c r="G25" s="166"/>
      <c r="H25" s="151">
        <v>1</v>
      </c>
      <c r="I25" s="160"/>
      <c r="J25" s="159">
        <v>59.8</v>
      </c>
      <c r="K25" s="161"/>
      <c r="L25" s="159">
        <v>59.8</v>
      </c>
      <c r="M25" s="160">
        <v>59.8</v>
      </c>
      <c r="N25" s="145"/>
      <c r="O25" s="156" t="s">
        <v>135</v>
      </c>
      <c r="P25" s="144" t="s">
        <v>2478</v>
      </c>
      <c r="Q25" s="147"/>
      <c r="R25" s="146"/>
      <c r="S25" s="157"/>
      <c r="T25" s="144" t="s">
        <v>29</v>
      </c>
      <c r="U25" s="150" t="s">
        <v>2479</v>
      </c>
      <c r="V25" s="146">
        <v>1947</v>
      </c>
      <c r="W25" s="148"/>
      <c r="X25" s="149">
        <v>45778</v>
      </c>
      <c r="Y25" s="165" t="s">
        <v>2470</v>
      </c>
    </row>
    <row r="26" spans="1:25">
      <c r="A26" s="163" t="s">
        <v>7</v>
      </c>
      <c r="B26" s="144" t="s">
        <v>2463</v>
      </c>
      <c r="C26" s="164" t="s">
        <v>2527</v>
      </c>
      <c r="D26" s="144" t="s">
        <v>2528</v>
      </c>
      <c r="E26" s="150" t="s">
        <v>2466</v>
      </c>
      <c r="F26" s="144" t="s">
        <v>2467</v>
      </c>
      <c r="G26" s="166"/>
      <c r="H26" s="151">
        <v>1</v>
      </c>
      <c r="I26" s="160"/>
      <c r="J26" s="159">
        <v>150</v>
      </c>
      <c r="K26" s="161"/>
      <c r="L26" s="159">
        <v>150</v>
      </c>
      <c r="M26" s="160">
        <v>150</v>
      </c>
      <c r="N26" s="145">
        <v>300</v>
      </c>
      <c r="O26" s="156" t="s">
        <v>135</v>
      </c>
      <c r="P26" s="144" t="s">
        <v>2468</v>
      </c>
      <c r="Q26" s="147">
        <v>46143</v>
      </c>
      <c r="R26" s="146">
        <v>2046</v>
      </c>
      <c r="S26" s="157"/>
      <c r="T26" s="144" t="s">
        <v>29</v>
      </c>
      <c r="U26" s="150" t="s">
        <v>20</v>
      </c>
      <c r="V26" s="146">
        <v>2512</v>
      </c>
      <c r="W26" s="148" t="s">
        <v>2529</v>
      </c>
      <c r="X26" s="149">
        <v>45778</v>
      </c>
      <c r="Y26" s="165" t="s">
        <v>2530</v>
      </c>
    </row>
    <row r="27" spans="1:25">
      <c r="A27" s="163" t="s">
        <v>7</v>
      </c>
      <c r="B27" s="144" t="s">
        <v>2463</v>
      </c>
      <c r="C27" s="164" t="s">
        <v>2531</v>
      </c>
      <c r="D27" s="144" t="s">
        <v>252</v>
      </c>
      <c r="E27" s="150" t="s">
        <v>2466</v>
      </c>
      <c r="F27" s="144" t="s">
        <v>2467</v>
      </c>
      <c r="G27" s="166"/>
      <c r="H27" s="151">
        <v>1</v>
      </c>
      <c r="I27" s="160">
        <v>200</v>
      </c>
      <c r="J27" s="159">
        <v>200</v>
      </c>
      <c r="K27" s="161">
        <v>200</v>
      </c>
      <c r="L27" s="159">
        <v>200</v>
      </c>
      <c r="M27" s="160">
        <v>200</v>
      </c>
      <c r="N27" s="145">
        <v>0</v>
      </c>
      <c r="O27" s="156" t="s">
        <v>135</v>
      </c>
      <c r="P27" s="144" t="s">
        <v>2468</v>
      </c>
      <c r="Q27" s="147"/>
      <c r="R27" s="146"/>
      <c r="S27" s="157"/>
      <c r="T27" s="144" t="s">
        <v>29</v>
      </c>
      <c r="U27" s="150" t="s">
        <v>20</v>
      </c>
      <c r="V27" s="146">
        <v>3075</v>
      </c>
      <c r="W27" s="148" t="s">
        <v>2532</v>
      </c>
      <c r="X27" s="149">
        <v>45901</v>
      </c>
      <c r="Y27" s="165" t="s">
        <v>2533</v>
      </c>
    </row>
    <row r="28" spans="1:25">
      <c r="A28" s="163" t="s">
        <v>7</v>
      </c>
      <c r="B28" s="144" t="s">
        <v>2463</v>
      </c>
      <c r="C28" s="164" t="s">
        <v>2534</v>
      </c>
      <c r="D28" s="144" t="s">
        <v>2535</v>
      </c>
      <c r="E28" s="150" t="s">
        <v>2466</v>
      </c>
      <c r="F28" s="144" t="s">
        <v>2467</v>
      </c>
      <c r="G28" s="166"/>
      <c r="H28" s="151">
        <v>107</v>
      </c>
      <c r="I28" s="160">
        <v>4.2</v>
      </c>
      <c r="J28" s="159">
        <v>4.2</v>
      </c>
      <c r="K28" s="161">
        <v>449.4</v>
      </c>
      <c r="L28" s="159">
        <v>449.4</v>
      </c>
      <c r="M28" s="160">
        <v>449.4</v>
      </c>
      <c r="N28" s="145">
        <v>1712</v>
      </c>
      <c r="O28" s="156" t="s">
        <v>135</v>
      </c>
      <c r="P28" s="144" t="s">
        <v>2468</v>
      </c>
      <c r="Q28" s="147"/>
      <c r="R28" s="146"/>
      <c r="S28" s="157"/>
      <c r="T28" s="144" t="s">
        <v>29</v>
      </c>
      <c r="U28" s="150" t="s">
        <v>20</v>
      </c>
      <c r="V28" s="146">
        <v>3017</v>
      </c>
      <c r="W28" s="148"/>
      <c r="X28" s="149">
        <v>45778</v>
      </c>
      <c r="Y28" s="165"/>
    </row>
    <row r="29" spans="1:25">
      <c r="A29" s="163" t="s">
        <v>7</v>
      </c>
      <c r="B29" s="144" t="s">
        <v>2463</v>
      </c>
      <c r="C29" s="164" t="s">
        <v>2536</v>
      </c>
      <c r="D29" s="144" t="s">
        <v>610</v>
      </c>
      <c r="E29" s="150" t="s">
        <v>2466</v>
      </c>
      <c r="F29" s="144" t="s">
        <v>2467</v>
      </c>
      <c r="G29" s="166"/>
      <c r="H29" s="151">
        <v>1</v>
      </c>
      <c r="I29" s="160"/>
      <c r="J29" s="159">
        <v>300</v>
      </c>
      <c r="K29" s="161"/>
      <c r="L29" s="159">
        <v>300</v>
      </c>
      <c r="M29" s="160">
        <v>300</v>
      </c>
      <c r="N29" s="145">
        <v>1200</v>
      </c>
      <c r="O29" s="156" t="s">
        <v>135</v>
      </c>
      <c r="P29" s="144" t="s">
        <v>2468</v>
      </c>
      <c r="Q29" s="147"/>
      <c r="R29" s="146"/>
      <c r="S29" s="157"/>
      <c r="T29" s="144" t="s">
        <v>29</v>
      </c>
      <c r="U29" s="150" t="s">
        <v>20</v>
      </c>
      <c r="V29" s="146">
        <v>2824</v>
      </c>
      <c r="W29" s="148" t="s">
        <v>2537</v>
      </c>
      <c r="X29" s="149"/>
      <c r="Y29" s="165" t="s">
        <v>2538</v>
      </c>
    </row>
    <row r="30" spans="1:25">
      <c r="A30" s="163" t="s">
        <v>380</v>
      </c>
      <c r="B30" s="144" t="s">
        <v>2463</v>
      </c>
      <c r="C30" s="164" t="s">
        <v>2539</v>
      </c>
      <c r="D30" s="144" t="s">
        <v>2540</v>
      </c>
      <c r="E30" s="150" t="s">
        <v>2466</v>
      </c>
      <c r="F30" s="144" t="s">
        <v>2467</v>
      </c>
      <c r="G30" s="166"/>
      <c r="H30" s="151">
        <v>1</v>
      </c>
      <c r="I30" s="160"/>
      <c r="J30" s="159">
        <v>270</v>
      </c>
      <c r="K30" s="161"/>
      <c r="L30" s="159">
        <v>270</v>
      </c>
      <c r="M30" s="160">
        <v>270</v>
      </c>
      <c r="N30" s="145">
        <v>540</v>
      </c>
      <c r="O30" s="156" t="s">
        <v>135</v>
      </c>
      <c r="P30" s="144" t="s">
        <v>2468</v>
      </c>
      <c r="Q30" s="147"/>
      <c r="R30" s="146"/>
      <c r="S30" s="157"/>
      <c r="T30" s="144" t="s">
        <v>29</v>
      </c>
      <c r="U30" s="150" t="s">
        <v>20</v>
      </c>
      <c r="V30" s="146">
        <v>2744</v>
      </c>
      <c r="W30" s="148"/>
      <c r="X30" s="149"/>
      <c r="Y30" s="165" t="s">
        <v>2541</v>
      </c>
    </row>
    <row r="31" spans="1:25">
      <c r="A31" s="163" t="s">
        <v>380</v>
      </c>
      <c r="B31" s="144" t="s">
        <v>2463</v>
      </c>
      <c r="C31" s="164" t="s">
        <v>2542</v>
      </c>
      <c r="D31" s="144" t="s">
        <v>2543</v>
      </c>
      <c r="E31" s="150" t="s">
        <v>2466</v>
      </c>
      <c r="F31" s="144" t="s">
        <v>2467</v>
      </c>
      <c r="G31" s="166"/>
      <c r="H31" s="151">
        <v>1</v>
      </c>
      <c r="I31" s="160">
        <v>140</v>
      </c>
      <c r="J31" s="159">
        <v>140</v>
      </c>
      <c r="K31" s="161">
        <v>140</v>
      </c>
      <c r="L31" s="159">
        <v>140</v>
      </c>
      <c r="M31" s="160">
        <v>140</v>
      </c>
      <c r="N31" s="145">
        <v>140</v>
      </c>
      <c r="O31" s="156" t="s">
        <v>135</v>
      </c>
      <c r="P31" s="144" t="s">
        <v>2468</v>
      </c>
      <c r="Q31" s="147"/>
      <c r="R31" s="146">
        <v>2052</v>
      </c>
      <c r="S31" s="157"/>
      <c r="T31" s="144" t="s">
        <v>29</v>
      </c>
      <c r="U31" s="150" t="s">
        <v>20</v>
      </c>
      <c r="V31" s="146">
        <v>1390</v>
      </c>
      <c r="W31" s="148"/>
      <c r="X31" s="149">
        <v>45689</v>
      </c>
      <c r="Y31" s="165" t="s">
        <v>2544</v>
      </c>
    </row>
    <row r="32" spans="1:25">
      <c r="A32" s="163" t="s">
        <v>380</v>
      </c>
      <c r="B32" s="144" t="s">
        <v>2463</v>
      </c>
      <c r="C32" s="164" t="s">
        <v>2545</v>
      </c>
      <c r="D32" s="144" t="s">
        <v>2546</v>
      </c>
      <c r="E32" s="150" t="s">
        <v>2491</v>
      </c>
      <c r="F32" s="144" t="s">
        <v>2477</v>
      </c>
      <c r="G32" s="166"/>
      <c r="H32" s="151">
        <v>1</v>
      </c>
      <c r="I32" s="160">
        <v>0</v>
      </c>
      <c r="J32" s="159">
        <v>200</v>
      </c>
      <c r="K32" s="161">
        <v>0</v>
      </c>
      <c r="L32" s="159">
        <v>200</v>
      </c>
      <c r="M32" s="160">
        <v>200</v>
      </c>
      <c r="N32" s="145"/>
      <c r="O32" s="156" t="s">
        <v>135</v>
      </c>
      <c r="P32" s="144" t="s">
        <v>2478</v>
      </c>
      <c r="Q32" s="147"/>
      <c r="R32" s="146"/>
      <c r="S32" s="157"/>
      <c r="T32" s="144" t="s">
        <v>29</v>
      </c>
      <c r="U32" s="150" t="s">
        <v>2479</v>
      </c>
      <c r="V32" s="146">
        <v>1952</v>
      </c>
      <c r="W32" s="148" t="s">
        <v>2547</v>
      </c>
      <c r="X32" s="149">
        <v>45689</v>
      </c>
      <c r="Y32" s="165" t="s">
        <v>2470</v>
      </c>
    </row>
    <row r="33" spans="1:25">
      <c r="A33" s="163" t="s">
        <v>7</v>
      </c>
      <c r="B33" s="144" t="s">
        <v>163</v>
      </c>
      <c r="C33" s="164" t="s">
        <v>830</v>
      </c>
      <c r="D33" s="144" t="s">
        <v>831</v>
      </c>
      <c r="E33" s="150" t="s">
        <v>2491</v>
      </c>
      <c r="F33" s="144" t="s">
        <v>2477</v>
      </c>
      <c r="G33" s="166" t="s">
        <v>832</v>
      </c>
      <c r="H33" s="151">
        <v>70</v>
      </c>
      <c r="I33" s="160">
        <v>0</v>
      </c>
      <c r="J33" s="159">
        <v>3.63</v>
      </c>
      <c r="K33" s="161">
        <v>0</v>
      </c>
      <c r="L33" s="159">
        <v>254.1</v>
      </c>
      <c r="M33" s="160">
        <v>254.1</v>
      </c>
      <c r="N33" s="145"/>
      <c r="O33" s="156" t="s">
        <v>166</v>
      </c>
      <c r="P33" s="144" t="s">
        <v>2478</v>
      </c>
      <c r="Q33" s="147">
        <v>45231</v>
      </c>
      <c r="R33" s="146">
        <v>2058</v>
      </c>
      <c r="S33" s="157"/>
      <c r="T33" s="144" t="s">
        <v>25</v>
      </c>
      <c r="U33" s="150" t="s">
        <v>2479</v>
      </c>
      <c r="V33" s="146">
        <v>1715</v>
      </c>
      <c r="W33" s="148"/>
      <c r="X33" s="149">
        <v>45689</v>
      </c>
      <c r="Y33" s="165" t="s">
        <v>2470</v>
      </c>
    </row>
    <row r="34" spans="1:25">
      <c r="A34" s="163" t="s">
        <v>7</v>
      </c>
      <c r="B34" s="144" t="s">
        <v>2463</v>
      </c>
      <c r="C34" s="164" t="s">
        <v>2548</v>
      </c>
      <c r="D34" s="144" t="s">
        <v>2549</v>
      </c>
      <c r="E34" s="150" t="s">
        <v>2466</v>
      </c>
      <c r="F34" s="144" t="s">
        <v>2467</v>
      </c>
      <c r="G34" s="166"/>
      <c r="H34" s="151">
        <v>1</v>
      </c>
      <c r="I34" s="160">
        <v>67.2</v>
      </c>
      <c r="J34" s="159">
        <v>67.2</v>
      </c>
      <c r="K34" s="161">
        <v>67.2</v>
      </c>
      <c r="L34" s="159">
        <v>67.2</v>
      </c>
      <c r="M34" s="160">
        <v>67.2</v>
      </c>
      <c r="N34" s="145">
        <v>100</v>
      </c>
      <c r="O34" s="156" t="s">
        <v>135</v>
      </c>
      <c r="P34" s="144" t="s">
        <v>2468</v>
      </c>
      <c r="Q34" s="147"/>
      <c r="R34" s="146"/>
      <c r="S34" s="157"/>
      <c r="T34" s="144" t="s">
        <v>29</v>
      </c>
      <c r="U34" s="150" t="s">
        <v>20</v>
      </c>
      <c r="V34" s="146">
        <v>2974</v>
      </c>
      <c r="W34" s="148"/>
      <c r="X34" s="149"/>
      <c r="Y34" s="165" t="s">
        <v>2470</v>
      </c>
    </row>
    <row r="35" spans="1:25">
      <c r="A35" s="163" t="s">
        <v>423</v>
      </c>
      <c r="B35" s="144" t="s">
        <v>2463</v>
      </c>
      <c r="C35" s="164" t="s">
        <v>2550</v>
      </c>
      <c r="D35" s="144" t="s">
        <v>2551</v>
      </c>
      <c r="E35" s="150" t="s">
        <v>2466</v>
      </c>
      <c r="F35" s="144" t="s">
        <v>2467</v>
      </c>
      <c r="G35" s="166"/>
      <c r="H35" s="151">
        <v>1</v>
      </c>
      <c r="I35" s="160"/>
      <c r="J35" s="159">
        <v>50</v>
      </c>
      <c r="K35" s="161"/>
      <c r="L35" s="159">
        <v>50</v>
      </c>
      <c r="M35" s="160">
        <v>50</v>
      </c>
      <c r="N35" s="145">
        <v>100</v>
      </c>
      <c r="O35" s="156" t="s">
        <v>135</v>
      </c>
      <c r="P35" s="144" t="s">
        <v>2468</v>
      </c>
      <c r="Q35" s="147"/>
      <c r="R35" s="146"/>
      <c r="S35" s="157"/>
      <c r="T35" s="144" t="s">
        <v>29</v>
      </c>
      <c r="U35" s="150" t="s">
        <v>20</v>
      </c>
      <c r="V35" s="146">
        <v>1958</v>
      </c>
      <c r="W35" s="148" t="s">
        <v>2552</v>
      </c>
      <c r="X35" s="149">
        <v>45689</v>
      </c>
      <c r="Y35" s="165" t="s">
        <v>2470</v>
      </c>
    </row>
    <row r="36" spans="1:25">
      <c r="A36" s="163" t="s">
        <v>423</v>
      </c>
      <c r="B36" s="144" t="s">
        <v>2463</v>
      </c>
      <c r="C36" s="164" t="s">
        <v>2550</v>
      </c>
      <c r="D36" s="144" t="s">
        <v>2551</v>
      </c>
      <c r="E36" s="150" t="s">
        <v>2491</v>
      </c>
      <c r="F36" s="144" t="s">
        <v>2477</v>
      </c>
      <c r="G36" s="166"/>
      <c r="H36" s="151">
        <v>1</v>
      </c>
      <c r="I36" s="160">
        <v>0</v>
      </c>
      <c r="J36" s="159">
        <v>140</v>
      </c>
      <c r="K36" s="161">
        <v>0</v>
      </c>
      <c r="L36" s="159">
        <v>140</v>
      </c>
      <c r="M36" s="160">
        <v>140</v>
      </c>
      <c r="N36" s="145"/>
      <c r="O36" s="156" t="s">
        <v>135</v>
      </c>
      <c r="P36" s="144" t="s">
        <v>2478</v>
      </c>
      <c r="Q36" s="147"/>
      <c r="R36" s="146"/>
      <c r="S36" s="157"/>
      <c r="T36" s="144" t="s">
        <v>29</v>
      </c>
      <c r="U36" s="150" t="s">
        <v>2479</v>
      </c>
      <c r="V36" s="146">
        <v>1958</v>
      </c>
      <c r="W36" s="148" t="s">
        <v>2552</v>
      </c>
      <c r="X36" s="149">
        <v>45689</v>
      </c>
      <c r="Y36" s="165" t="s">
        <v>2470</v>
      </c>
    </row>
    <row r="37" spans="1:25">
      <c r="A37" s="163" t="s">
        <v>423</v>
      </c>
      <c r="B37" s="144" t="s">
        <v>163</v>
      </c>
      <c r="C37" s="164" t="s">
        <v>2553</v>
      </c>
      <c r="D37" s="144" t="s">
        <v>2554</v>
      </c>
      <c r="E37" s="150" t="s">
        <v>2555</v>
      </c>
      <c r="F37" s="144" t="s">
        <v>2556</v>
      </c>
      <c r="G37" s="166" t="s">
        <v>2557</v>
      </c>
      <c r="H37" s="151">
        <v>1</v>
      </c>
      <c r="I37" s="160"/>
      <c r="J37" s="159">
        <v>47</v>
      </c>
      <c r="K37" s="161"/>
      <c r="L37" s="159">
        <v>47</v>
      </c>
      <c r="M37" s="160">
        <v>47</v>
      </c>
      <c r="N37" s="145"/>
      <c r="O37" s="156" t="s">
        <v>166</v>
      </c>
      <c r="P37" s="144" t="s">
        <v>2468</v>
      </c>
      <c r="Q37" s="147"/>
      <c r="R37" s="146">
        <v>2042</v>
      </c>
      <c r="S37" s="157"/>
      <c r="T37" s="144" t="s">
        <v>25</v>
      </c>
      <c r="U37" s="150" t="s">
        <v>14</v>
      </c>
      <c r="V37" s="146">
        <v>1005</v>
      </c>
      <c r="W37" s="148"/>
      <c r="X37" s="149">
        <v>45689</v>
      </c>
      <c r="Y37" s="165" t="s">
        <v>2558</v>
      </c>
    </row>
    <row r="38" spans="1:25">
      <c r="A38" s="163" t="s">
        <v>423</v>
      </c>
      <c r="B38" s="144" t="s">
        <v>163</v>
      </c>
      <c r="C38" s="164" t="s">
        <v>2553</v>
      </c>
      <c r="D38" s="144" t="s">
        <v>2554</v>
      </c>
      <c r="E38" s="150" t="s">
        <v>2555</v>
      </c>
      <c r="F38" s="144" t="s">
        <v>2556</v>
      </c>
      <c r="G38" s="166" t="s">
        <v>2559</v>
      </c>
      <c r="H38" s="151">
        <v>1</v>
      </c>
      <c r="I38" s="160"/>
      <c r="J38" s="159">
        <v>47</v>
      </c>
      <c r="K38" s="161"/>
      <c r="L38" s="159">
        <v>47</v>
      </c>
      <c r="M38" s="160">
        <v>47</v>
      </c>
      <c r="N38" s="145"/>
      <c r="O38" s="156" t="s">
        <v>166</v>
      </c>
      <c r="P38" s="144" t="s">
        <v>2468</v>
      </c>
      <c r="Q38" s="147"/>
      <c r="R38" s="146">
        <v>2042</v>
      </c>
      <c r="S38" s="157"/>
      <c r="T38" s="144" t="s">
        <v>25</v>
      </c>
      <c r="U38" s="150" t="s">
        <v>14</v>
      </c>
      <c r="V38" s="146">
        <v>1005</v>
      </c>
      <c r="W38" s="148"/>
      <c r="X38" s="149">
        <v>45689</v>
      </c>
      <c r="Y38" s="165" t="s">
        <v>2558</v>
      </c>
    </row>
    <row r="39" spans="1:25">
      <c r="A39" s="163" t="s">
        <v>423</v>
      </c>
      <c r="B39" s="144" t="s">
        <v>2463</v>
      </c>
      <c r="C39" s="164" t="s">
        <v>2560</v>
      </c>
      <c r="D39" s="144" t="s">
        <v>2561</v>
      </c>
      <c r="E39" s="150" t="s">
        <v>2466</v>
      </c>
      <c r="F39" s="144" t="s">
        <v>2467</v>
      </c>
      <c r="G39" s="166"/>
      <c r="H39" s="151">
        <v>1</v>
      </c>
      <c r="I39" s="160"/>
      <c r="J39" s="159">
        <v>65</v>
      </c>
      <c r="K39" s="161"/>
      <c r="L39" s="159">
        <v>65</v>
      </c>
      <c r="M39" s="160">
        <v>65</v>
      </c>
      <c r="N39" s="145">
        <v>260</v>
      </c>
      <c r="O39" s="156" t="s">
        <v>135</v>
      </c>
      <c r="P39" s="144" t="s">
        <v>2468</v>
      </c>
      <c r="Q39" s="147"/>
      <c r="R39" s="146"/>
      <c r="S39" s="157"/>
      <c r="T39" s="144" t="s">
        <v>29</v>
      </c>
      <c r="U39" s="150" t="s">
        <v>20</v>
      </c>
      <c r="V39" s="146">
        <v>2263</v>
      </c>
      <c r="W39" s="148"/>
      <c r="X39" s="149">
        <v>45689</v>
      </c>
      <c r="Y39" s="165" t="s">
        <v>2474</v>
      </c>
    </row>
    <row r="40" spans="1:25">
      <c r="A40" s="163" t="s">
        <v>309</v>
      </c>
      <c r="B40" s="144" t="s">
        <v>2463</v>
      </c>
      <c r="C40" s="164" t="s">
        <v>2562</v>
      </c>
      <c r="D40" s="144" t="s">
        <v>2563</v>
      </c>
      <c r="E40" s="150" t="s">
        <v>2466</v>
      </c>
      <c r="F40" s="144" t="s">
        <v>2467</v>
      </c>
      <c r="G40" s="166"/>
      <c r="H40" s="151">
        <v>1</v>
      </c>
      <c r="I40" s="160">
        <v>300</v>
      </c>
      <c r="J40" s="159">
        <v>300</v>
      </c>
      <c r="K40" s="161">
        <v>300</v>
      </c>
      <c r="L40" s="159">
        <v>300</v>
      </c>
      <c r="M40" s="160">
        <v>300</v>
      </c>
      <c r="N40" s="145">
        <v>0</v>
      </c>
      <c r="O40" s="156" t="s">
        <v>135</v>
      </c>
      <c r="P40" s="144" t="s">
        <v>2468</v>
      </c>
      <c r="Q40" s="147"/>
      <c r="R40" s="146"/>
      <c r="S40" s="157"/>
      <c r="T40" s="144" t="s">
        <v>29</v>
      </c>
      <c r="U40" s="150" t="s">
        <v>20</v>
      </c>
      <c r="V40" s="146">
        <v>2679</v>
      </c>
      <c r="W40" s="148" t="s">
        <v>2564</v>
      </c>
      <c r="X40" s="149">
        <v>45901</v>
      </c>
      <c r="Y40" s="165" t="s">
        <v>2565</v>
      </c>
    </row>
    <row r="41" spans="1:25">
      <c r="A41" s="163" t="s">
        <v>309</v>
      </c>
      <c r="B41" s="144" t="s">
        <v>2463</v>
      </c>
      <c r="C41" s="164" t="s">
        <v>2566</v>
      </c>
      <c r="D41" s="144" t="s">
        <v>2563</v>
      </c>
      <c r="E41" s="150" t="s">
        <v>2476</v>
      </c>
      <c r="F41" s="144" t="s">
        <v>2477</v>
      </c>
      <c r="G41" s="166"/>
      <c r="H41" s="151">
        <v>1</v>
      </c>
      <c r="I41" s="160">
        <v>300</v>
      </c>
      <c r="J41" s="159">
        <v>300</v>
      </c>
      <c r="K41" s="161">
        <v>300</v>
      </c>
      <c r="L41" s="159">
        <v>300</v>
      </c>
      <c r="M41" s="160">
        <v>300</v>
      </c>
      <c r="N41" s="145"/>
      <c r="O41" s="156" t="s">
        <v>135</v>
      </c>
      <c r="P41" s="144" t="s">
        <v>2478</v>
      </c>
      <c r="Q41" s="147"/>
      <c r="R41" s="146"/>
      <c r="S41" s="157"/>
      <c r="T41" s="144" t="s">
        <v>29</v>
      </c>
      <c r="U41" s="150" t="s">
        <v>2479</v>
      </c>
      <c r="V41" s="146">
        <v>2678</v>
      </c>
      <c r="W41" s="148" t="s">
        <v>2564</v>
      </c>
      <c r="X41" s="149">
        <v>45901</v>
      </c>
      <c r="Y41" s="165" t="s">
        <v>2565</v>
      </c>
    </row>
    <row r="42" spans="1:25">
      <c r="A42" s="163" t="s">
        <v>309</v>
      </c>
      <c r="B42" s="144" t="s">
        <v>163</v>
      </c>
      <c r="C42" s="164" t="s">
        <v>2567</v>
      </c>
      <c r="D42" s="144" t="s">
        <v>2568</v>
      </c>
      <c r="E42" s="150" t="s">
        <v>2491</v>
      </c>
      <c r="F42" s="144" t="s">
        <v>2477</v>
      </c>
      <c r="G42" s="166" t="s">
        <v>2569</v>
      </c>
      <c r="H42" s="151">
        <v>1</v>
      </c>
      <c r="I42" s="160">
        <v>14.7</v>
      </c>
      <c r="J42" s="159">
        <v>14.7</v>
      </c>
      <c r="K42" s="161">
        <v>14.7</v>
      </c>
      <c r="L42" s="159">
        <v>14.7</v>
      </c>
      <c r="M42" s="160">
        <v>14.7</v>
      </c>
      <c r="N42" s="145"/>
      <c r="O42" s="156" t="s">
        <v>166</v>
      </c>
      <c r="P42" s="144" t="s">
        <v>2480</v>
      </c>
      <c r="Q42" s="147">
        <v>43344</v>
      </c>
      <c r="R42" s="146">
        <v>2044</v>
      </c>
      <c r="S42" s="157"/>
      <c r="T42" s="144" t="s">
        <v>25</v>
      </c>
      <c r="U42" s="150" t="s">
        <v>2479</v>
      </c>
      <c r="V42" s="146">
        <v>1642</v>
      </c>
      <c r="W42" s="148"/>
      <c r="X42" s="149">
        <v>45566</v>
      </c>
      <c r="Y42" s="165" t="s">
        <v>2570</v>
      </c>
    </row>
    <row r="43" spans="1:25">
      <c r="A43" s="163" t="s">
        <v>423</v>
      </c>
      <c r="B43" s="144" t="s">
        <v>163</v>
      </c>
      <c r="C43" s="164" t="s">
        <v>2571</v>
      </c>
      <c r="D43" s="144" t="s">
        <v>2572</v>
      </c>
      <c r="E43" s="150" t="s">
        <v>2485</v>
      </c>
      <c r="F43" s="144" t="s">
        <v>2486</v>
      </c>
      <c r="G43" s="166" t="s">
        <v>2573</v>
      </c>
      <c r="H43" s="151">
        <v>52</v>
      </c>
      <c r="I43" s="160"/>
      <c r="J43" s="159">
        <v>2.0499999999999998</v>
      </c>
      <c r="K43" s="161"/>
      <c r="L43" s="159">
        <v>106.6</v>
      </c>
      <c r="M43" s="160">
        <v>106.6</v>
      </c>
      <c r="N43" s="145"/>
      <c r="O43" s="156" t="s">
        <v>166</v>
      </c>
      <c r="P43" s="144" t="s">
        <v>2478</v>
      </c>
      <c r="Q43" s="147"/>
      <c r="R43" s="146">
        <v>2040</v>
      </c>
      <c r="S43" s="157"/>
      <c r="T43" s="144" t="s">
        <v>25</v>
      </c>
      <c r="U43" s="150" t="s">
        <v>17</v>
      </c>
      <c r="V43" s="146">
        <v>1006</v>
      </c>
      <c r="W43" s="148"/>
      <c r="X43" s="149">
        <v>45689</v>
      </c>
      <c r="Y43" s="165" t="s">
        <v>2574</v>
      </c>
    </row>
    <row r="44" spans="1:25">
      <c r="A44" s="163" t="s">
        <v>7</v>
      </c>
      <c r="B44" s="144" t="s">
        <v>2463</v>
      </c>
      <c r="C44" s="164" t="s">
        <v>2575</v>
      </c>
      <c r="D44" s="144" t="s">
        <v>2576</v>
      </c>
      <c r="E44" s="150" t="s">
        <v>2485</v>
      </c>
      <c r="F44" s="144" t="s">
        <v>2467</v>
      </c>
      <c r="G44" s="166"/>
      <c r="H44" s="151">
        <v>45</v>
      </c>
      <c r="I44" s="160"/>
      <c r="J44" s="159">
        <v>8</v>
      </c>
      <c r="K44" s="161"/>
      <c r="L44" s="159">
        <v>360</v>
      </c>
      <c r="M44" s="160">
        <v>360</v>
      </c>
      <c r="N44" s="145"/>
      <c r="O44" s="156" t="s">
        <v>135</v>
      </c>
      <c r="P44" s="144" t="s">
        <v>2478</v>
      </c>
      <c r="Q44" s="147">
        <v>46600</v>
      </c>
      <c r="R44" s="146"/>
      <c r="S44" s="157"/>
      <c r="T44" s="144" t="s">
        <v>29</v>
      </c>
      <c r="U44" s="150" t="s">
        <v>17</v>
      </c>
      <c r="V44" s="146">
        <v>2213</v>
      </c>
      <c r="W44" s="148" t="s">
        <v>2577</v>
      </c>
      <c r="X44" s="149">
        <v>45901</v>
      </c>
      <c r="Y44" s="165" t="s">
        <v>2578</v>
      </c>
    </row>
    <row r="45" spans="1:25">
      <c r="A45" s="163" t="s">
        <v>7</v>
      </c>
      <c r="B45" s="144" t="s">
        <v>2463</v>
      </c>
      <c r="C45" s="164" t="s">
        <v>2579</v>
      </c>
      <c r="D45" s="144" t="s">
        <v>2576</v>
      </c>
      <c r="E45" s="150" t="s">
        <v>2485</v>
      </c>
      <c r="F45" s="144" t="s">
        <v>2486</v>
      </c>
      <c r="G45" s="166"/>
      <c r="H45" s="151">
        <v>130</v>
      </c>
      <c r="I45" s="160">
        <v>8</v>
      </c>
      <c r="J45" s="159">
        <v>8</v>
      </c>
      <c r="K45" s="161">
        <v>1040</v>
      </c>
      <c r="L45" s="159">
        <v>1040</v>
      </c>
      <c r="M45" s="160">
        <v>1040</v>
      </c>
      <c r="N45" s="145"/>
      <c r="O45" s="156" t="s">
        <v>135</v>
      </c>
      <c r="P45" s="144" t="s">
        <v>2478</v>
      </c>
      <c r="Q45" s="147"/>
      <c r="R45" s="146"/>
      <c r="S45" s="157"/>
      <c r="T45" s="144" t="s">
        <v>29</v>
      </c>
      <c r="U45" s="150" t="s">
        <v>17</v>
      </c>
      <c r="V45" s="146">
        <v>2595</v>
      </c>
      <c r="W45" s="148" t="s">
        <v>2580</v>
      </c>
      <c r="X45" s="149">
        <v>45901</v>
      </c>
      <c r="Y45" s="165" t="s">
        <v>2578</v>
      </c>
    </row>
    <row r="46" spans="1:25">
      <c r="A46" s="163" t="s">
        <v>7</v>
      </c>
      <c r="B46" s="144" t="s">
        <v>2463</v>
      </c>
      <c r="C46" s="164" t="s">
        <v>2581</v>
      </c>
      <c r="D46" s="144" t="s">
        <v>2576</v>
      </c>
      <c r="E46" s="150" t="s">
        <v>2466</v>
      </c>
      <c r="F46" s="144" t="s">
        <v>2467</v>
      </c>
      <c r="G46" s="166"/>
      <c r="H46" s="151">
        <v>125</v>
      </c>
      <c r="I46" s="160">
        <v>4</v>
      </c>
      <c r="J46" s="159">
        <v>4</v>
      </c>
      <c r="K46" s="161">
        <v>500</v>
      </c>
      <c r="L46" s="159">
        <v>500</v>
      </c>
      <c r="M46" s="160">
        <v>500</v>
      </c>
      <c r="N46" s="145">
        <v>1000</v>
      </c>
      <c r="O46" s="156" t="s">
        <v>135</v>
      </c>
      <c r="P46" s="144" t="s">
        <v>2468</v>
      </c>
      <c r="Q46" s="147"/>
      <c r="R46" s="146"/>
      <c r="S46" s="157"/>
      <c r="T46" s="144" t="s">
        <v>29</v>
      </c>
      <c r="U46" s="150" t="s">
        <v>20</v>
      </c>
      <c r="V46" s="146">
        <v>2596</v>
      </c>
      <c r="W46" s="148" t="s">
        <v>2580</v>
      </c>
      <c r="X46" s="149">
        <v>45901</v>
      </c>
      <c r="Y46" s="165" t="s">
        <v>2578</v>
      </c>
    </row>
    <row r="47" spans="1:25">
      <c r="A47" s="163" t="s">
        <v>423</v>
      </c>
      <c r="B47" s="144" t="s">
        <v>163</v>
      </c>
      <c r="C47" s="164" t="s">
        <v>2582</v>
      </c>
      <c r="D47" s="144" t="s">
        <v>2583</v>
      </c>
      <c r="E47" s="150" t="s">
        <v>2501</v>
      </c>
      <c r="F47" s="144" t="s">
        <v>2502</v>
      </c>
      <c r="G47" s="166"/>
      <c r="H47" s="151">
        <v>2</v>
      </c>
      <c r="I47" s="160">
        <v>0.8</v>
      </c>
      <c r="J47" s="159">
        <v>0.8</v>
      </c>
      <c r="K47" s="161">
        <v>1.6</v>
      </c>
      <c r="L47" s="159">
        <v>1.6</v>
      </c>
      <c r="M47" s="160">
        <v>1.6</v>
      </c>
      <c r="N47" s="145"/>
      <c r="O47" s="156" t="s">
        <v>166</v>
      </c>
      <c r="P47" s="144" t="s">
        <v>2480</v>
      </c>
      <c r="Q47" s="147"/>
      <c r="R47" s="146">
        <v>2033</v>
      </c>
      <c r="S47" s="157"/>
      <c r="T47" s="144" t="s">
        <v>25</v>
      </c>
      <c r="U47" s="150" t="s">
        <v>21</v>
      </c>
      <c r="V47" s="146">
        <v>1007</v>
      </c>
      <c r="W47" s="148"/>
      <c r="X47" s="149">
        <v>45566</v>
      </c>
      <c r="Y47" s="165" t="s">
        <v>2584</v>
      </c>
    </row>
    <row r="48" spans="1:25">
      <c r="A48" s="163" t="s">
        <v>423</v>
      </c>
      <c r="B48" s="144" t="s">
        <v>163</v>
      </c>
      <c r="C48" s="164" t="s">
        <v>1945</v>
      </c>
      <c r="D48" s="144" t="s">
        <v>2498</v>
      </c>
      <c r="E48" s="150" t="s">
        <v>2466</v>
      </c>
      <c r="F48" s="144" t="s">
        <v>2467</v>
      </c>
      <c r="G48" s="166" t="s">
        <v>2585</v>
      </c>
      <c r="H48" s="151">
        <v>1</v>
      </c>
      <c r="I48" s="160"/>
      <c r="J48" s="159">
        <v>30</v>
      </c>
      <c r="K48" s="161"/>
      <c r="L48" s="159">
        <v>30</v>
      </c>
      <c r="M48" s="160">
        <v>30</v>
      </c>
      <c r="N48" s="145">
        <v>30</v>
      </c>
      <c r="O48" s="156" t="s">
        <v>166</v>
      </c>
      <c r="P48" s="144" t="s">
        <v>2468</v>
      </c>
      <c r="Q48" s="147"/>
      <c r="R48" s="146">
        <v>2033</v>
      </c>
      <c r="S48" s="157"/>
      <c r="T48" s="144" t="s">
        <v>25</v>
      </c>
      <c r="U48" s="150" t="s">
        <v>20</v>
      </c>
      <c r="V48" s="146">
        <v>1469</v>
      </c>
      <c r="W48" s="148"/>
      <c r="X48" s="149">
        <v>45689</v>
      </c>
      <c r="Y48" s="165" t="s">
        <v>2558</v>
      </c>
    </row>
    <row r="49" spans="1:25">
      <c r="A49" s="163" t="s">
        <v>309</v>
      </c>
      <c r="B49" s="144" t="s">
        <v>2463</v>
      </c>
      <c r="C49" s="164" t="s">
        <v>2586</v>
      </c>
      <c r="D49" s="144" t="s">
        <v>2587</v>
      </c>
      <c r="E49" s="150" t="s">
        <v>2485</v>
      </c>
      <c r="F49" s="144" t="s">
        <v>2486</v>
      </c>
      <c r="G49" s="166"/>
      <c r="H49" s="151">
        <v>75</v>
      </c>
      <c r="I49" s="160">
        <v>0</v>
      </c>
      <c r="J49" s="159">
        <v>6.8</v>
      </c>
      <c r="K49" s="161">
        <v>0</v>
      </c>
      <c r="L49" s="159">
        <v>510</v>
      </c>
      <c r="M49" s="160">
        <v>510</v>
      </c>
      <c r="N49" s="145"/>
      <c r="O49" s="156" t="s">
        <v>135</v>
      </c>
      <c r="P49" s="144" t="s">
        <v>2478</v>
      </c>
      <c r="Q49" s="147">
        <v>46357</v>
      </c>
      <c r="R49" s="146">
        <v>2059</v>
      </c>
      <c r="S49" s="157"/>
      <c r="T49" s="144" t="s">
        <v>29</v>
      </c>
      <c r="U49" s="150" t="s">
        <v>17</v>
      </c>
      <c r="V49" s="146">
        <v>1986</v>
      </c>
      <c r="W49" s="148" t="s">
        <v>2588</v>
      </c>
      <c r="X49" s="149">
        <v>45901</v>
      </c>
      <c r="Y49" s="165" t="s">
        <v>2589</v>
      </c>
    </row>
    <row r="50" spans="1:25">
      <c r="A50" s="163" t="s">
        <v>7</v>
      </c>
      <c r="B50" s="144" t="s">
        <v>163</v>
      </c>
      <c r="C50" s="164" t="s">
        <v>1659</v>
      </c>
      <c r="D50" s="144" t="s">
        <v>1311</v>
      </c>
      <c r="E50" s="150" t="s">
        <v>2485</v>
      </c>
      <c r="F50" s="144" t="s">
        <v>2486</v>
      </c>
      <c r="G50" s="166" t="s">
        <v>1660</v>
      </c>
      <c r="H50" s="151">
        <v>30</v>
      </c>
      <c r="I50" s="160">
        <v>5.3</v>
      </c>
      <c r="J50" s="159">
        <v>5.3</v>
      </c>
      <c r="K50" s="161">
        <v>159</v>
      </c>
      <c r="L50" s="159">
        <v>159</v>
      </c>
      <c r="M50" s="160">
        <v>159</v>
      </c>
      <c r="N50" s="145"/>
      <c r="O50" s="156" t="s">
        <v>166</v>
      </c>
      <c r="P50" s="144" t="s">
        <v>2478</v>
      </c>
      <c r="Q50" s="147">
        <v>44805</v>
      </c>
      <c r="R50" s="146">
        <v>2045</v>
      </c>
      <c r="S50" s="157"/>
      <c r="T50" s="144" t="s">
        <v>25</v>
      </c>
      <c r="U50" s="150" t="s">
        <v>17</v>
      </c>
      <c r="V50" s="146">
        <v>1282</v>
      </c>
      <c r="W50" s="148"/>
      <c r="X50" s="149">
        <v>45689</v>
      </c>
      <c r="Y50" s="165" t="s">
        <v>2590</v>
      </c>
    </row>
    <row r="51" spans="1:25">
      <c r="A51" s="163" t="s">
        <v>7</v>
      </c>
      <c r="B51" s="144" t="s">
        <v>163</v>
      </c>
      <c r="C51" s="164" t="s">
        <v>1310</v>
      </c>
      <c r="D51" s="144" t="s">
        <v>1311</v>
      </c>
      <c r="E51" s="150" t="s">
        <v>2485</v>
      </c>
      <c r="F51" s="144" t="s">
        <v>2486</v>
      </c>
      <c r="G51" s="166" t="s">
        <v>1312</v>
      </c>
      <c r="H51" s="151">
        <v>16</v>
      </c>
      <c r="I51" s="160">
        <v>0</v>
      </c>
      <c r="J51" s="159">
        <v>5.3</v>
      </c>
      <c r="K51" s="161">
        <v>0</v>
      </c>
      <c r="L51" s="159">
        <v>84.8</v>
      </c>
      <c r="M51" s="160">
        <v>84.8</v>
      </c>
      <c r="N51" s="145"/>
      <c r="O51" s="156" t="s">
        <v>166</v>
      </c>
      <c r="P51" s="144" t="s">
        <v>2478</v>
      </c>
      <c r="Q51" s="147">
        <v>44805</v>
      </c>
      <c r="R51" s="146">
        <v>2045</v>
      </c>
      <c r="S51" s="157"/>
      <c r="T51" s="144" t="s">
        <v>25</v>
      </c>
      <c r="U51" s="150" t="s">
        <v>17</v>
      </c>
      <c r="V51" s="146">
        <v>1843</v>
      </c>
      <c r="W51" s="148" t="s">
        <v>2591</v>
      </c>
      <c r="X51" s="149">
        <v>45689</v>
      </c>
      <c r="Y51" s="165" t="s">
        <v>2500</v>
      </c>
    </row>
    <row r="52" spans="1:25">
      <c r="A52" s="163" t="s">
        <v>423</v>
      </c>
      <c r="B52" s="144" t="s">
        <v>163</v>
      </c>
      <c r="C52" s="164" t="s">
        <v>2592</v>
      </c>
      <c r="D52" s="144" t="s">
        <v>1511</v>
      </c>
      <c r="E52" s="150" t="s">
        <v>2593</v>
      </c>
      <c r="F52" s="144" t="s">
        <v>2482</v>
      </c>
      <c r="G52" s="166" t="s">
        <v>2594</v>
      </c>
      <c r="H52" s="151">
        <v>1</v>
      </c>
      <c r="I52" s="160">
        <v>0</v>
      </c>
      <c r="J52" s="159">
        <v>2.2000000000000002</v>
      </c>
      <c r="K52" s="161">
        <v>0</v>
      </c>
      <c r="L52" s="159">
        <v>2.2000000000000002</v>
      </c>
      <c r="M52" s="160">
        <v>2.2000000000000002</v>
      </c>
      <c r="N52" s="145"/>
      <c r="O52" s="156" t="s">
        <v>166</v>
      </c>
      <c r="P52" s="144" t="s">
        <v>2480</v>
      </c>
      <c r="Q52" s="147"/>
      <c r="R52" s="146">
        <v>2057</v>
      </c>
      <c r="S52" s="157"/>
      <c r="T52" s="144" t="s">
        <v>25</v>
      </c>
      <c r="U52" s="150" t="s">
        <v>18</v>
      </c>
      <c r="V52" s="146">
        <v>1008</v>
      </c>
      <c r="W52" s="148"/>
      <c r="X52" s="149">
        <v>45566</v>
      </c>
      <c r="Y52" s="165" t="s">
        <v>2558</v>
      </c>
    </row>
    <row r="53" spans="1:25">
      <c r="A53" s="163" t="s">
        <v>423</v>
      </c>
      <c r="B53" s="144" t="s">
        <v>163</v>
      </c>
      <c r="C53" s="164" t="s">
        <v>2592</v>
      </c>
      <c r="D53" s="144" t="s">
        <v>1511</v>
      </c>
      <c r="E53" s="150" t="s">
        <v>2593</v>
      </c>
      <c r="F53" s="144" t="s">
        <v>2482</v>
      </c>
      <c r="G53" s="166" t="s">
        <v>2594</v>
      </c>
      <c r="H53" s="151">
        <v>1</v>
      </c>
      <c r="I53" s="160">
        <v>0</v>
      </c>
      <c r="J53" s="159">
        <v>10</v>
      </c>
      <c r="K53" s="161">
        <v>0</v>
      </c>
      <c r="L53" s="159">
        <v>10</v>
      </c>
      <c r="M53" s="160">
        <v>10</v>
      </c>
      <c r="N53" s="145"/>
      <c r="O53" s="156" t="s">
        <v>166</v>
      </c>
      <c r="P53" s="144" t="s">
        <v>2480</v>
      </c>
      <c r="Q53" s="147"/>
      <c r="R53" s="146">
        <v>2057</v>
      </c>
      <c r="S53" s="157"/>
      <c r="T53" s="144" t="s">
        <v>25</v>
      </c>
      <c r="U53" s="150" t="s">
        <v>18</v>
      </c>
      <c r="V53" s="146">
        <v>1008</v>
      </c>
      <c r="W53" s="148"/>
      <c r="X53" s="149">
        <v>45566</v>
      </c>
      <c r="Y53" s="165" t="s">
        <v>2558</v>
      </c>
    </row>
    <row r="54" spans="1:25">
      <c r="A54" s="163" t="s">
        <v>309</v>
      </c>
      <c r="B54" s="144" t="s">
        <v>2463</v>
      </c>
      <c r="C54" s="164" t="s">
        <v>1182</v>
      </c>
      <c r="D54" s="144" t="s">
        <v>2595</v>
      </c>
      <c r="E54" s="150" t="s">
        <v>2491</v>
      </c>
      <c r="F54" s="144" t="s">
        <v>2477</v>
      </c>
      <c r="G54" s="166"/>
      <c r="H54" s="151">
        <v>16</v>
      </c>
      <c r="I54" s="160"/>
      <c r="J54" s="159">
        <v>4.4000000000000004</v>
      </c>
      <c r="K54" s="161"/>
      <c r="L54" s="159">
        <v>70.400000000000006</v>
      </c>
      <c r="M54" s="160">
        <v>70.400000000000006</v>
      </c>
      <c r="N54" s="145"/>
      <c r="O54" s="156" t="s">
        <v>28</v>
      </c>
      <c r="P54" s="144" t="s">
        <v>2478</v>
      </c>
      <c r="Q54" s="147">
        <v>46600</v>
      </c>
      <c r="R54" s="146">
        <v>2057</v>
      </c>
      <c r="S54" s="157"/>
      <c r="T54" s="144" t="s">
        <v>28</v>
      </c>
      <c r="U54" s="150" t="s">
        <v>2479</v>
      </c>
      <c r="V54" s="146">
        <v>2578</v>
      </c>
      <c r="W54" s="148"/>
      <c r="X54" s="149">
        <v>45901</v>
      </c>
      <c r="Y54" s="165" t="s">
        <v>2596</v>
      </c>
    </row>
    <row r="55" spans="1:25">
      <c r="A55" s="163" t="s">
        <v>7</v>
      </c>
      <c r="B55" s="144" t="s">
        <v>2463</v>
      </c>
      <c r="C55" s="164" t="s">
        <v>2597</v>
      </c>
      <c r="D55" s="144" t="s">
        <v>2598</v>
      </c>
      <c r="E55" s="150" t="s">
        <v>2466</v>
      </c>
      <c r="F55" s="144" t="s">
        <v>2467</v>
      </c>
      <c r="G55" s="166"/>
      <c r="H55" s="151">
        <v>1</v>
      </c>
      <c r="I55" s="160">
        <v>700</v>
      </c>
      <c r="J55" s="159">
        <v>700</v>
      </c>
      <c r="K55" s="161">
        <v>700</v>
      </c>
      <c r="L55" s="159">
        <v>700</v>
      </c>
      <c r="M55" s="160">
        <v>700</v>
      </c>
      <c r="N55" s="145">
        <v>0</v>
      </c>
      <c r="O55" s="156" t="s">
        <v>135</v>
      </c>
      <c r="P55" s="144" t="s">
        <v>2468</v>
      </c>
      <c r="Q55" s="147"/>
      <c r="R55" s="146"/>
      <c r="S55" s="157"/>
      <c r="T55" s="144" t="s">
        <v>29</v>
      </c>
      <c r="U55" s="150" t="s">
        <v>20</v>
      </c>
      <c r="V55" s="146">
        <v>2636</v>
      </c>
      <c r="W55" s="148" t="s">
        <v>2599</v>
      </c>
      <c r="X55" s="149">
        <v>45901</v>
      </c>
      <c r="Y55" s="165" t="s">
        <v>2600</v>
      </c>
    </row>
    <row r="56" spans="1:25">
      <c r="A56" s="163" t="s">
        <v>423</v>
      </c>
      <c r="B56" s="144" t="s">
        <v>163</v>
      </c>
      <c r="C56" s="164" t="s">
        <v>1905</v>
      </c>
      <c r="D56" s="144" t="s">
        <v>1906</v>
      </c>
      <c r="E56" s="150" t="s">
        <v>2491</v>
      </c>
      <c r="F56" s="144" t="s">
        <v>2477</v>
      </c>
      <c r="G56" s="166" t="s">
        <v>1907</v>
      </c>
      <c r="H56" s="151">
        <v>40</v>
      </c>
      <c r="I56" s="160"/>
      <c r="J56" s="159">
        <v>2.5</v>
      </c>
      <c r="K56" s="161"/>
      <c r="L56" s="159">
        <v>100</v>
      </c>
      <c r="M56" s="160">
        <v>100</v>
      </c>
      <c r="N56" s="145"/>
      <c r="O56" s="156" t="s">
        <v>166</v>
      </c>
      <c r="P56" s="144" t="s">
        <v>2478</v>
      </c>
      <c r="Q56" s="147">
        <v>43617</v>
      </c>
      <c r="R56" s="146">
        <v>2049</v>
      </c>
      <c r="S56" s="157"/>
      <c r="T56" s="144" t="s">
        <v>25</v>
      </c>
      <c r="U56" s="150" t="s">
        <v>2479</v>
      </c>
      <c r="V56" s="146">
        <v>1492</v>
      </c>
      <c r="W56" s="148"/>
      <c r="X56" s="149">
        <v>45689</v>
      </c>
      <c r="Y56" s="165" t="s">
        <v>2574</v>
      </c>
    </row>
    <row r="57" spans="1:25">
      <c r="A57" s="163" t="s">
        <v>423</v>
      </c>
      <c r="B57" s="144" t="s">
        <v>2463</v>
      </c>
      <c r="C57" s="164" t="s">
        <v>2601</v>
      </c>
      <c r="D57" s="144" t="s">
        <v>2602</v>
      </c>
      <c r="E57" s="150" t="s">
        <v>2466</v>
      </c>
      <c r="F57" s="144" t="s">
        <v>2467</v>
      </c>
      <c r="G57" s="166"/>
      <c r="H57" s="151">
        <v>124</v>
      </c>
      <c r="I57" s="160">
        <v>4.3899999999999997</v>
      </c>
      <c r="J57" s="159">
        <v>4.3899999999999997</v>
      </c>
      <c r="K57" s="161">
        <v>544.36</v>
      </c>
      <c r="L57" s="159">
        <v>544.36</v>
      </c>
      <c r="M57" s="160">
        <v>544.36</v>
      </c>
      <c r="N57" s="145">
        <v>1800</v>
      </c>
      <c r="O57" s="156" t="s">
        <v>135</v>
      </c>
      <c r="P57" s="144" t="s">
        <v>2468</v>
      </c>
      <c r="Q57" s="147">
        <v>46539</v>
      </c>
      <c r="R57" s="146"/>
      <c r="S57" s="157"/>
      <c r="T57" s="144" t="s">
        <v>29</v>
      </c>
      <c r="U57" s="150" t="s">
        <v>20</v>
      </c>
      <c r="V57" s="146">
        <v>2326</v>
      </c>
      <c r="W57" s="148" t="s">
        <v>2603</v>
      </c>
      <c r="X57" s="149">
        <v>45689</v>
      </c>
      <c r="Y57" s="165" t="s">
        <v>2604</v>
      </c>
    </row>
    <row r="58" spans="1:25">
      <c r="A58" s="163" t="s">
        <v>309</v>
      </c>
      <c r="B58" s="144" t="s">
        <v>163</v>
      </c>
      <c r="C58" s="164" t="s">
        <v>2226</v>
      </c>
      <c r="D58" s="144" t="s">
        <v>2605</v>
      </c>
      <c r="E58" s="150" t="s">
        <v>2555</v>
      </c>
      <c r="F58" s="144" t="s">
        <v>2556</v>
      </c>
      <c r="G58" s="166" t="s">
        <v>2606</v>
      </c>
      <c r="H58" s="151">
        <v>1</v>
      </c>
      <c r="I58" s="160"/>
      <c r="J58" s="159">
        <v>37</v>
      </c>
      <c r="K58" s="161"/>
      <c r="L58" s="159">
        <v>37</v>
      </c>
      <c r="M58" s="160">
        <v>37</v>
      </c>
      <c r="N58" s="145"/>
      <c r="O58" s="156" t="s">
        <v>166</v>
      </c>
      <c r="P58" s="144" t="s">
        <v>2468</v>
      </c>
      <c r="Q58" s="147"/>
      <c r="R58" s="146">
        <v>2034</v>
      </c>
      <c r="S58" s="157"/>
      <c r="T58" s="144" t="s">
        <v>25</v>
      </c>
      <c r="U58" s="150" t="s">
        <v>14</v>
      </c>
      <c r="V58" s="146">
        <v>1010</v>
      </c>
      <c r="W58" s="148"/>
      <c r="X58" s="149">
        <v>45689</v>
      </c>
      <c r="Y58" s="165" t="s">
        <v>2520</v>
      </c>
    </row>
    <row r="59" spans="1:25">
      <c r="A59" s="163" t="s">
        <v>309</v>
      </c>
      <c r="B59" s="144" t="s">
        <v>163</v>
      </c>
      <c r="C59" s="164" t="s">
        <v>2131</v>
      </c>
      <c r="D59" s="144" t="s">
        <v>2607</v>
      </c>
      <c r="E59" s="150" t="s">
        <v>2491</v>
      </c>
      <c r="F59" s="144" t="s">
        <v>2477</v>
      </c>
      <c r="G59" s="166"/>
      <c r="H59" s="151">
        <v>1</v>
      </c>
      <c r="I59" s="160">
        <v>20</v>
      </c>
      <c r="J59" s="159">
        <v>20</v>
      </c>
      <c r="K59" s="161">
        <v>20</v>
      </c>
      <c r="L59" s="159">
        <v>20</v>
      </c>
      <c r="M59" s="160">
        <v>20</v>
      </c>
      <c r="N59" s="145"/>
      <c r="O59" s="156" t="s">
        <v>166</v>
      </c>
      <c r="P59" s="144" t="s">
        <v>2480</v>
      </c>
      <c r="Q59" s="147"/>
      <c r="R59" s="146">
        <v>2049</v>
      </c>
      <c r="S59" s="157"/>
      <c r="T59" s="144" t="s">
        <v>25</v>
      </c>
      <c r="U59" s="150" t="s">
        <v>2479</v>
      </c>
      <c r="V59" s="146">
        <v>1389</v>
      </c>
      <c r="W59" s="148"/>
      <c r="X59" s="149">
        <v>45566</v>
      </c>
      <c r="Y59" s="165" t="s">
        <v>2608</v>
      </c>
    </row>
    <row r="60" spans="1:25">
      <c r="A60" s="163" t="s">
        <v>380</v>
      </c>
      <c r="B60" s="144" t="s">
        <v>163</v>
      </c>
      <c r="C60" s="164" t="s">
        <v>1772</v>
      </c>
      <c r="D60" s="144" t="s">
        <v>1773</v>
      </c>
      <c r="E60" s="150" t="s">
        <v>2506</v>
      </c>
      <c r="F60" s="144" t="s">
        <v>2556</v>
      </c>
      <c r="G60" s="166" t="s">
        <v>1774</v>
      </c>
      <c r="H60" s="151">
        <v>12</v>
      </c>
      <c r="I60" s="160"/>
      <c r="J60" s="159">
        <v>17.5</v>
      </c>
      <c r="K60" s="161"/>
      <c r="L60" s="159">
        <v>210</v>
      </c>
      <c r="M60" s="160">
        <v>210</v>
      </c>
      <c r="N60" s="145"/>
      <c r="O60" s="156" t="s">
        <v>166</v>
      </c>
      <c r="P60" s="144" t="s">
        <v>2468</v>
      </c>
      <c r="Q60" s="147">
        <v>43831</v>
      </c>
      <c r="R60" s="146">
        <v>2044</v>
      </c>
      <c r="S60" s="157"/>
      <c r="T60" s="144" t="s">
        <v>25</v>
      </c>
      <c r="U60" s="150" t="s">
        <v>15</v>
      </c>
      <c r="V60" s="146">
        <v>1463</v>
      </c>
      <c r="W60" s="148"/>
      <c r="X60" s="149">
        <v>45689</v>
      </c>
      <c r="Y60" s="165" t="s">
        <v>2609</v>
      </c>
    </row>
    <row r="61" spans="1:25">
      <c r="A61" s="163" t="s">
        <v>380</v>
      </c>
      <c r="B61" s="144" t="s">
        <v>2463</v>
      </c>
      <c r="C61" s="164" t="s">
        <v>2610</v>
      </c>
      <c r="D61" s="144" t="s">
        <v>1215</v>
      </c>
      <c r="E61" s="150" t="s">
        <v>2555</v>
      </c>
      <c r="F61" s="144" t="s">
        <v>2556</v>
      </c>
      <c r="G61" s="166"/>
      <c r="H61" s="151">
        <v>1</v>
      </c>
      <c r="I61" s="160">
        <v>280</v>
      </c>
      <c r="J61" s="159">
        <v>280</v>
      </c>
      <c r="K61" s="161">
        <v>280</v>
      </c>
      <c r="L61" s="159">
        <v>280</v>
      </c>
      <c r="M61" s="160">
        <v>280</v>
      </c>
      <c r="N61" s="145"/>
      <c r="O61" s="156" t="s">
        <v>135</v>
      </c>
      <c r="P61" s="144" t="s">
        <v>2468</v>
      </c>
      <c r="Q61" s="147"/>
      <c r="R61" s="146"/>
      <c r="S61" s="157"/>
      <c r="T61" s="144" t="s">
        <v>29</v>
      </c>
      <c r="U61" s="150" t="s">
        <v>14</v>
      </c>
      <c r="V61" s="146">
        <v>2905</v>
      </c>
      <c r="W61" s="148" t="s">
        <v>2611</v>
      </c>
      <c r="X61" s="149"/>
      <c r="Y61" s="165" t="s">
        <v>2612</v>
      </c>
    </row>
    <row r="62" spans="1:25">
      <c r="A62" s="163" t="s">
        <v>380</v>
      </c>
      <c r="B62" s="144" t="s">
        <v>2463</v>
      </c>
      <c r="C62" s="164" t="s">
        <v>2613</v>
      </c>
      <c r="D62" s="144" t="s">
        <v>2614</v>
      </c>
      <c r="E62" s="150" t="s">
        <v>2485</v>
      </c>
      <c r="F62" s="144" t="s">
        <v>2486</v>
      </c>
      <c r="G62" s="166"/>
      <c r="H62" s="151">
        <v>62</v>
      </c>
      <c r="I62" s="160">
        <v>2</v>
      </c>
      <c r="J62" s="159">
        <v>3</v>
      </c>
      <c r="K62" s="161">
        <v>124</v>
      </c>
      <c r="L62" s="159">
        <v>186</v>
      </c>
      <c r="M62" s="160" t="s">
        <v>2615</v>
      </c>
      <c r="N62" s="145"/>
      <c r="O62" s="156" t="s">
        <v>135</v>
      </c>
      <c r="P62" s="144" t="s">
        <v>2478</v>
      </c>
      <c r="Q62" s="147"/>
      <c r="R62" s="146"/>
      <c r="S62" s="157"/>
      <c r="T62" s="144" t="s">
        <v>29</v>
      </c>
      <c r="U62" s="150" t="s">
        <v>17</v>
      </c>
      <c r="V62" s="146">
        <v>1011</v>
      </c>
      <c r="W62" s="148"/>
      <c r="X62" s="149">
        <v>45689</v>
      </c>
      <c r="Y62" s="165" t="s">
        <v>2558</v>
      </c>
    </row>
    <row r="63" spans="1:25">
      <c r="A63" s="163" t="s">
        <v>380</v>
      </c>
      <c r="B63" s="144" t="s">
        <v>2463</v>
      </c>
      <c r="C63" s="164" t="s">
        <v>2616</v>
      </c>
      <c r="D63" s="144" t="s">
        <v>1215</v>
      </c>
      <c r="E63" s="150" t="s">
        <v>2466</v>
      </c>
      <c r="F63" s="144" t="s">
        <v>2467</v>
      </c>
      <c r="G63" s="166"/>
      <c r="H63" s="151">
        <v>1</v>
      </c>
      <c r="I63" s="160">
        <v>270</v>
      </c>
      <c r="J63" s="159">
        <v>270</v>
      </c>
      <c r="K63" s="161">
        <v>270</v>
      </c>
      <c r="L63" s="159">
        <v>270</v>
      </c>
      <c r="M63" s="160">
        <v>270</v>
      </c>
      <c r="N63" s="145">
        <v>1080</v>
      </c>
      <c r="O63" s="156" t="s">
        <v>135</v>
      </c>
      <c r="P63" s="144" t="s">
        <v>2468</v>
      </c>
      <c r="Q63" s="147"/>
      <c r="R63" s="146"/>
      <c r="S63" s="157"/>
      <c r="T63" s="144" t="s">
        <v>29</v>
      </c>
      <c r="U63" s="150" t="s">
        <v>20</v>
      </c>
      <c r="V63" s="146">
        <v>2907</v>
      </c>
      <c r="W63" s="148" t="s">
        <v>2617</v>
      </c>
      <c r="X63" s="149">
        <v>45778</v>
      </c>
      <c r="Y63" s="165"/>
    </row>
    <row r="64" spans="1:25">
      <c r="A64" s="163" t="s">
        <v>423</v>
      </c>
      <c r="B64" s="144" t="s">
        <v>2463</v>
      </c>
      <c r="C64" s="164" t="s">
        <v>2618</v>
      </c>
      <c r="D64" s="144" t="s">
        <v>2619</v>
      </c>
      <c r="E64" s="150" t="s">
        <v>2491</v>
      </c>
      <c r="F64" s="144" t="s">
        <v>2477</v>
      </c>
      <c r="G64" s="166"/>
      <c r="H64" s="151">
        <v>22</v>
      </c>
      <c r="I64" s="160"/>
      <c r="J64" s="159">
        <v>2.91</v>
      </c>
      <c r="K64" s="161"/>
      <c r="L64" s="159">
        <v>64.02</v>
      </c>
      <c r="M64" s="160">
        <v>64.02</v>
      </c>
      <c r="N64" s="145"/>
      <c r="O64" s="156" t="s">
        <v>135</v>
      </c>
      <c r="P64" s="144" t="s">
        <v>2478</v>
      </c>
      <c r="Q64" s="147"/>
      <c r="R64" s="146"/>
      <c r="S64" s="157"/>
      <c r="T64" s="144" t="s">
        <v>29</v>
      </c>
      <c r="U64" s="150" t="s">
        <v>2479</v>
      </c>
      <c r="V64" s="146">
        <v>2897</v>
      </c>
      <c r="W64" s="148"/>
      <c r="X64" s="149">
        <v>45901</v>
      </c>
      <c r="Y64" s="165" t="s">
        <v>2620</v>
      </c>
    </row>
    <row r="65" spans="1:25">
      <c r="A65" s="163" t="s">
        <v>423</v>
      </c>
      <c r="B65" s="144" t="s">
        <v>2463</v>
      </c>
      <c r="C65" s="164" t="s">
        <v>2618</v>
      </c>
      <c r="D65" s="144" t="s">
        <v>2619</v>
      </c>
      <c r="E65" s="150" t="s">
        <v>2466</v>
      </c>
      <c r="F65" s="144" t="s">
        <v>2477</v>
      </c>
      <c r="G65" s="166"/>
      <c r="H65" s="151">
        <v>22</v>
      </c>
      <c r="I65" s="160"/>
      <c r="J65" s="159">
        <v>2.91</v>
      </c>
      <c r="K65" s="161"/>
      <c r="L65" s="159">
        <v>64.02</v>
      </c>
      <c r="M65" s="160">
        <v>64.02</v>
      </c>
      <c r="N65" s="145">
        <v>6.31</v>
      </c>
      <c r="O65" s="156" t="s">
        <v>135</v>
      </c>
      <c r="P65" s="144" t="s">
        <v>2468</v>
      </c>
      <c r="Q65" s="147"/>
      <c r="R65" s="146"/>
      <c r="S65" s="157"/>
      <c r="T65" s="144" t="s">
        <v>29</v>
      </c>
      <c r="U65" s="150" t="s">
        <v>20</v>
      </c>
      <c r="V65" s="146">
        <v>2897</v>
      </c>
      <c r="W65" s="148"/>
      <c r="X65" s="149">
        <v>45901</v>
      </c>
      <c r="Y65" s="165" t="s">
        <v>2620</v>
      </c>
    </row>
    <row r="66" spans="1:25">
      <c r="A66" s="163" t="s">
        <v>380</v>
      </c>
      <c r="B66" s="144" t="s">
        <v>2463</v>
      </c>
      <c r="C66" s="164" t="s">
        <v>2621</v>
      </c>
      <c r="D66" s="144" t="s">
        <v>854</v>
      </c>
      <c r="E66" s="150" t="s">
        <v>2593</v>
      </c>
      <c r="F66" s="144" t="s">
        <v>2482</v>
      </c>
      <c r="G66" s="166"/>
      <c r="H66" s="151">
        <v>2</v>
      </c>
      <c r="I66" s="160">
        <v>125</v>
      </c>
      <c r="J66" s="159">
        <v>125</v>
      </c>
      <c r="K66" s="161">
        <v>250</v>
      </c>
      <c r="L66" s="159">
        <v>250</v>
      </c>
      <c r="M66" s="160">
        <v>250</v>
      </c>
      <c r="N66" s="145">
        <v>0</v>
      </c>
      <c r="O66" s="156" t="s">
        <v>135</v>
      </c>
      <c r="P66" s="144" t="s">
        <v>2468</v>
      </c>
      <c r="Q66" s="147">
        <v>45992</v>
      </c>
      <c r="R66" s="146">
        <v>2072</v>
      </c>
      <c r="S66" s="157"/>
      <c r="T66" s="144" t="s">
        <v>29</v>
      </c>
      <c r="U66" s="150" t="s">
        <v>18</v>
      </c>
      <c r="V66" s="146">
        <v>1682</v>
      </c>
      <c r="W66" s="148"/>
      <c r="X66" s="149">
        <v>45689</v>
      </c>
      <c r="Y66" s="165" t="s">
        <v>2622</v>
      </c>
    </row>
    <row r="67" spans="1:25">
      <c r="A67" s="163" t="s">
        <v>309</v>
      </c>
      <c r="B67" s="144" t="s">
        <v>163</v>
      </c>
      <c r="C67" s="164" t="s">
        <v>935</v>
      </c>
      <c r="D67" s="144" t="s">
        <v>936</v>
      </c>
      <c r="E67" s="150" t="s">
        <v>2481</v>
      </c>
      <c r="F67" s="144" t="s">
        <v>2482</v>
      </c>
      <c r="G67" s="166" t="s">
        <v>937</v>
      </c>
      <c r="H67" s="151">
        <v>1</v>
      </c>
      <c r="I67" s="160"/>
      <c r="J67" s="159">
        <v>35</v>
      </c>
      <c r="K67" s="161"/>
      <c r="L67" s="159">
        <v>35</v>
      </c>
      <c r="M67" s="160">
        <v>35</v>
      </c>
      <c r="N67" s="145"/>
      <c r="O67" s="156" t="s">
        <v>166</v>
      </c>
      <c r="P67" s="144" t="s">
        <v>2468</v>
      </c>
      <c r="Q67" s="147"/>
      <c r="R67" s="146">
        <v>2063</v>
      </c>
      <c r="S67" s="157"/>
      <c r="T67" s="144" t="s">
        <v>25</v>
      </c>
      <c r="U67" s="150" t="s">
        <v>18</v>
      </c>
      <c r="V67" s="146">
        <v>1012</v>
      </c>
      <c r="W67" s="148"/>
      <c r="X67" s="149">
        <v>45689</v>
      </c>
      <c r="Y67" s="165" t="s">
        <v>2623</v>
      </c>
    </row>
    <row r="68" spans="1:25">
      <c r="A68" s="163" t="s">
        <v>309</v>
      </c>
      <c r="B68" s="144" t="s">
        <v>163</v>
      </c>
      <c r="C68" s="164" t="s">
        <v>935</v>
      </c>
      <c r="D68" s="144" t="s">
        <v>936</v>
      </c>
      <c r="E68" s="150" t="s">
        <v>2481</v>
      </c>
      <c r="F68" s="144" t="s">
        <v>2482</v>
      </c>
      <c r="G68" s="166" t="s">
        <v>939</v>
      </c>
      <c r="H68" s="151">
        <v>1</v>
      </c>
      <c r="I68" s="160"/>
      <c r="J68" s="159">
        <v>35</v>
      </c>
      <c r="K68" s="161"/>
      <c r="L68" s="159">
        <v>35</v>
      </c>
      <c r="M68" s="160">
        <v>35</v>
      </c>
      <c r="N68" s="145"/>
      <c r="O68" s="156" t="s">
        <v>166</v>
      </c>
      <c r="P68" s="144" t="s">
        <v>2468</v>
      </c>
      <c r="Q68" s="147"/>
      <c r="R68" s="146">
        <v>2063</v>
      </c>
      <c r="S68" s="157"/>
      <c r="T68" s="144" t="s">
        <v>25</v>
      </c>
      <c r="U68" s="150" t="s">
        <v>18</v>
      </c>
      <c r="V68" s="146">
        <v>1012</v>
      </c>
      <c r="W68" s="148"/>
      <c r="X68" s="149">
        <v>45689</v>
      </c>
      <c r="Y68" s="165" t="s">
        <v>2623</v>
      </c>
    </row>
    <row r="69" spans="1:25">
      <c r="A69" s="163" t="s">
        <v>423</v>
      </c>
      <c r="B69" s="144" t="s">
        <v>2463</v>
      </c>
      <c r="C69" s="164" t="s">
        <v>437</v>
      </c>
      <c r="D69" s="144" t="s">
        <v>252</v>
      </c>
      <c r="E69" s="150" t="s">
        <v>2491</v>
      </c>
      <c r="F69" s="144" t="s">
        <v>2477</v>
      </c>
      <c r="G69" s="166"/>
      <c r="H69" s="151">
        <v>1</v>
      </c>
      <c r="I69" s="160"/>
      <c r="J69" s="159">
        <v>250</v>
      </c>
      <c r="K69" s="161"/>
      <c r="L69" s="159">
        <v>250</v>
      </c>
      <c r="M69" s="160">
        <v>250</v>
      </c>
      <c r="N69" s="145"/>
      <c r="O69" s="156" t="s">
        <v>135</v>
      </c>
      <c r="P69" s="144" t="s">
        <v>2478</v>
      </c>
      <c r="Q69" s="147"/>
      <c r="R69" s="146"/>
      <c r="S69" s="157"/>
      <c r="T69" s="144" t="s">
        <v>29</v>
      </c>
      <c r="U69" s="150" t="s">
        <v>2479</v>
      </c>
      <c r="V69" s="146">
        <v>2467</v>
      </c>
      <c r="W69" s="148" t="s">
        <v>2624</v>
      </c>
      <c r="X69" s="149">
        <v>45901</v>
      </c>
      <c r="Y69" s="165" t="s">
        <v>2578</v>
      </c>
    </row>
    <row r="70" spans="1:25">
      <c r="A70" s="163" t="s">
        <v>423</v>
      </c>
      <c r="B70" s="144" t="s">
        <v>2463</v>
      </c>
      <c r="C70" s="164" t="s">
        <v>437</v>
      </c>
      <c r="D70" s="144" t="s">
        <v>252</v>
      </c>
      <c r="E70" s="150" t="s">
        <v>2466</v>
      </c>
      <c r="F70" s="144" t="s">
        <v>2467</v>
      </c>
      <c r="G70" s="166"/>
      <c r="H70" s="151">
        <v>1</v>
      </c>
      <c r="I70" s="160"/>
      <c r="J70" s="159">
        <v>250</v>
      </c>
      <c r="K70" s="161"/>
      <c r="L70" s="159">
        <v>250</v>
      </c>
      <c r="M70" s="160">
        <v>250</v>
      </c>
      <c r="N70" s="145">
        <v>500</v>
      </c>
      <c r="O70" s="156" t="s">
        <v>135</v>
      </c>
      <c r="P70" s="144" t="s">
        <v>2468</v>
      </c>
      <c r="Q70" s="147"/>
      <c r="R70" s="146"/>
      <c r="S70" s="157"/>
      <c r="T70" s="144" t="s">
        <v>29</v>
      </c>
      <c r="U70" s="150" t="s">
        <v>20</v>
      </c>
      <c r="V70" s="146">
        <v>2467</v>
      </c>
      <c r="W70" s="148" t="s">
        <v>2624</v>
      </c>
      <c r="X70" s="149">
        <v>45901</v>
      </c>
      <c r="Y70" s="165" t="s">
        <v>2578</v>
      </c>
    </row>
    <row r="71" spans="1:25">
      <c r="A71" s="163" t="s">
        <v>565</v>
      </c>
      <c r="B71" s="144" t="s">
        <v>2463</v>
      </c>
      <c r="C71" s="164" t="s">
        <v>2625</v>
      </c>
      <c r="D71" s="144" t="s">
        <v>1271</v>
      </c>
      <c r="E71" s="150" t="s">
        <v>2485</v>
      </c>
      <c r="F71" s="144" t="s">
        <v>2486</v>
      </c>
      <c r="G71" s="166"/>
      <c r="H71" s="151">
        <v>59</v>
      </c>
      <c r="I71" s="160">
        <v>7.8</v>
      </c>
      <c r="J71" s="159">
        <v>7.8</v>
      </c>
      <c r="K71" s="161">
        <v>460.2</v>
      </c>
      <c r="L71" s="159">
        <v>460.2</v>
      </c>
      <c r="M71" s="160">
        <v>460.2</v>
      </c>
      <c r="N71" s="145"/>
      <c r="O71" s="156" t="s">
        <v>135</v>
      </c>
      <c r="P71" s="144" t="s">
        <v>2478</v>
      </c>
      <c r="Q71" s="147"/>
      <c r="R71" s="146"/>
      <c r="S71" s="157"/>
      <c r="T71" s="144" t="s">
        <v>29</v>
      </c>
      <c r="U71" s="150" t="s">
        <v>17</v>
      </c>
      <c r="V71" s="146">
        <v>2470</v>
      </c>
      <c r="W71" s="148" t="s">
        <v>2626</v>
      </c>
      <c r="X71" s="149">
        <v>45689</v>
      </c>
      <c r="Y71" s="165" t="s">
        <v>2627</v>
      </c>
    </row>
    <row r="72" spans="1:25">
      <c r="A72" s="163" t="s">
        <v>565</v>
      </c>
      <c r="B72" s="144" t="s">
        <v>2463</v>
      </c>
      <c r="C72" s="164" t="s">
        <v>2628</v>
      </c>
      <c r="D72" s="144" t="s">
        <v>2629</v>
      </c>
      <c r="E72" s="150" t="s">
        <v>2630</v>
      </c>
      <c r="F72" s="144" t="s">
        <v>2486</v>
      </c>
      <c r="G72" s="166"/>
      <c r="H72" s="151">
        <v>1</v>
      </c>
      <c r="I72" s="160">
        <v>500</v>
      </c>
      <c r="J72" s="159">
        <v>500</v>
      </c>
      <c r="K72" s="161">
        <v>500</v>
      </c>
      <c r="L72" s="159">
        <v>500</v>
      </c>
      <c r="M72" s="160">
        <v>500</v>
      </c>
      <c r="N72" s="145"/>
      <c r="O72" s="156" t="s">
        <v>135</v>
      </c>
      <c r="P72" s="144" t="s">
        <v>2478</v>
      </c>
      <c r="Q72" s="147"/>
      <c r="R72" s="146"/>
      <c r="S72" s="157"/>
      <c r="T72" s="144" t="s">
        <v>29</v>
      </c>
      <c r="U72" s="150" t="s">
        <v>17</v>
      </c>
      <c r="V72" s="146">
        <v>2231</v>
      </c>
      <c r="W72" s="148" t="s">
        <v>2631</v>
      </c>
      <c r="X72" s="149">
        <v>45901</v>
      </c>
      <c r="Y72" s="165" t="s">
        <v>2632</v>
      </c>
    </row>
    <row r="73" spans="1:25">
      <c r="A73" s="163" t="s">
        <v>565</v>
      </c>
      <c r="B73" s="144" t="s">
        <v>163</v>
      </c>
      <c r="C73" s="164" t="s">
        <v>2633</v>
      </c>
      <c r="D73" s="144" t="s">
        <v>1137</v>
      </c>
      <c r="E73" s="150" t="s">
        <v>2593</v>
      </c>
      <c r="F73" s="144" t="s">
        <v>2482</v>
      </c>
      <c r="G73" s="166" t="s">
        <v>2634</v>
      </c>
      <c r="H73" s="151">
        <v>1</v>
      </c>
      <c r="I73" s="160"/>
      <c r="J73" s="159">
        <v>79.900000000000006</v>
      </c>
      <c r="K73" s="161"/>
      <c r="L73" s="159">
        <v>79.900000000000006</v>
      </c>
      <c r="M73" s="160">
        <v>79.900000000000006</v>
      </c>
      <c r="N73" s="145"/>
      <c r="O73" s="156" t="s">
        <v>166</v>
      </c>
      <c r="P73" s="144" t="s">
        <v>2468</v>
      </c>
      <c r="Q73" s="147"/>
      <c r="R73" s="146">
        <v>2100</v>
      </c>
      <c r="S73" s="157"/>
      <c r="T73" s="144" t="s">
        <v>25</v>
      </c>
      <c r="U73" s="150" t="s">
        <v>18</v>
      </c>
      <c r="V73" s="146">
        <v>1013</v>
      </c>
      <c r="W73" s="148"/>
      <c r="X73" s="149">
        <v>45689</v>
      </c>
      <c r="Y73" s="165" t="s">
        <v>2541</v>
      </c>
    </row>
    <row r="74" spans="1:25">
      <c r="A74" s="163" t="s">
        <v>565</v>
      </c>
      <c r="B74" s="144" t="s">
        <v>2463</v>
      </c>
      <c r="C74" s="164" t="s">
        <v>2635</v>
      </c>
      <c r="D74" s="144" t="s">
        <v>1406</v>
      </c>
      <c r="E74" s="150" t="s">
        <v>2636</v>
      </c>
      <c r="F74" s="144" t="s">
        <v>2482</v>
      </c>
      <c r="G74" s="166"/>
      <c r="H74" s="151">
        <v>4</v>
      </c>
      <c r="I74" s="160"/>
      <c r="J74" s="159">
        <v>187.5</v>
      </c>
      <c r="K74" s="161"/>
      <c r="L74" s="159">
        <v>750</v>
      </c>
      <c r="M74" s="160">
        <v>750</v>
      </c>
      <c r="N74" s="145">
        <v>12000</v>
      </c>
      <c r="O74" s="156" t="s">
        <v>135</v>
      </c>
      <c r="P74" s="144" t="s">
        <v>2468</v>
      </c>
      <c r="Q74" s="147"/>
      <c r="R74" s="146"/>
      <c r="S74" s="157"/>
      <c r="T74" s="144" t="s">
        <v>29</v>
      </c>
      <c r="U74" s="150" t="s">
        <v>18</v>
      </c>
      <c r="V74" s="146">
        <v>1480</v>
      </c>
      <c r="W74" s="148"/>
      <c r="X74" s="149">
        <v>45689</v>
      </c>
      <c r="Y74" s="165" t="s">
        <v>2637</v>
      </c>
    </row>
    <row r="75" spans="1:25">
      <c r="A75" s="163" t="s">
        <v>565</v>
      </c>
      <c r="B75" s="144" t="s">
        <v>2463</v>
      </c>
      <c r="C75" s="164" t="s">
        <v>2638</v>
      </c>
      <c r="D75" s="144" t="s">
        <v>1406</v>
      </c>
      <c r="E75" s="150" t="s">
        <v>2636</v>
      </c>
      <c r="F75" s="144" t="s">
        <v>2482</v>
      </c>
      <c r="G75" s="166"/>
      <c r="H75" s="151">
        <v>4</v>
      </c>
      <c r="I75" s="160"/>
      <c r="J75" s="159">
        <v>187.5</v>
      </c>
      <c r="K75" s="161"/>
      <c r="L75" s="159">
        <v>750</v>
      </c>
      <c r="M75" s="160">
        <v>750</v>
      </c>
      <c r="N75" s="145">
        <v>12000</v>
      </c>
      <c r="O75" s="156" t="s">
        <v>135</v>
      </c>
      <c r="P75" s="144" t="s">
        <v>2468</v>
      </c>
      <c r="Q75" s="147"/>
      <c r="R75" s="146"/>
      <c r="S75" s="157"/>
      <c r="T75" s="144" t="s">
        <v>29</v>
      </c>
      <c r="U75" s="150" t="s">
        <v>18</v>
      </c>
      <c r="V75" s="146">
        <v>1482</v>
      </c>
      <c r="W75" s="148"/>
      <c r="X75" s="149">
        <v>45689</v>
      </c>
      <c r="Y75" s="165" t="s">
        <v>2637</v>
      </c>
    </row>
    <row r="76" spans="1:25">
      <c r="A76" s="163" t="s">
        <v>7</v>
      </c>
      <c r="B76" s="144" t="s">
        <v>163</v>
      </c>
      <c r="C76" s="164" t="s">
        <v>1568</v>
      </c>
      <c r="D76" s="144" t="s">
        <v>1300</v>
      </c>
      <c r="E76" s="150" t="s">
        <v>2639</v>
      </c>
      <c r="F76" s="144" t="s">
        <v>2640</v>
      </c>
      <c r="G76" s="166" t="s">
        <v>2641</v>
      </c>
      <c r="H76" s="151">
        <v>1</v>
      </c>
      <c r="I76" s="160">
        <v>0</v>
      </c>
      <c r="J76" s="159">
        <v>660</v>
      </c>
      <c r="K76" s="161">
        <v>0</v>
      </c>
      <c r="L76" s="159">
        <v>660</v>
      </c>
      <c r="M76" s="160">
        <v>660</v>
      </c>
      <c r="N76" s="145"/>
      <c r="O76" s="156" t="s">
        <v>166</v>
      </c>
      <c r="P76" s="144" t="s">
        <v>2468</v>
      </c>
      <c r="Q76" s="147"/>
      <c r="R76" s="146">
        <v>2033</v>
      </c>
      <c r="S76" s="157"/>
      <c r="T76" s="144" t="s">
        <v>25</v>
      </c>
      <c r="U76" s="150" t="s">
        <v>12</v>
      </c>
      <c r="V76" s="146">
        <v>1014</v>
      </c>
      <c r="W76" s="148"/>
      <c r="X76" s="149">
        <v>45689</v>
      </c>
      <c r="Y76" s="165" t="s">
        <v>2558</v>
      </c>
    </row>
    <row r="77" spans="1:25">
      <c r="A77" s="163" t="s">
        <v>7</v>
      </c>
      <c r="B77" s="144" t="s">
        <v>163</v>
      </c>
      <c r="C77" s="164" t="s">
        <v>1568</v>
      </c>
      <c r="D77" s="144" t="s">
        <v>1300</v>
      </c>
      <c r="E77" s="150" t="s">
        <v>2639</v>
      </c>
      <c r="F77" s="144" t="s">
        <v>2640</v>
      </c>
      <c r="G77" s="166" t="s">
        <v>2642</v>
      </c>
      <c r="H77" s="151">
        <v>1</v>
      </c>
      <c r="I77" s="160">
        <v>0</v>
      </c>
      <c r="J77" s="159">
        <v>685</v>
      </c>
      <c r="K77" s="161">
        <v>0</v>
      </c>
      <c r="L77" s="159">
        <v>685</v>
      </c>
      <c r="M77" s="160">
        <v>685</v>
      </c>
      <c r="N77" s="145"/>
      <c r="O77" s="156" t="s">
        <v>166</v>
      </c>
      <c r="P77" s="144" t="s">
        <v>2468</v>
      </c>
      <c r="Q77" s="147"/>
      <c r="R77" s="146">
        <v>2033</v>
      </c>
      <c r="S77" s="157"/>
      <c r="T77" s="144" t="s">
        <v>25</v>
      </c>
      <c r="U77" s="150" t="s">
        <v>12</v>
      </c>
      <c r="V77" s="146">
        <v>1014</v>
      </c>
      <c r="W77" s="148"/>
      <c r="X77" s="149">
        <v>45689</v>
      </c>
      <c r="Y77" s="165" t="s">
        <v>2558</v>
      </c>
    </row>
    <row r="78" spans="1:25">
      <c r="A78" s="163" t="s">
        <v>7</v>
      </c>
      <c r="B78" s="144" t="s">
        <v>163</v>
      </c>
      <c r="C78" s="164" t="s">
        <v>1568</v>
      </c>
      <c r="D78" s="144" t="s">
        <v>1300</v>
      </c>
      <c r="E78" s="150" t="s">
        <v>2639</v>
      </c>
      <c r="F78" s="144" t="s">
        <v>2640</v>
      </c>
      <c r="G78" s="166" t="s">
        <v>2643</v>
      </c>
      <c r="H78" s="151">
        <v>1</v>
      </c>
      <c r="I78" s="160">
        <v>0</v>
      </c>
      <c r="J78" s="159">
        <v>685</v>
      </c>
      <c r="K78" s="161">
        <v>0</v>
      </c>
      <c r="L78" s="159">
        <v>685</v>
      </c>
      <c r="M78" s="160">
        <v>685</v>
      </c>
      <c r="N78" s="145"/>
      <c r="O78" s="156" t="s">
        <v>166</v>
      </c>
      <c r="P78" s="144" t="s">
        <v>2468</v>
      </c>
      <c r="Q78" s="147"/>
      <c r="R78" s="146">
        <v>2033</v>
      </c>
      <c r="S78" s="157"/>
      <c r="T78" s="144" t="s">
        <v>25</v>
      </c>
      <c r="U78" s="150" t="s">
        <v>12</v>
      </c>
      <c r="V78" s="146">
        <v>1014</v>
      </c>
      <c r="W78" s="148"/>
      <c r="X78" s="149">
        <v>45689</v>
      </c>
      <c r="Y78" s="165" t="s">
        <v>2558</v>
      </c>
    </row>
    <row r="79" spans="1:25">
      <c r="A79" s="163" t="s">
        <v>7</v>
      </c>
      <c r="B79" s="144" t="s">
        <v>163</v>
      </c>
      <c r="C79" s="164" t="s">
        <v>1568</v>
      </c>
      <c r="D79" s="144" t="s">
        <v>1300</v>
      </c>
      <c r="E79" s="150" t="s">
        <v>2639</v>
      </c>
      <c r="F79" s="144" t="s">
        <v>2640</v>
      </c>
      <c r="G79" s="166" t="s">
        <v>2644</v>
      </c>
      <c r="H79" s="151">
        <v>1</v>
      </c>
      <c r="I79" s="160">
        <v>0</v>
      </c>
      <c r="J79" s="159">
        <v>685</v>
      </c>
      <c r="K79" s="161">
        <v>0</v>
      </c>
      <c r="L79" s="159">
        <v>685</v>
      </c>
      <c r="M79" s="160">
        <v>685</v>
      </c>
      <c r="N79" s="145"/>
      <c r="O79" s="156" t="s">
        <v>166</v>
      </c>
      <c r="P79" s="144" t="s">
        <v>2468</v>
      </c>
      <c r="Q79" s="147"/>
      <c r="R79" s="146">
        <v>2033</v>
      </c>
      <c r="S79" s="157"/>
      <c r="T79" s="144" t="s">
        <v>25</v>
      </c>
      <c r="U79" s="150" t="s">
        <v>12</v>
      </c>
      <c r="V79" s="146">
        <v>1014</v>
      </c>
      <c r="W79" s="148"/>
      <c r="X79" s="149">
        <v>45689</v>
      </c>
      <c r="Y79" s="165" t="s">
        <v>2558</v>
      </c>
    </row>
    <row r="80" spans="1:25">
      <c r="A80" s="163" t="s">
        <v>309</v>
      </c>
      <c r="B80" s="144" t="s">
        <v>2463</v>
      </c>
      <c r="C80" s="164" t="s">
        <v>2645</v>
      </c>
      <c r="D80" s="144" t="s">
        <v>2646</v>
      </c>
      <c r="E80" s="150" t="s">
        <v>2466</v>
      </c>
      <c r="F80" s="144" t="s">
        <v>2467</v>
      </c>
      <c r="G80" s="166"/>
      <c r="H80" s="151">
        <v>154</v>
      </c>
      <c r="I80" s="160">
        <v>3.8</v>
      </c>
      <c r="J80" s="159">
        <v>3.8</v>
      </c>
      <c r="K80" s="161">
        <v>585.20000000000005</v>
      </c>
      <c r="L80" s="159">
        <v>585.20000000000005</v>
      </c>
      <c r="M80" s="160">
        <v>585.20000000000005</v>
      </c>
      <c r="N80" s="145">
        <v>800</v>
      </c>
      <c r="O80" s="156" t="s">
        <v>135</v>
      </c>
      <c r="P80" s="144" t="s">
        <v>2468</v>
      </c>
      <c r="Q80" s="147"/>
      <c r="R80" s="146"/>
      <c r="S80" s="157"/>
      <c r="T80" s="144" t="s">
        <v>29</v>
      </c>
      <c r="U80" s="150" t="s">
        <v>20</v>
      </c>
      <c r="V80" s="146">
        <v>2727</v>
      </c>
      <c r="W80" s="148" t="s">
        <v>2647</v>
      </c>
      <c r="X80" s="149">
        <v>45778</v>
      </c>
      <c r="Y80" s="165"/>
    </row>
    <row r="81" spans="1:25">
      <c r="A81" s="163" t="s">
        <v>309</v>
      </c>
      <c r="B81" s="144" t="s">
        <v>2463</v>
      </c>
      <c r="C81" s="164" t="s">
        <v>2648</v>
      </c>
      <c r="D81" s="144" t="s">
        <v>2646</v>
      </c>
      <c r="E81" s="150" t="s">
        <v>2476</v>
      </c>
      <c r="F81" s="144" t="s">
        <v>2477</v>
      </c>
      <c r="G81" s="166"/>
      <c r="H81" s="151">
        <v>120</v>
      </c>
      <c r="I81" s="160">
        <v>4.4000000000000004</v>
      </c>
      <c r="J81" s="159">
        <v>4.4000000000000004</v>
      </c>
      <c r="K81" s="161">
        <v>528</v>
      </c>
      <c r="L81" s="159">
        <v>528</v>
      </c>
      <c r="M81" s="160">
        <v>528</v>
      </c>
      <c r="N81" s="145"/>
      <c r="O81" s="156" t="s">
        <v>135</v>
      </c>
      <c r="P81" s="144" t="s">
        <v>2478</v>
      </c>
      <c r="Q81" s="147"/>
      <c r="R81" s="146"/>
      <c r="S81" s="157"/>
      <c r="T81" s="144" t="s">
        <v>29</v>
      </c>
      <c r="U81" s="150" t="s">
        <v>2479</v>
      </c>
      <c r="V81" s="146">
        <v>2726</v>
      </c>
      <c r="W81" s="148" t="s">
        <v>2647</v>
      </c>
      <c r="X81" s="149">
        <v>45778</v>
      </c>
      <c r="Y81" s="165"/>
    </row>
    <row r="82" spans="1:25">
      <c r="A82" s="163" t="s">
        <v>309</v>
      </c>
      <c r="B82" s="144" t="s">
        <v>2463</v>
      </c>
      <c r="C82" s="164" t="s">
        <v>2649</v>
      </c>
      <c r="D82" s="144" t="s">
        <v>1871</v>
      </c>
      <c r="E82" s="150" t="s">
        <v>2491</v>
      </c>
      <c r="F82" s="144" t="s">
        <v>2477</v>
      </c>
      <c r="G82" s="166"/>
      <c r="H82" s="151">
        <v>1</v>
      </c>
      <c r="I82" s="160">
        <v>200</v>
      </c>
      <c r="J82" s="159">
        <v>200</v>
      </c>
      <c r="K82" s="161">
        <v>200</v>
      </c>
      <c r="L82" s="159">
        <v>200</v>
      </c>
      <c r="M82" s="160">
        <v>200</v>
      </c>
      <c r="N82" s="145"/>
      <c r="O82" s="156" t="s">
        <v>135</v>
      </c>
      <c r="P82" s="144" t="s">
        <v>2478</v>
      </c>
      <c r="Q82" s="147"/>
      <c r="R82" s="146"/>
      <c r="S82" s="157"/>
      <c r="T82" s="144" t="s">
        <v>29</v>
      </c>
      <c r="U82" s="150" t="s">
        <v>2479</v>
      </c>
      <c r="V82" s="146">
        <v>1550</v>
      </c>
      <c r="W82" s="148"/>
      <c r="X82" s="149">
        <v>45689</v>
      </c>
      <c r="Y82" s="165" t="s">
        <v>2558</v>
      </c>
    </row>
    <row r="83" spans="1:25">
      <c r="A83" s="163" t="s">
        <v>7</v>
      </c>
      <c r="B83" s="144" t="s">
        <v>2463</v>
      </c>
      <c r="C83" s="164" t="s">
        <v>491</v>
      </c>
      <c r="D83" s="144" t="s">
        <v>2650</v>
      </c>
      <c r="E83" s="150" t="s">
        <v>2476</v>
      </c>
      <c r="F83" s="144" t="s">
        <v>2477</v>
      </c>
      <c r="G83" s="166"/>
      <c r="H83" s="151">
        <v>49</v>
      </c>
      <c r="I83" s="160">
        <v>3.39</v>
      </c>
      <c r="J83" s="159">
        <v>3.39</v>
      </c>
      <c r="K83" s="161">
        <v>166.11</v>
      </c>
      <c r="L83" s="159">
        <v>166.11</v>
      </c>
      <c r="M83" s="160">
        <v>166.11</v>
      </c>
      <c r="N83" s="145"/>
      <c r="O83" s="156" t="s">
        <v>135</v>
      </c>
      <c r="P83" s="144" t="s">
        <v>2478</v>
      </c>
      <c r="Q83" s="147"/>
      <c r="R83" s="146"/>
      <c r="S83" s="157"/>
      <c r="T83" s="144" t="s">
        <v>29</v>
      </c>
      <c r="U83" s="150" t="s">
        <v>2479</v>
      </c>
      <c r="V83" s="146">
        <v>2210</v>
      </c>
      <c r="W83" s="148" t="s">
        <v>2651</v>
      </c>
      <c r="X83" s="149">
        <v>45689</v>
      </c>
      <c r="Y83" s="165" t="s">
        <v>2652</v>
      </c>
    </row>
    <row r="84" spans="1:25">
      <c r="A84" s="163" t="s">
        <v>7</v>
      </c>
      <c r="B84" s="144" t="s">
        <v>2463</v>
      </c>
      <c r="C84" s="164" t="s">
        <v>491</v>
      </c>
      <c r="D84" s="144" t="s">
        <v>2650</v>
      </c>
      <c r="E84" s="150" t="s">
        <v>2466</v>
      </c>
      <c r="F84" s="144" t="s">
        <v>2467</v>
      </c>
      <c r="G84" s="166"/>
      <c r="H84" s="151">
        <v>1</v>
      </c>
      <c r="I84" s="160">
        <v>408</v>
      </c>
      <c r="J84" s="159">
        <v>408</v>
      </c>
      <c r="K84" s="161">
        <v>408</v>
      </c>
      <c r="L84" s="159">
        <v>408</v>
      </c>
      <c r="M84" s="160">
        <v>408</v>
      </c>
      <c r="N84" s="145">
        <v>816</v>
      </c>
      <c r="O84" s="156" t="s">
        <v>135</v>
      </c>
      <c r="P84" s="144" t="s">
        <v>2468</v>
      </c>
      <c r="Q84" s="147"/>
      <c r="R84" s="146"/>
      <c r="S84" s="157"/>
      <c r="T84" s="144" t="s">
        <v>29</v>
      </c>
      <c r="U84" s="150" t="s">
        <v>20</v>
      </c>
      <c r="V84" s="146">
        <v>2210</v>
      </c>
      <c r="W84" s="148" t="s">
        <v>2651</v>
      </c>
      <c r="X84" s="149">
        <v>45689</v>
      </c>
      <c r="Y84" s="165" t="s">
        <v>2652</v>
      </c>
    </row>
    <row r="85" spans="1:25">
      <c r="A85" s="163" t="s">
        <v>565</v>
      </c>
      <c r="B85" s="144" t="s">
        <v>2463</v>
      </c>
      <c r="C85" s="164" t="s">
        <v>2653</v>
      </c>
      <c r="D85" s="144" t="s">
        <v>2654</v>
      </c>
      <c r="E85" s="150" t="s">
        <v>2466</v>
      </c>
      <c r="F85" s="144" t="s">
        <v>2467</v>
      </c>
      <c r="G85" s="166"/>
      <c r="H85" s="151">
        <v>1</v>
      </c>
      <c r="I85" s="160">
        <v>100</v>
      </c>
      <c r="J85" s="159">
        <v>100</v>
      </c>
      <c r="K85" s="161">
        <v>100</v>
      </c>
      <c r="L85" s="159">
        <v>100</v>
      </c>
      <c r="M85" s="160">
        <v>100</v>
      </c>
      <c r="N85" s="145">
        <v>200</v>
      </c>
      <c r="O85" s="156" t="s">
        <v>135</v>
      </c>
      <c r="P85" s="144" t="s">
        <v>2468</v>
      </c>
      <c r="Q85" s="147"/>
      <c r="R85" s="146"/>
      <c r="S85" s="157"/>
      <c r="T85" s="144" t="s">
        <v>29</v>
      </c>
      <c r="U85" s="150" t="s">
        <v>20</v>
      </c>
      <c r="V85" s="146">
        <v>3018</v>
      </c>
      <c r="W85" s="148"/>
      <c r="X85" s="149">
        <v>45778</v>
      </c>
      <c r="Y85" s="165"/>
    </row>
    <row r="86" spans="1:25">
      <c r="A86" s="163" t="s">
        <v>565</v>
      </c>
      <c r="B86" s="144" t="s">
        <v>163</v>
      </c>
      <c r="C86" s="164" t="s">
        <v>2655</v>
      </c>
      <c r="D86" s="144" t="s">
        <v>1546</v>
      </c>
      <c r="E86" s="150" t="s">
        <v>2555</v>
      </c>
      <c r="F86" s="144" t="s">
        <v>2556</v>
      </c>
      <c r="G86" s="166" t="s">
        <v>2656</v>
      </c>
      <c r="H86" s="151">
        <v>1</v>
      </c>
      <c r="I86" s="160"/>
      <c r="J86" s="159">
        <v>40</v>
      </c>
      <c r="K86" s="161"/>
      <c r="L86" s="159">
        <v>40</v>
      </c>
      <c r="M86" s="160">
        <v>40</v>
      </c>
      <c r="N86" s="145"/>
      <c r="O86" s="156" t="s">
        <v>166</v>
      </c>
      <c r="P86" s="144" t="s">
        <v>2468</v>
      </c>
      <c r="Q86" s="147"/>
      <c r="R86" s="146">
        <v>2040</v>
      </c>
      <c r="S86" s="157"/>
      <c r="T86" s="144" t="s">
        <v>25</v>
      </c>
      <c r="U86" s="150" t="s">
        <v>14</v>
      </c>
      <c r="V86" s="146">
        <v>1015</v>
      </c>
      <c r="W86" s="148"/>
      <c r="X86" s="149">
        <v>45689</v>
      </c>
      <c r="Y86" s="165" t="s">
        <v>2541</v>
      </c>
    </row>
    <row r="87" spans="1:25">
      <c r="A87" s="163" t="s">
        <v>565</v>
      </c>
      <c r="B87" s="144" t="s">
        <v>163</v>
      </c>
      <c r="C87" s="164" t="s">
        <v>2655</v>
      </c>
      <c r="D87" s="144" t="s">
        <v>1546</v>
      </c>
      <c r="E87" s="150" t="s">
        <v>2555</v>
      </c>
      <c r="F87" s="144" t="s">
        <v>2556</v>
      </c>
      <c r="G87" s="166" t="s">
        <v>2657</v>
      </c>
      <c r="H87" s="151">
        <v>1</v>
      </c>
      <c r="I87" s="160"/>
      <c r="J87" s="159">
        <v>40</v>
      </c>
      <c r="K87" s="161"/>
      <c r="L87" s="159">
        <v>40</v>
      </c>
      <c r="M87" s="160">
        <v>40</v>
      </c>
      <c r="N87" s="145"/>
      <c r="O87" s="156" t="s">
        <v>166</v>
      </c>
      <c r="P87" s="144" t="s">
        <v>2468</v>
      </c>
      <c r="Q87" s="147"/>
      <c r="R87" s="146">
        <v>2040</v>
      </c>
      <c r="S87" s="157"/>
      <c r="T87" s="144" t="s">
        <v>25</v>
      </c>
      <c r="U87" s="150" t="s">
        <v>14</v>
      </c>
      <c r="V87" s="146">
        <v>1015</v>
      </c>
      <c r="W87" s="148"/>
      <c r="X87" s="149">
        <v>45689</v>
      </c>
      <c r="Y87" s="165" t="s">
        <v>2541</v>
      </c>
    </row>
    <row r="88" spans="1:25">
      <c r="A88" s="163" t="s">
        <v>565</v>
      </c>
      <c r="B88" s="144" t="s">
        <v>163</v>
      </c>
      <c r="C88" s="164" t="s">
        <v>2655</v>
      </c>
      <c r="D88" s="144" t="s">
        <v>1546</v>
      </c>
      <c r="E88" s="150" t="s">
        <v>2555</v>
      </c>
      <c r="F88" s="144" t="s">
        <v>2556</v>
      </c>
      <c r="G88" s="166" t="s">
        <v>2658</v>
      </c>
      <c r="H88" s="151">
        <v>1</v>
      </c>
      <c r="I88" s="160"/>
      <c r="J88" s="159">
        <v>40</v>
      </c>
      <c r="K88" s="161"/>
      <c r="L88" s="159">
        <v>40</v>
      </c>
      <c r="M88" s="160">
        <v>40</v>
      </c>
      <c r="N88" s="145"/>
      <c r="O88" s="156" t="s">
        <v>166</v>
      </c>
      <c r="P88" s="144" t="s">
        <v>2468</v>
      </c>
      <c r="Q88" s="147"/>
      <c r="R88" s="146">
        <v>2040</v>
      </c>
      <c r="S88" s="157"/>
      <c r="T88" s="144" t="s">
        <v>25</v>
      </c>
      <c r="U88" s="150" t="s">
        <v>14</v>
      </c>
      <c r="V88" s="146">
        <v>1015</v>
      </c>
      <c r="W88" s="148"/>
      <c r="X88" s="149">
        <v>45689</v>
      </c>
      <c r="Y88" s="165" t="s">
        <v>2541</v>
      </c>
    </row>
    <row r="89" spans="1:25">
      <c r="A89" s="163" t="s">
        <v>7</v>
      </c>
      <c r="B89" s="144" t="s">
        <v>2463</v>
      </c>
      <c r="C89" s="164" t="s">
        <v>268</v>
      </c>
      <c r="D89" s="144" t="s">
        <v>269</v>
      </c>
      <c r="E89" s="150" t="s">
        <v>2466</v>
      </c>
      <c r="F89" s="144" t="s">
        <v>2467</v>
      </c>
      <c r="G89" s="166"/>
      <c r="H89" s="151">
        <v>1</v>
      </c>
      <c r="I89" s="160"/>
      <c r="J89" s="159">
        <v>408</v>
      </c>
      <c r="K89" s="161"/>
      <c r="L89" s="159">
        <v>408</v>
      </c>
      <c r="M89" s="160">
        <v>408</v>
      </c>
      <c r="N89" s="145">
        <v>816</v>
      </c>
      <c r="O89" s="156" t="s">
        <v>28</v>
      </c>
      <c r="P89" s="144" t="s">
        <v>2468</v>
      </c>
      <c r="Q89" s="147">
        <v>46569</v>
      </c>
      <c r="R89" s="146">
        <v>2047</v>
      </c>
      <c r="S89" s="157"/>
      <c r="T89" s="144" t="s">
        <v>28</v>
      </c>
      <c r="U89" s="150" t="s">
        <v>20</v>
      </c>
      <c r="V89" s="146">
        <v>1580</v>
      </c>
      <c r="W89" s="148" t="s">
        <v>2659</v>
      </c>
      <c r="X89" s="149">
        <v>45901</v>
      </c>
      <c r="Y89" s="165" t="s">
        <v>2660</v>
      </c>
    </row>
    <row r="90" spans="1:25">
      <c r="A90" s="163" t="s">
        <v>565</v>
      </c>
      <c r="B90" s="144" t="s">
        <v>2463</v>
      </c>
      <c r="C90" s="164" t="s">
        <v>2661</v>
      </c>
      <c r="D90" s="144" t="s">
        <v>2662</v>
      </c>
      <c r="E90" s="150" t="s">
        <v>2485</v>
      </c>
      <c r="F90" s="144" t="s">
        <v>2486</v>
      </c>
      <c r="G90" s="166"/>
      <c r="H90" s="151">
        <v>28</v>
      </c>
      <c r="I90" s="160">
        <v>8</v>
      </c>
      <c r="J90" s="159">
        <v>8</v>
      </c>
      <c r="K90" s="161">
        <v>224</v>
      </c>
      <c r="L90" s="159">
        <v>224</v>
      </c>
      <c r="M90" s="160">
        <v>224</v>
      </c>
      <c r="N90" s="145"/>
      <c r="O90" s="156" t="s">
        <v>135</v>
      </c>
      <c r="P90" s="144" t="s">
        <v>2478</v>
      </c>
      <c r="Q90" s="147">
        <v>47362</v>
      </c>
      <c r="R90" s="146"/>
      <c r="S90" s="157"/>
      <c r="T90" s="144" t="s">
        <v>29</v>
      </c>
      <c r="U90" s="150" t="s">
        <v>17</v>
      </c>
      <c r="V90" s="146">
        <v>2408</v>
      </c>
      <c r="W90" s="148" t="s">
        <v>2663</v>
      </c>
      <c r="X90" s="149">
        <v>45689</v>
      </c>
      <c r="Y90" s="165" t="s">
        <v>2500</v>
      </c>
    </row>
    <row r="91" spans="1:25">
      <c r="A91" s="163" t="s">
        <v>7</v>
      </c>
      <c r="B91" s="144" t="s">
        <v>2463</v>
      </c>
      <c r="C91" s="164" t="s">
        <v>2664</v>
      </c>
      <c r="D91" s="144" t="s">
        <v>592</v>
      </c>
      <c r="E91" s="150" t="s">
        <v>2466</v>
      </c>
      <c r="F91" s="144" t="s">
        <v>2467</v>
      </c>
      <c r="G91" s="166"/>
      <c r="H91" s="151">
        <v>1</v>
      </c>
      <c r="I91" s="160"/>
      <c r="J91" s="159">
        <v>200</v>
      </c>
      <c r="K91" s="161"/>
      <c r="L91" s="159">
        <v>200</v>
      </c>
      <c r="M91" s="160">
        <v>200</v>
      </c>
      <c r="N91" s="145">
        <v>800</v>
      </c>
      <c r="O91" s="156" t="s">
        <v>135</v>
      </c>
      <c r="P91" s="144" t="s">
        <v>2468</v>
      </c>
      <c r="Q91" s="147"/>
      <c r="R91" s="146"/>
      <c r="S91" s="157"/>
      <c r="T91" s="144" t="s">
        <v>29</v>
      </c>
      <c r="U91" s="150" t="s">
        <v>20</v>
      </c>
      <c r="V91" s="146">
        <v>2511</v>
      </c>
      <c r="W91" s="148"/>
      <c r="X91" s="149">
        <v>45689</v>
      </c>
      <c r="Y91" s="165" t="s">
        <v>2474</v>
      </c>
    </row>
    <row r="92" spans="1:25">
      <c r="A92" s="163" t="s">
        <v>7</v>
      </c>
      <c r="B92" s="144" t="s">
        <v>2463</v>
      </c>
      <c r="C92" s="164" t="s">
        <v>2665</v>
      </c>
      <c r="D92" s="144" t="s">
        <v>2666</v>
      </c>
      <c r="E92" s="150" t="s">
        <v>2491</v>
      </c>
      <c r="F92" s="144" t="s">
        <v>2477</v>
      </c>
      <c r="G92" s="166"/>
      <c r="H92" s="151">
        <v>1</v>
      </c>
      <c r="I92" s="160">
        <v>200</v>
      </c>
      <c r="J92" s="159">
        <v>200</v>
      </c>
      <c r="K92" s="161">
        <v>200</v>
      </c>
      <c r="L92" s="159">
        <v>200</v>
      </c>
      <c r="M92" s="160">
        <v>200</v>
      </c>
      <c r="N92" s="145"/>
      <c r="O92" s="156" t="s">
        <v>135</v>
      </c>
      <c r="P92" s="144" t="s">
        <v>2478</v>
      </c>
      <c r="Q92" s="147"/>
      <c r="R92" s="146"/>
      <c r="S92" s="157"/>
      <c r="T92" s="144" t="s">
        <v>29</v>
      </c>
      <c r="U92" s="150" t="s">
        <v>2479</v>
      </c>
      <c r="V92" s="146">
        <v>2372</v>
      </c>
      <c r="W92" s="148" t="s">
        <v>2667</v>
      </c>
      <c r="X92" s="149">
        <v>45901</v>
      </c>
      <c r="Y92" s="165" t="s">
        <v>2668</v>
      </c>
    </row>
    <row r="93" spans="1:25">
      <c r="A93" s="163" t="s">
        <v>7</v>
      </c>
      <c r="B93" s="144" t="s">
        <v>2463</v>
      </c>
      <c r="C93" s="164" t="s">
        <v>2665</v>
      </c>
      <c r="D93" s="144" t="s">
        <v>2666</v>
      </c>
      <c r="E93" s="150" t="s">
        <v>2466</v>
      </c>
      <c r="F93" s="144" t="s">
        <v>2477</v>
      </c>
      <c r="G93" s="166"/>
      <c r="H93" s="151">
        <v>1</v>
      </c>
      <c r="I93" s="160">
        <v>150</v>
      </c>
      <c r="J93" s="159">
        <v>150</v>
      </c>
      <c r="K93" s="161">
        <v>150</v>
      </c>
      <c r="L93" s="159">
        <v>150</v>
      </c>
      <c r="M93" s="160">
        <v>150</v>
      </c>
      <c r="N93" s="145">
        <v>300</v>
      </c>
      <c r="O93" s="156" t="s">
        <v>135</v>
      </c>
      <c r="P93" s="144" t="s">
        <v>2468</v>
      </c>
      <c r="Q93" s="147"/>
      <c r="R93" s="146"/>
      <c r="S93" s="157"/>
      <c r="T93" s="144" t="s">
        <v>29</v>
      </c>
      <c r="U93" s="150" t="s">
        <v>20</v>
      </c>
      <c r="V93" s="146">
        <v>2372</v>
      </c>
      <c r="W93" s="148" t="s">
        <v>2667</v>
      </c>
      <c r="X93" s="149">
        <v>45901</v>
      </c>
      <c r="Y93" s="165" t="s">
        <v>2668</v>
      </c>
    </row>
    <row r="94" spans="1:25">
      <c r="A94" s="163" t="s">
        <v>7</v>
      </c>
      <c r="B94" s="144" t="s">
        <v>2463</v>
      </c>
      <c r="C94" s="164" t="s">
        <v>2669</v>
      </c>
      <c r="D94" s="144" t="s">
        <v>2666</v>
      </c>
      <c r="E94" s="150" t="s">
        <v>2485</v>
      </c>
      <c r="F94" s="144" t="s">
        <v>2486</v>
      </c>
      <c r="G94" s="166"/>
      <c r="H94" s="151">
        <v>1</v>
      </c>
      <c r="I94" s="160">
        <v>380</v>
      </c>
      <c r="J94" s="159">
        <v>380</v>
      </c>
      <c r="K94" s="161">
        <v>380</v>
      </c>
      <c r="L94" s="159">
        <v>380</v>
      </c>
      <c r="M94" s="160">
        <v>380</v>
      </c>
      <c r="N94" s="145"/>
      <c r="O94" s="156" t="s">
        <v>135</v>
      </c>
      <c r="P94" s="144" t="s">
        <v>2478</v>
      </c>
      <c r="Q94" s="147"/>
      <c r="R94" s="146"/>
      <c r="S94" s="157"/>
      <c r="T94" s="144" t="s">
        <v>29</v>
      </c>
      <c r="U94" s="150" t="s">
        <v>17</v>
      </c>
      <c r="V94" s="146">
        <v>2373</v>
      </c>
      <c r="W94" s="148" t="s">
        <v>2667</v>
      </c>
      <c r="X94" s="149">
        <v>45901</v>
      </c>
      <c r="Y94" s="165" t="s">
        <v>2668</v>
      </c>
    </row>
    <row r="95" spans="1:25">
      <c r="A95" s="163" t="s">
        <v>423</v>
      </c>
      <c r="B95" s="144" t="s">
        <v>2463</v>
      </c>
      <c r="C95" s="164" t="s">
        <v>581</v>
      </c>
      <c r="D95" s="144" t="s">
        <v>582</v>
      </c>
      <c r="E95" s="150" t="s">
        <v>2466</v>
      </c>
      <c r="F95" s="144" t="s">
        <v>2467</v>
      </c>
      <c r="G95" s="166"/>
      <c r="H95" s="151">
        <v>1</v>
      </c>
      <c r="I95" s="160">
        <v>100</v>
      </c>
      <c r="J95" s="159">
        <v>100</v>
      </c>
      <c r="K95" s="161">
        <v>100</v>
      </c>
      <c r="L95" s="159">
        <v>100</v>
      </c>
      <c r="M95" s="160">
        <v>100</v>
      </c>
      <c r="N95" s="145">
        <v>223</v>
      </c>
      <c r="O95" s="156" t="s">
        <v>28</v>
      </c>
      <c r="P95" s="144" t="s">
        <v>2468</v>
      </c>
      <c r="Q95" s="147">
        <v>46539</v>
      </c>
      <c r="R95" s="146">
        <v>2047</v>
      </c>
      <c r="S95" s="157"/>
      <c r="T95" s="144" t="s">
        <v>28</v>
      </c>
      <c r="U95" s="150" t="s">
        <v>20</v>
      </c>
      <c r="V95" s="146">
        <v>1956</v>
      </c>
      <c r="W95" s="148" t="s">
        <v>2670</v>
      </c>
      <c r="X95" s="149">
        <v>45901</v>
      </c>
      <c r="Y95" s="165" t="s">
        <v>2671</v>
      </c>
    </row>
    <row r="96" spans="1:25">
      <c r="A96" s="163" t="s">
        <v>7</v>
      </c>
      <c r="B96" s="144" t="s">
        <v>2463</v>
      </c>
      <c r="C96" s="164" t="s">
        <v>2672</v>
      </c>
      <c r="D96" s="144" t="s">
        <v>2549</v>
      </c>
      <c r="E96" s="150" t="s">
        <v>2466</v>
      </c>
      <c r="F96" s="144" t="s">
        <v>2467</v>
      </c>
      <c r="G96" s="166"/>
      <c r="H96" s="151">
        <v>1</v>
      </c>
      <c r="I96" s="160">
        <v>225.6</v>
      </c>
      <c r="J96" s="159">
        <v>225.6</v>
      </c>
      <c r="K96" s="161">
        <v>225.6</v>
      </c>
      <c r="L96" s="159">
        <v>225.6</v>
      </c>
      <c r="M96" s="160">
        <v>225.6</v>
      </c>
      <c r="N96" s="145">
        <v>340</v>
      </c>
      <c r="O96" s="156" t="s">
        <v>135</v>
      </c>
      <c r="P96" s="144" t="s">
        <v>2468</v>
      </c>
      <c r="Q96" s="147"/>
      <c r="R96" s="146"/>
      <c r="S96" s="157"/>
      <c r="T96" s="144" t="s">
        <v>29</v>
      </c>
      <c r="U96" s="150" t="s">
        <v>20</v>
      </c>
      <c r="V96" s="146">
        <v>2973</v>
      </c>
      <c r="W96" s="148"/>
      <c r="X96" s="149"/>
      <c r="Y96" s="165" t="s">
        <v>2470</v>
      </c>
    </row>
    <row r="97" spans="1:25">
      <c r="A97" s="163" t="s">
        <v>423</v>
      </c>
      <c r="B97" s="144" t="s">
        <v>2463</v>
      </c>
      <c r="C97" s="164" t="s">
        <v>2673</v>
      </c>
      <c r="D97" s="144" t="s">
        <v>1282</v>
      </c>
      <c r="E97" s="150" t="s">
        <v>2466</v>
      </c>
      <c r="F97" s="144" t="s">
        <v>2467</v>
      </c>
      <c r="G97" s="166"/>
      <c r="H97" s="151">
        <v>1</v>
      </c>
      <c r="I97" s="160">
        <v>60</v>
      </c>
      <c r="J97" s="159">
        <v>60</v>
      </c>
      <c r="K97" s="161">
        <v>60</v>
      </c>
      <c r="L97" s="159">
        <v>60</v>
      </c>
      <c r="M97" s="160">
        <v>60</v>
      </c>
      <c r="N97" s="145">
        <v>120</v>
      </c>
      <c r="O97" s="156" t="s">
        <v>135</v>
      </c>
      <c r="P97" s="144" t="s">
        <v>2468</v>
      </c>
      <c r="Q97" s="147"/>
      <c r="R97" s="146"/>
      <c r="S97" s="157"/>
      <c r="T97" s="144" t="s">
        <v>29</v>
      </c>
      <c r="U97" s="150" t="s">
        <v>20</v>
      </c>
      <c r="V97" s="146">
        <v>2393</v>
      </c>
      <c r="W97" s="148" t="s">
        <v>2674</v>
      </c>
      <c r="X97" s="149">
        <v>45689</v>
      </c>
      <c r="Y97" s="165" t="s">
        <v>2675</v>
      </c>
    </row>
    <row r="98" spans="1:25">
      <c r="A98" s="163" t="s">
        <v>423</v>
      </c>
      <c r="B98" s="144" t="s">
        <v>163</v>
      </c>
      <c r="C98" s="164" t="s">
        <v>1334</v>
      </c>
      <c r="D98" s="144" t="s">
        <v>1284</v>
      </c>
      <c r="E98" s="150" t="s">
        <v>2485</v>
      </c>
      <c r="F98" s="144" t="s">
        <v>2486</v>
      </c>
      <c r="G98" s="166" t="s">
        <v>1634</v>
      </c>
      <c r="H98" s="151">
        <v>43</v>
      </c>
      <c r="I98" s="160">
        <v>4.2</v>
      </c>
      <c r="J98" s="159">
        <v>4.2</v>
      </c>
      <c r="K98" s="161">
        <v>180.6</v>
      </c>
      <c r="L98" s="159">
        <v>180.6</v>
      </c>
      <c r="M98" s="160">
        <v>180.6</v>
      </c>
      <c r="N98" s="145"/>
      <c r="O98" s="156" t="s">
        <v>166</v>
      </c>
      <c r="P98" s="144" t="s">
        <v>2478</v>
      </c>
      <c r="Q98" s="147">
        <v>44287</v>
      </c>
      <c r="R98" s="146">
        <v>2050</v>
      </c>
      <c r="S98" s="157"/>
      <c r="T98" s="144" t="s">
        <v>25</v>
      </c>
      <c r="U98" s="150" t="s">
        <v>17</v>
      </c>
      <c r="V98" s="146">
        <v>1018</v>
      </c>
      <c r="W98" s="148"/>
      <c r="X98" s="149">
        <v>45689</v>
      </c>
      <c r="Y98" s="165" t="s">
        <v>2474</v>
      </c>
    </row>
    <row r="99" spans="1:25">
      <c r="A99" s="163" t="s">
        <v>423</v>
      </c>
      <c r="B99" s="144" t="s">
        <v>163</v>
      </c>
      <c r="C99" s="164" t="s">
        <v>1334</v>
      </c>
      <c r="D99" s="144" t="s">
        <v>1284</v>
      </c>
      <c r="E99" s="150" t="s">
        <v>2485</v>
      </c>
      <c r="F99" s="144" t="s">
        <v>2486</v>
      </c>
      <c r="G99" s="166" t="s">
        <v>1335</v>
      </c>
      <c r="H99" s="151">
        <v>26</v>
      </c>
      <c r="I99" s="160">
        <v>4.2</v>
      </c>
      <c r="J99" s="159">
        <v>4.2</v>
      </c>
      <c r="K99" s="161">
        <v>109.2</v>
      </c>
      <c r="L99" s="159">
        <v>109.2</v>
      </c>
      <c r="M99" s="160">
        <v>109.2</v>
      </c>
      <c r="N99" s="145"/>
      <c r="O99" s="156" t="s">
        <v>166</v>
      </c>
      <c r="P99" s="144" t="s">
        <v>2478</v>
      </c>
      <c r="Q99" s="147">
        <v>44774</v>
      </c>
      <c r="R99" s="146">
        <v>2052</v>
      </c>
      <c r="S99" s="157"/>
      <c r="T99" s="144" t="s">
        <v>25</v>
      </c>
      <c r="U99" s="150" t="s">
        <v>17</v>
      </c>
      <c r="V99" s="146">
        <v>1018</v>
      </c>
      <c r="W99" s="148"/>
      <c r="X99" s="149">
        <v>45689</v>
      </c>
      <c r="Y99" s="165" t="s">
        <v>2474</v>
      </c>
    </row>
    <row r="100" spans="1:25">
      <c r="A100" s="163" t="s">
        <v>7</v>
      </c>
      <c r="B100" s="144" t="s">
        <v>2463</v>
      </c>
      <c r="C100" s="164" t="s">
        <v>2676</v>
      </c>
      <c r="D100" s="144" t="s">
        <v>2677</v>
      </c>
      <c r="E100" s="150" t="s">
        <v>2466</v>
      </c>
      <c r="F100" s="144" t="s">
        <v>2467</v>
      </c>
      <c r="G100" s="166"/>
      <c r="H100" s="151">
        <v>20</v>
      </c>
      <c r="I100" s="160"/>
      <c r="J100" s="159">
        <v>5</v>
      </c>
      <c r="K100" s="161"/>
      <c r="L100" s="159">
        <v>100</v>
      </c>
      <c r="M100" s="160">
        <v>100</v>
      </c>
      <c r="N100" s="145">
        <v>200</v>
      </c>
      <c r="O100" s="156" t="s">
        <v>135</v>
      </c>
      <c r="P100" s="144" t="s">
        <v>2468</v>
      </c>
      <c r="Q100" s="147"/>
      <c r="R100" s="146"/>
      <c r="S100" s="157"/>
      <c r="T100" s="144" t="s">
        <v>29</v>
      </c>
      <c r="U100" s="150" t="s">
        <v>20</v>
      </c>
      <c r="V100" s="146">
        <v>2448</v>
      </c>
      <c r="W100" s="148" t="s">
        <v>2678</v>
      </c>
      <c r="X100" s="149">
        <v>45017</v>
      </c>
      <c r="Y100" s="165" t="s">
        <v>2558</v>
      </c>
    </row>
    <row r="101" spans="1:25">
      <c r="A101" s="163" t="s">
        <v>7</v>
      </c>
      <c r="B101" s="144" t="s">
        <v>163</v>
      </c>
      <c r="C101" s="164" t="s">
        <v>1810</v>
      </c>
      <c r="D101" s="144" t="s">
        <v>1811</v>
      </c>
      <c r="E101" s="150" t="s">
        <v>2491</v>
      </c>
      <c r="F101" s="144" t="s">
        <v>2477</v>
      </c>
      <c r="G101" s="166" t="s">
        <v>2679</v>
      </c>
      <c r="H101" s="151">
        <v>60</v>
      </c>
      <c r="I101" s="160">
        <v>1.64</v>
      </c>
      <c r="J101" s="159">
        <v>1.64</v>
      </c>
      <c r="K101" s="161">
        <v>98.4</v>
      </c>
      <c r="L101" s="159">
        <v>98.4</v>
      </c>
      <c r="M101" s="160">
        <v>98.4</v>
      </c>
      <c r="N101" s="145">
        <v>0</v>
      </c>
      <c r="O101" s="156" t="s">
        <v>166</v>
      </c>
      <c r="P101" s="144" t="s">
        <v>2478</v>
      </c>
      <c r="Q101" s="147">
        <v>43586</v>
      </c>
      <c r="R101" s="146">
        <v>2049</v>
      </c>
      <c r="S101" s="157"/>
      <c r="T101" s="144" t="s">
        <v>25</v>
      </c>
      <c r="U101" s="150" t="s">
        <v>2479</v>
      </c>
      <c r="V101" s="146">
        <v>1416</v>
      </c>
      <c r="W101" s="148"/>
      <c r="X101" s="149">
        <v>45689</v>
      </c>
      <c r="Y101" s="165" t="s">
        <v>2558</v>
      </c>
    </row>
    <row r="102" spans="1:25">
      <c r="A102" s="163" t="s">
        <v>7</v>
      </c>
      <c r="B102" s="144" t="s">
        <v>2463</v>
      </c>
      <c r="C102" s="164" t="s">
        <v>2680</v>
      </c>
      <c r="D102" s="144" t="s">
        <v>2681</v>
      </c>
      <c r="E102" s="150" t="s">
        <v>2466</v>
      </c>
      <c r="F102" s="144" t="s">
        <v>2467</v>
      </c>
      <c r="G102" s="166"/>
      <c r="H102" s="151">
        <v>40</v>
      </c>
      <c r="I102" s="160">
        <v>2.5</v>
      </c>
      <c r="J102" s="159">
        <v>2.5</v>
      </c>
      <c r="K102" s="161">
        <v>100</v>
      </c>
      <c r="L102" s="159">
        <v>100</v>
      </c>
      <c r="M102" s="160">
        <v>100</v>
      </c>
      <c r="N102" s="145">
        <v>0</v>
      </c>
      <c r="O102" s="156" t="s">
        <v>135</v>
      </c>
      <c r="P102" s="144" t="s">
        <v>2468</v>
      </c>
      <c r="Q102" s="147"/>
      <c r="R102" s="146"/>
      <c r="S102" s="157"/>
      <c r="T102" s="144" t="s">
        <v>29</v>
      </c>
      <c r="U102" s="150" t="s">
        <v>20</v>
      </c>
      <c r="V102" s="146">
        <v>2478</v>
      </c>
      <c r="W102" s="148" t="s">
        <v>2682</v>
      </c>
      <c r="X102" s="149">
        <v>45901</v>
      </c>
      <c r="Y102" s="165" t="s">
        <v>2683</v>
      </c>
    </row>
    <row r="103" spans="1:25">
      <c r="A103" s="163" t="s">
        <v>309</v>
      </c>
      <c r="B103" s="144" t="s">
        <v>2463</v>
      </c>
      <c r="C103" s="164" t="s">
        <v>2684</v>
      </c>
      <c r="D103" s="144" t="s">
        <v>660</v>
      </c>
      <c r="E103" s="150" t="s">
        <v>2636</v>
      </c>
      <c r="F103" s="144" t="s">
        <v>2482</v>
      </c>
      <c r="G103" s="166"/>
      <c r="H103" s="151">
        <v>1</v>
      </c>
      <c r="I103" s="160"/>
      <c r="J103" s="159">
        <v>800</v>
      </c>
      <c r="K103" s="161"/>
      <c r="L103" s="159">
        <v>800</v>
      </c>
      <c r="M103" s="160">
        <v>800</v>
      </c>
      <c r="N103" s="145">
        <v>9600</v>
      </c>
      <c r="O103" s="156" t="s">
        <v>135</v>
      </c>
      <c r="P103" s="144" t="s">
        <v>2468</v>
      </c>
      <c r="Q103" s="147"/>
      <c r="R103" s="146"/>
      <c r="S103" s="157"/>
      <c r="T103" s="144" t="s">
        <v>29</v>
      </c>
      <c r="U103" s="150" t="s">
        <v>18</v>
      </c>
      <c r="V103" s="146">
        <v>2786</v>
      </c>
      <c r="W103" s="148"/>
      <c r="X103" s="149">
        <v>45689</v>
      </c>
      <c r="Y103" s="165" t="s">
        <v>2474</v>
      </c>
    </row>
    <row r="104" spans="1:25">
      <c r="A104" s="163" t="s">
        <v>309</v>
      </c>
      <c r="B104" s="144" t="s">
        <v>2463</v>
      </c>
      <c r="C104" s="164" t="s">
        <v>2685</v>
      </c>
      <c r="D104" s="144" t="s">
        <v>660</v>
      </c>
      <c r="E104" s="150" t="s">
        <v>2636</v>
      </c>
      <c r="F104" s="144" t="s">
        <v>2482</v>
      </c>
      <c r="G104" s="166"/>
      <c r="H104" s="151">
        <v>2</v>
      </c>
      <c r="I104" s="160">
        <v>0</v>
      </c>
      <c r="J104" s="159">
        <v>200</v>
      </c>
      <c r="K104" s="161">
        <v>0</v>
      </c>
      <c r="L104" s="159">
        <v>400</v>
      </c>
      <c r="M104" s="160">
        <v>400</v>
      </c>
      <c r="N104" s="145">
        <v>4000</v>
      </c>
      <c r="O104" s="156" t="s">
        <v>135</v>
      </c>
      <c r="P104" s="144" t="s">
        <v>2468</v>
      </c>
      <c r="Q104" s="147"/>
      <c r="R104" s="146"/>
      <c r="S104" s="157"/>
      <c r="T104" s="144" t="s">
        <v>29</v>
      </c>
      <c r="U104" s="150" t="s">
        <v>18</v>
      </c>
      <c r="V104" s="146">
        <v>1968</v>
      </c>
      <c r="W104" s="148" t="s">
        <v>2686</v>
      </c>
      <c r="X104" s="149">
        <v>45901</v>
      </c>
      <c r="Y104" s="165" t="s">
        <v>2660</v>
      </c>
    </row>
    <row r="105" spans="1:25">
      <c r="A105" s="163" t="s">
        <v>423</v>
      </c>
      <c r="B105" s="144" t="s">
        <v>2463</v>
      </c>
      <c r="C105" s="164" t="s">
        <v>2687</v>
      </c>
      <c r="D105" s="144" t="s">
        <v>2688</v>
      </c>
      <c r="E105" s="150" t="s">
        <v>2466</v>
      </c>
      <c r="F105" s="144" t="s">
        <v>2477</v>
      </c>
      <c r="G105" s="166"/>
      <c r="H105" s="151">
        <v>57</v>
      </c>
      <c r="I105" s="160">
        <v>3.5</v>
      </c>
      <c r="J105" s="159">
        <v>3.5</v>
      </c>
      <c r="K105" s="161">
        <v>199.5</v>
      </c>
      <c r="L105" s="159">
        <v>199.5</v>
      </c>
      <c r="M105" s="160">
        <v>199.5</v>
      </c>
      <c r="N105" s="145">
        <v>400</v>
      </c>
      <c r="O105" s="156" t="s">
        <v>135</v>
      </c>
      <c r="P105" s="144" t="s">
        <v>2468</v>
      </c>
      <c r="Q105" s="147"/>
      <c r="R105" s="146"/>
      <c r="S105" s="157"/>
      <c r="T105" s="144" t="s">
        <v>29</v>
      </c>
      <c r="U105" s="150" t="s">
        <v>20</v>
      </c>
      <c r="V105" s="146">
        <v>2327</v>
      </c>
      <c r="W105" s="148" t="s">
        <v>2689</v>
      </c>
      <c r="X105" s="149">
        <v>45689</v>
      </c>
      <c r="Y105" s="165" t="s">
        <v>2520</v>
      </c>
    </row>
    <row r="106" spans="1:25">
      <c r="A106" s="163" t="s">
        <v>7</v>
      </c>
      <c r="B106" s="144" t="s">
        <v>2463</v>
      </c>
      <c r="C106" s="164" t="s">
        <v>2690</v>
      </c>
      <c r="D106" s="144" t="s">
        <v>846</v>
      </c>
      <c r="E106" s="150" t="s">
        <v>2466</v>
      </c>
      <c r="F106" s="144" t="s">
        <v>2477</v>
      </c>
      <c r="G106" s="166"/>
      <c r="H106" s="151">
        <v>1</v>
      </c>
      <c r="I106" s="160">
        <v>600</v>
      </c>
      <c r="J106" s="159">
        <v>600</v>
      </c>
      <c r="K106" s="161">
        <v>600</v>
      </c>
      <c r="L106" s="159">
        <v>600</v>
      </c>
      <c r="M106" s="160">
        <v>600</v>
      </c>
      <c r="N106" s="145">
        <v>600</v>
      </c>
      <c r="O106" s="156" t="s">
        <v>135</v>
      </c>
      <c r="P106" s="144" t="s">
        <v>2468</v>
      </c>
      <c r="Q106" s="147"/>
      <c r="R106" s="146"/>
      <c r="S106" s="157"/>
      <c r="T106" s="144" t="s">
        <v>29</v>
      </c>
      <c r="U106" s="150" t="s">
        <v>20</v>
      </c>
      <c r="V106" s="146">
        <v>3031</v>
      </c>
      <c r="W106" s="148"/>
      <c r="X106" s="149"/>
      <c r="Y106" s="165"/>
    </row>
    <row r="107" spans="1:25">
      <c r="A107" s="163" t="s">
        <v>7</v>
      </c>
      <c r="B107" s="144" t="s">
        <v>2463</v>
      </c>
      <c r="C107" s="164" t="s">
        <v>2691</v>
      </c>
      <c r="D107" s="144" t="s">
        <v>846</v>
      </c>
      <c r="E107" s="150" t="s">
        <v>2476</v>
      </c>
      <c r="F107" s="144" t="s">
        <v>2477</v>
      </c>
      <c r="G107" s="166"/>
      <c r="H107" s="151">
        <v>1</v>
      </c>
      <c r="I107" s="160">
        <v>600</v>
      </c>
      <c r="J107" s="159">
        <v>600</v>
      </c>
      <c r="K107" s="161">
        <v>600</v>
      </c>
      <c r="L107" s="159">
        <v>600</v>
      </c>
      <c r="M107" s="160">
        <v>600</v>
      </c>
      <c r="N107" s="145"/>
      <c r="O107" s="156" t="s">
        <v>135</v>
      </c>
      <c r="P107" s="144" t="s">
        <v>2478</v>
      </c>
      <c r="Q107" s="147"/>
      <c r="R107" s="146"/>
      <c r="S107" s="157"/>
      <c r="T107" s="144" t="s">
        <v>29</v>
      </c>
      <c r="U107" s="150" t="s">
        <v>2479</v>
      </c>
      <c r="V107" s="146">
        <v>3030</v>
      </c>
      <c r="W107" s="148"/>
      <c r="X107" s="149"/>
      <c r="Y107" s="165"/>
    </row>
    <row r="108" spans="1:25">
      <c r="A108" s="163" t="s">
        <v>309</v>
      </c>
      <c r="B108" s="144" t="s">
        <v>2463</v>
      </c>
      <c r="C108" s="164" t="s">
        <v>2692</v>
      </c>
      <c r="D108" s="144" t="s">
        <v>2465</v>
      </c>
      <c r="E108" s="150" t="s">
        <v>2466</v>
      </c>
      <c r="F108" s="144" t="s">
        <v>2467</v>
      </c>
      <c r="G108" s="166"/>
      <c r="H108" s="151">
        <v>1</v>
      </c>
      <c r="I108" s="160">
        <v>331.2</v>
      </c>
      <c r="J108" s="159">
        <v>331.2</v>
      </c>
      <c r="K108" s="161">
        <v>331.2</v>
      </c>
      <c r="L108" s="159">
        <v>331.2</v>
      </c>
      <c r="M108" s="160">
        <v>331.2</v>
      </c>
      <c r="N108" s="145">
        <v>500</v>
      </c>
      <c r="O108" s="156" t="s">
        <v>135</v>
      </c>
      <c r="P108" s="144" t="s">
        <v>2468</v>
      </c>
      <c r="Q108" s="147"/>
      <c r="R108" s="146"/>
      <c r="S108" s="157"/>
      <c r="T108" s="144" t="s">
        <v>29</v>
      </c>
      <c r="U108" s="150" t="s">
        <v>20</v>
      </c>
      <c r="V108" s="146">
        <v>2490</v>
      </c>
      <c r="W108" s="148" t="s">
        <v>2693</v>
      </c>
      <c r="X108" s="149">
        <v>45689</v>
      </c>
      <c r="Y108" s="165" t="s">
        <v>2470</v>
      </c>
    </row>
    <row r="109" spans="1:25">
      <c r="A109" s="163" t="s">
        <v>309</v>
      </c>
      <c r="B109" s="144" t="s">
        <v>2463</v>
      </c>
      <c r="C109" s="164" t="s">
        <v>2694</v>
      </c>
      <c r="D109" s="144" t="s">
        <v>2465</v>
      </c>
      <c r="E109" s="150" t="s">
        <v>2466</v>
      </c>
      <c r="F109" s="144" t="s">
        <v>2467</v>
      </c>
      <c r="G109" s="166"/>
      <c r="H109" s="151">
        <v>1</v>
      </c>
      <c r="I109" s="160">
        <v>331.2</v>
      </c>
      <c r="J109" s="159">
        <v>331.2</v>
      </c>
      <c r="K109" s="161">
        <v>331.2</v>
      </c>
      <c r="L109" s="159">
        <v>331.2</v>
      </c>
      <c r="M109" s="160">
        <v>331.2</v>
      </c>
      <c r="N109" s="145">
        <v>500</v>
      </c>
      <c r="O109" s="156" t="s">
        <v>135</v>
      </c>
      <c r="P109" s="144" t="s">
        <v>2468</v>
      </c>
      <c r="Q109" s="147"/>
      <c r="R109" s="146"/>
      <c r="S109" s="157"/>
      <c r="T109" s="144" t="s">
        <v>29</v>
      </c>
      <c r="U109" s="150" t="s">
        <v>20</v>
      </c>
      <c r="V109" s="146">
        <v>2741</v>
      </c>
      <c r="W109" s="148" t="s">
        <v>2695</v>
      </c>
      <c r="X109" s="149">
        <v>45689</v>
      </c>
      <c r="Y109" s="165" t="s">
        <v>2470</v>
      </c>
    </row>
    <row r="110" spans="1:25">
      <c r="A110" s="163" t="s">
        <v>380</v>
      </c>
      <c r="B110" s="144" t="s">
        <v>2463</v>
      </c>
      <c r="C110" s="164" t="s">
        <v>2696</v>
      </c>
      <c r="D110" s="144" t="s">
        <v>2697</v>
      </c>
      <c r="E110" s="150" t="s">
        <v>2466</v>
      </c>
      <c r="F110" s="144" t="s">
        <v>2467</v>
      </c>
      <c r="G110" s="166"/>
      <c r="H110" s="151">
        <v>1</v>
      </c>
      <c r="I110" s="160">
        <v>100</v>
      </c>
      <c r="J110" s="159">
        <v>100</v>
      </c>
      <c r="K110" s="161">
        <v>100</v>
      </c>
      <c r="L110" s="159">
        <v>100</v>
      </c>
      <c r="M110" s="160">
        <v>100</v>
      </c>
      <c r="N110" s="145">
        <v>0</v>
      </c>
      <c r="O110" s="156" t="s">
        <v>135</v>
      </c>
      <c r="P110" s="144" t="s">
        <v>2468</v>
      </c>
      <c r="Q110" s="147"/>
      <c r="R110" s="146"/>
      <c r="S110" s="157"/>
      <c r="T110" s="144" t="s">
        <v>29</v>
      </c>
      <c r="U110" s="150" t="s">
        <v>20</v>
      </c>
      <c r="V110" s="146">
        <v>2305</v>
      </c>
      <c r="W110" s="148" t="s">
        <v>2698</v>
      </c>
      <c r="X110" s="149">
        <v>45901</v>
      </c>
      <c r="Y110" s="165" t="s">
        <v>2632</v>
      </c>
    </row>
    <row r="111" spans="1:25">
      <c r="A111" s="163" t="s">
        <v>309</v>
      </c>
      <c r="B111" s="144" t="s">
        <v>2463</v>
      </c>
      <c r="C111" s="164" t="s">
        <v>2699</v>
      </c>
      <c r="D111" s="144" t="s">
        <v>2700</v>
      </c>
      <c r="E111" s="150" t="s">
        <v>2491</v>
      </c>
      <c r="F111" s="144" t="s">
        <v>2477</v>
      </c>
      <c r="G111" s="166"/>
      <c r="H111" s="151">
        <v>50</v>
      </c>
      <c r="I111" s="160"/>
      <c r="J111" s="159">
        <v>3.4</v>
      </c>
      <c r="K111" s="161"/>
      <c r="L111" s="159">
        <v>170</v>
      </c>
      <c r="M111" s="160">
        <v>170</v>
      </c>
      <c r="N111" s="145"/>
      <c r="O111" s="156" t="s">
        <v>135</v>
      </c>
      <c r="P111" s="144" t="s">
        <v>2478</v>
      </c>
      <c r="Q111" s="147">
        <v>47423</v>
      </c>
      <c r="R111" s="146"/>
      <c r="S111" s="157"/>
      <c r="T111" s="144" t="s">
        <v>29</v>
      </c>
      <c r="U111" s="150" t="s">
        <v>2479</v>
      </c>
      <c r="V111" s="146">
        <v>2432</v>
      </c>
      <c r="W111" s="148" t="s">
        <v>2701</v>
      </c>
      <c r="X111" s="149">
        <v>45689</v>
      </c>
      <c r="Y111" s="165" t="s">
        <v>2474</v>
      </c>
    </row>
    <row r="112" spans="1:25">
      <c r="A112" s="163" t="s">
        <v>309</v>
      </c>
      <c r="B112" s="144" t="s">
        <v>2463</v>
      </c>
      <c r="C112" s="164" t="s">
        <v>2699</v>
      </c>
      <c r="D112" s="144" t="s">
        <v>2700</v>
      </c>
      <c r="E112" s="150" t="s">
        <v>2466</v>
      </c>
      <c r="F112" s="144" t="s">
        <v>2477</v>
      </c>
      <c r="G112" s="166"/>
      <c r="H112" s="151">
        <v>68</v>
      </c>
      <c r="I112" s="160"/>
      <c r="J112" s="159">
        <v>2.94</v>
      </c>
      <c r="K112" s="161"/>
      <c r="L112" s="159">
        <v>199.99</v>
      </c>
      <c r="M112" s="160">
        <v>199.99</v>
      </c>
      <c r="N112" s="145">
        <v>400</v>
      </c>
      <c r="O112" s="156" t="s">
        <v>135</v>
      </c>
      <c r="P112" s="144" t="s">
        <v>2468</v>
      </c>
      <c r="Q112" s="147">
        <v>47423</v>
      </c>
      <c r="R112" s="146"/>
      <c r="S112" s="157"/>
      <c r="T112" s="144" t="s">
        <v>29</v>
      </c>
      <c r="U112" s="150" t="s">
        <v>20</v>
      </c>
      <c r="V112" s="146">
        <v>2432</v>
      </c>
      <c r="W112" s="148" t="s">
        <v>2701</v>
      </c>
      <c r="X112" s="149">
        <v>45689</v>
      </c>
      <c r="Y112" s="165" t="s">
        <v>2474</v>
      </c>
    </row>
    <row r="113" spans="1:25">
      <c r="A113" s="163" t="s">
        <v>309</v>
      </c>
      <c r="B113" s="144" t="s">
        <v>2463</v>
      </c>
      <c r="C113" s="164" t="s">
        <v>2702</v>
      </c>
      <c r="D113" s="144" t="s">
        <v>2703</v>
      </c>
      <c r="E113" s="150" t="s">
        <v>2476</v>
      </c>
      <c r="F113" s="144" t="s">
        <v>2477</v>
      </c>
      <c r="G113" s="166"/>
      <c r="H113" s="151">
        <v>1</v>
      </c>
      <c r="I113" s="160"/>
      <c r="J113" s="159">
        <v>60</v>
      </c>
      <c r="K113" s="161"/>
      <c r="L113" s="159">
        <v>60</v>
      </c>
      <c r="M113" s="160">
        <v>60</v>
      </c>
      <c r="N113" s="145"/>
      <c r="O113" s="156" t="s">
        <v>135</v>
      </c>
      <c r="P113" s="144" t="s">
        <v>2478</v>
      </c>
      <c r="Q113" s="147"/>
      <c r="R113" s="146"/>
      <c r="S113" s="157"/>
      <c r="T113" s="144" t="s">
        <v>29</v>
      </c>
      <c r="U113" s="150" t="s">
        <v>2479</v>
      </c>
      <c r="V113" s="146">
        <v>2042</v>
      </c>
      <c r="W113" s="148"/>
      <c r="X113" s="149">
        <v>45901</v>
      </c>
      <c r="Y113" s="165" t="s">
        <v>2704</v>
      </c>
    </row>
    <row r="114" spans="1:25">
      <c r="A114" s="163" t="s">
        <v>380</v>
      </c>
      <c r="B114" s="144" t="s">
        <v>2463</v>
      </c>
      <c r="C114" s="164" t="s">
        <v>2705</v>
      </c>
      <c r="D114" s="144" t="s">
        <v>2706</v>
      </c>
      <c r="E114" s="150" t="s">
        <v>2466</v>
      </c>
      <c r="F114" s="144" t="s">
        <v>2467</v>
      </c>
      <c r="G114" s="166"/>
      <c r="H114" s="151">
        <v>1</v>
      </c>
      <c r="I114" s="160">
        <v>128</v>
      </c>
      <c r="J114" s="159">
        <v>128</v>
      </c>
      <c r="K114" s="161">
        <v>128</v>
      </c>
      <c r="L114" s="159">
        <v>128</v>
      </c>
      <c r="M114" s="160">
        <v>128</v>
      </c>
      <c r="N114" s="145">
        <v>0</v>
      </c>
      <c r="O114" s="156" t="s">
        <v>135</v>
      </c>
      <c r="P114" s="144" t="s">
        <v>2468</v>
      </c>
      <c r="Q114" s="147"/>
      <c r="R114" s="146"/>
      <c r="S114" s="157"/>
      <c r="T114" s="144" t="s">
        <v>29</v>
      </c>
      <c r="U114" s="150" t="s">
        <v>20</v>
      </c>
      <c r="V114" s="146">
        <v>2734</v>
      </c>
      <c r="W114" s="148" t="s">
        <v>2707</v>
      </c>
      <c r="X114" s="149">
        <v>45901</v>
      </c>
      <c r="Y114" s="165" t="s">
        <v>2708</v>
      </c>
    </row>
    <row r="115" spans="1:25">
      <c r="A115" s="163" t="s">
        <v>309</v>
      </c>
      <c r="B115" s="144" t="s">
        <v>2463</v>
      </c>
      <c r="C115" s="164" t="s">
        <v>2709</v>
      </c>
      <c r="D115" s="144" t="s">
        <v>2710</v>
      </c>
      <c r="E115" s="150" t="s">
        <v>2466</v>
      </c>
      <c r="F115" s="144" t="s">
        <v>2477</v>
      </c>
      <c r="G115" s="166"/>
      <c r="H115" s="151">
        <v>1</v>
      </c>
      <c r="I115" s="160">
        <v>29.25</v>
      </c>
      <c r="J115" s="159">
        <v>29.25</v>
      </c>
      <c r="K115" s="161">
        <v>29.25</v>
      </c>
      <c r="L115" s="159">
        <v>29.25</v>
      </c>
      <c r="M115" s="160">
        <v>29.25</v>
      </c>
      <c r="N115" s="145">
        <v>0</v>
      </c>
      <c r="O115" s="156" t="s">
        <v>135</v>
      </c>
      <c r="P115" s="144" t="s">
        <v>2468</v>
      </c>
      <c r="Q115" s="147"/>
      <c r="R115" s="146"/>
      <c r="S115" s="157"/>
      <c r="T115" s="144" t="s">
        <v>29</v>
      </c>
      <c r="U115" s="150" t="s">
        <v>20</v>
      </c>
      <c r="V115" s="146">
        <v>2286</v>
      </c>
      <c r="W115" s="148" t="s">
        <v>2711</v>
      </c>
      <c r="X115" s="149">
        <v>45901</v>
      </c>
      <c r="Y115" s="165" t="s">
        <v>2712</v>
      </c>
    </row>
    <row r="116" spans="1:25">
      <c r="A116" s="163" t="s">
        <v>309</v>
      </c>
      <c r="B116" s="144" t="s">
        <v>2463</v>
      </c>
      <c r="C116" s="164" t="s">
        <v>2713</v>
      </c>
      <c r="D116" s="144" t="s">
        <v>2710</v>
      </c>
      <c r="E116" s="150" t="s">
        <v>2476</v>
      </c>
      <c r="F116" s="144" t="s">
        <v>2477</v>
      </c>
      <c r="G116" s="166"/>
      <c r="H116" s="151">
        <v>1</v>
      </c>
      <c r="I116" s="160">
        <v>106</v>
      </c>
      <c r="J116" s="159">
        <v>106</v>
      </c>
      <c r="K116" s="161">
        <v>106</v>
      </c>
      <c r="L116" s="159">
        <v>106</v>
      </c>
      <c r="M116" s="160">
        <v>106</v>
      </c>
      <c r="N116" s="145"/>
      <c r="O116" s="156" t="s">
        <v>135</v>
      </c>
      <c r="P116" s="144" t="s">
        <v>2478</v>
      </c>
      <c r="Q116" s="147"/>
      <c r="R116" s="146"/>
      <c r="S116" s="157"/>
      <c r="T116" s="144" t="s">
        <v>29</v>
      </c>
      <c r="U116" s="150" t="s">
        <v>2479</v>
      </c>
      <c r="V116" s="146">
        <v>2285</v>
      </c>
      <c r="W116" s="148" t="s">
        <v>2711</v>
      </c>
      <c r="X116" s="149">
        <v>45901</v>
      </c>
      <c r="Y116" s="165" t="s">
        <v>2712</v>
      </c>
    </row>
    <row r="117" spans="1:25" ht="20.6">
      <c r="A117" s="163" t="s">
        <v>7</v>
      </c>
      <c r="B117" s="144" t="s">
        <v>2463</v>
      </c>
      <c r="C117" s="164" t="s">
        <v>271</v>
      </c>
      <c r="D117" s="144" t="s">
        <v>272</v>
      </c>
      <c r="E117" s="150" t="s">
        <v>2491</v>
      </c>
      <c r="F117" s="144" t="s">
        <v>2477</v>
      </c>
      <c r="G117" s="166"/>
      <c r="H117" s="151">
        <v>90</v>
      </c>
      <c r="I117" s="160"/>
      <c r="J117" s="159">
        <v>3.33</v>
      </c>
      <c r="K117" s="161"/>
      <c r="L117" s="159">
        <v>299.7</v>
      </c>
      <c r="M117" s="160">
        <v>299.7</v>
      </c>
      <c r="N117" s="145"/>
      <c r="O117" s="156" t="s">
        <v>28</v>
      </c>
      <c r="P117" s="144" t="s">
        <v>2478</v>
      </c>
      <c r="Q117" s="147">
        <v>46997</v>
      </c>
      <c r="R117" s="146"/>
      <c r="S117" s="157"/>
      <c r="T117" s="144" t="s">
        <v>28</v>
      </c>
      <c r="U117" s="150" t="s">
        <v>2479</v>
      </c>
      <c r="V117" s="146">
        <v>2017</v>
      </c>
      <c r="W117" s="148" t="s">
        <v>2714</v>
      </c>
      <c r="X117" s="149">
        <v>45901</v>
      </c>
      <c r="Y117" s="165" t="s">
        <v>2712</v>
      </c>
    </row>
    <row r="118" spans="1:25">
      <c r="A118" s="163" t="s">
        <v>7</v>
      </c>
      <c r="B118" s="144" t="s">
        <v>2463</v>
      </c>
      <c r="C118" s="164" t="s">
        <v>271</v>
      </c>
      <c r="D118" s="144" t="s">
        <v>272</v>
      </c>
      <c r="E118" s="150" t="s">
        <v>2466</v>
      </c>
      <c r="F118" s="144" t="s">
        <v>2477</v>
      </c>
      <c r="G118" s="166"/>
      <c r="H118" s="151">
        <v>90</v>
      </c>
      <c r="I118" s="160"/>
      <c r="J118" s="159">
        <v>2.73</v>
      </c>
      <c r="K118" s="161"/>
      <c r="L118" s="159">
        <v>245.7</v>
      </c>
      <c r="M118" s="160">
        <v>245.7</v>
      </c>
      <c r="N118" s="145">
        <v>486</v>
      </c>
      <c r="O118" s="156" t="s">
        <v>28</v>
      </c>
      <c r="P118" s="144" t="s">
        <v>2468</v>
      </c>
      <c r="Q118" s="147">
        <v>46997</v>
      </c>
      <c r="R118" s="146"/>
      <c r="S118" s="157"/>
      <c r="T118" s="144" t="s">
        <v>28</v>
      </c>
      <c r="U118" s="150" t="s">
        <v>20</v>
      </c>
      <c r="V118" s="146">
        <v>2017</v>
      </c>
      <c r="W118" s="148" t="s">
        <v>2714</v>
      </c>
      <c r="X118" s="149">
        <v>45901</v>
      </c>
      <c r="Y118" s="165" t="s">
        <v>2712</v>
      </c>
    </row>
    <row r="119" spans="1:25">
      <c r="A119" s="163" t="s">
        <v>7</v>
      </c>
      <c r="B119" s="144" t="s">
        <v>163</v>
      </c>
      <c r="C119" s="164" t="s">
        <v>2715</v>
      </c>
      <c r="D119" s="144" t="s">
        <v>218</v>
      </c>
      <c r="E119" s="150" t="s">
        <v>2593</v>
      </c>
      <c r="F119" s="144" t="s">
        <v>2482</v>
      </c>
      <c r="G119" s="166" t="s">
        <v>2716</v>
      </c>
      <c r="H119" s="151">
        <v>1</v>
      </c>
      <c r="I119" s="160">
        <v>80</v>
      </c>
      <c r="J119" s="159">
        <v>80</v>
      </c>
      <c r="K119" s="161">
        <v>80</v>
      </c>
      <c r="L119" s="159">
        <v>80</v>
      </c>
      <c r="M119" s="160">
        <v>80</v>
      </c>
      <c r="N119" s="145"/>
      <c r="O119" s="156" t="s">
        <v>166</v>
      </c>
      <c r="P119" s="144" t="s">
        <v>2468</v>
      </c>
      <c r="Q119" s="147"/>
      <c r="R119" s="146">
        <v>2070</v>
      </c>
      <c r="S119" s="157"/>
      <c r="T119" s="144" t="s">
        <v>25</v>
      </c>
      <c r="U119" s="150" t="s">
        <v>18</v>
      </c>
      <c r="V119" s="146">
        <v>1021</v>
      </c>
      <c r="W119" s="148"/>
      <c r="X119" s="149">
        <v>45689</v>
      </c>
      <c r="Y119" s="165" t="s">
        <v>2500</v>
      </c>
    </row>
    <row r="120" spans="1:25">
      <c r="A120" s="163" t="s">
        <v>309</v>
      </c>
      <c r="B120" s="144" t="s">
        <v>2463</v>
      </c>
      <c r="C120" s="164" t="s">
        <v>2717</v>
      </c>
      <c r="D120" s="144" t="s">
        <v>616</v>
      </c>
      <c r="E120" s="150" t="s">
        <v>2466</v>
      </c>
      <c r="F120" s="144" t="s">
        <v>2467</v>
      </c>
      <c r="G120" s="166"/>
      <c r="H120" s="151">
        <v>1</v>
      </c>
      <c r="I120" s="160">
        <v>60</v>
      </c>
      <c r="J120" s="159">
        <v>60</v>
      </c>
      <c r="K120" s="161">
        <v>60</v>
      </c>
      <c r="L120" s="159">
        <v>60</v>
      </c>
      <c r="M120" s="160">
        <v>60</v>
      </c>
      <c r="N120" s="145">
        <v>120</v>
      </c>
      <c r="O120" s="156" t="s">
        <v>135</v>
      </c>
      <c r="P120" s="144" t="s">
        <v>2468</v>
      </c>
      <c r="Q120" s="147"/>
      <c r="R120" s="146"/>
      <c r="S120" s="157"/>
      <c r="T120" s="144" t="s">
        <v>29</v>
      </c>
      <c r="U120" s="150" t="s">
        <v>20</v>
      </c>
      <c r="V120" s="146">
        <v>3094</v>
      </c>
      <c r="W120" s="148"/>
      <c r="X120" s="149">
        <v>45901</v>
      </c>
      <c r="Y120" s="165" t="s">
        <v>2718</v>
      </c>
    </row>
    <row r="121" spans="1:25">
      <c r="A121" s="163" t="s">
        <v>423</v>
      </c>
      <c r="B121" s="144" t="s">
        <v>2463</v>
      </c>
      <c r="C121" s="164" t="s">
        <v>2719</v>
      </c>
      <c r="D121" s="144" t="s">
        <v>2720</v>
      </c>
      <c r="E121" s="150" t="s">
        <v>2630</v>
      </c>
      <c r="F121" s="144" t="s">
        <v>2486</v>
      </c>
      <c r="G121" s="166"/>
      <c r="H121" s="151">
        <v>1</v>
      </c>
      <c r="I121" s="160">
        <v>1819</v>
      </c>
      <c r="J121" s="159">
        <v>1819</v>
      </c>
      <c r="K121" s="161">
        <v>1819</v>
      </c>
      <c r="L121" s="159">
        <v>1819</v>
      </c>
      <c r="M121" s="160">
        <v>1819</v>
      </c>
      <c r="N121" s="145"/>
      <c r="O121" s="156" t="s">
        <v>135</v>
      </c>
      <c r="P121" s="144" t="s">
        <v>2478</v>
      </c>
      <c r="Q121" s="147"/>
      <c r="R121" s="146"/>
      <c r="S121" s="157"/>
      <c r="T121" s="144" t="s">
        <v>29</v>
      </c>
      <c r="U121" s="150" t="s">
        <v>17</v>
      </c>
      <c r="V121" s="146">
        <v>2542</v>
      </c>
      <c r="W121" s="148" t="s">
        <v>2721</v>
      </c>
      <c r="X121" s="149">
        <v>45901</v>
      </c>
      <c r="Y121" s="165" t="s">
        <v>2722</v>
      </c>
    </row>
    <row r="122" spans="1:25">
      <c r="A122" s="163" t="s">
        <v>423</v>
      </c>
      <c r="B122" s="144" t="s">
        <v>2463</v>
      </c>
      <c r="C122" s="164" t="s">
        <v>2723</v>
      </c>
      <c r="D122" s="144" t="s">
        <v>2724</v>
      </c>
      <c r="E122" s="150" t="s">
        <v>2630</v>
      </c>
      <c r="F122" s="144" t="s">
        <v>2486</v>
      </c>
      <c r="G122" s="166"/>
      <c r="H122" s="151">
        <v>67</v>
      </c>
      <c r="I122" s="160">
        <v>15</v>
      </c>
      <c r="J122" s="159">
        <v>15</v>
      </c>
      <c r="K122" s="161">
        <v>1005</v>
      </c>
      <c r="L122" s="159">
        <v>1005</v>
      </c>
      <c r="M122" s="160">
        <v>1005</v>
      </c>
      <c r="N122" s="145"/>
      <c r="O122" s="156" t="s">
        <v>135</v>
      </c>
      <c r="P122" s="144" t="s">
        <v>2478</v>
      </c>
      <c r="Q122" s="147"/>
      <c r="R122" s="146"/>
      <c r="S122" s="157"/>
      <c r="T122" s="144" t="s">
        <v>29</v>
      </c>
      <c r="U122" s="150" t="s">
        <v>17</v>
      </c>
      <c r="V122" s="146">
        <v>3114</v>
      </c>
      <c r="W122" s="148"/>
      <c r="X122" s="149"/>
      <c r="Y122" s="165"/>
    </row>
    <row r="123" spans="1:25">
      <c r="A123" s="163" t="s">
        <v>309</v>
      </c>
      <c r="B123" s="144" t="s">
        <v>163</v>
      </c>
      <c r="C123" s="164" t="s">
        <v>1253</v>
      </c>
      <c r="D123" s="144" t="s">
        <v>616</v>
      </c>
      <c r="E123" s="150" t="s">
        <v>2491</v>
      </c>
      <c r="F123" s="144" t="s">
        <v>2477</v>
      </c>
      <c r="G123" s="166" t="s">
        <v>2725</v>
      </c>
      <c r="H123" s="151">
        <v>1</v>
      </c>
      <c r="I123" s="160">
        <v>148</v>
      </c>
      <c r="J123" s="159">
        <v>148</v>
      </c>
      <c r="K123" s="161">
        <v>148</v>
      </c>
      <c r="L123" s="159">
        <v>148</v>
      </c>
      <c r="M123" s="160">
        <v>148</v>
      </c>
      <c r="N123" s="145"/>
      <c r="O123" s="156" t="s">
        <v>166</v>
      </c>
      <c r="P123" s="144" t="s">
        <v>2478</v>
      </c>
      <c r="Q123" s="147">
        <v>45078</v>
      </c>
      <c r="R123" s="146">
        <v>2057</v>
      </c>
      <c r="S123" s="157"/>
      <c r="T123" s="144" t="s">
        <v>25</v>
      </c>
      <c r="U123" s="150" t="s">
        <v>2479</v>
      </c>
      <c r="V123" s="146">
        <v>1903</v>
      </c>
      <c r="W123" s="148"/>
      <c r="X123" s="149">
        <v>45901</v>
      </c>
      <c r="Y123" s="165" t="s">
        <v>2538</v>
      </c>
    </row>
    <row r="124" spans="1:25">
      <c r="A124" s="163" t="s">
        <v>380</v>
      </c>
      <c r="B124" s="144" t="s">
        <v>163</v>
      </c>
      <c r="C124" s="164" t="s">
        <v>381</v>
      </c>
      <c r="D124" s="144" t="s">
        <v>382</v>
      </c>
      <c r="E124" s="150" t="s">
        <v>2466</v>
      </c>
      <c r="F124" s="144" t="s">
        <v>2467</v>
      </c>
      <c r="G124" s="166" t="s">
        <v>383</v>
      </c>
      <c r="H124" s="151">
        <v>64</v>
      </c>
      <c r="I124" s="160">
        <v>0</v>
      </c>
      <c r="J124" s="159">
        <v>3.13</v>
      </c>
      <c r="K124" s="161">
        <v>0</v>
      </c>
      <c r="L124" s="159">
        <v>200</v>
      </c>
      <c r="M124" s="160">
        <v>200</v>
      </c>
      <c r="N124" s="145">
        <v>400</v>
      </c>
      <c r="O124" s="156" t="s">
        <v>166</v>
      </c>
      <c r="P124" s="144" t="s">
        <v>2468</v>
      </c>
      <c r="Q124" s="147">
        <v>45748</v>
      </c>
      <c r="R124" s="146">
        <v>2044</v>
      </c>
      <c r="S124" s="157"/>
      <c r="T124" s="144" t="s">
        <v>25</v>
      </c>
      <c r="U124" s="150" t="s">
        <v>20</v>
      </c>
      <c r="V124" s="146">
        <v>2248</v>
      </c>
      <c r="W124" s="148" t="s">
        <v>2726</v>
      </c>
      <c r="X124" s="149">
        <v>45901</v>
      </c>
      <c r="Y124" s="165" t="s">
        <v>2671</v>
      </c>
    </row>
    <row r="125" spans="1:25">
      <c r="A125" s="163" t="s">
        <v>7</v>
      </c>
      <c r="B125" s="144" t="s">
        <v>2463</v>
      </c>
      <c r="C125" s="164" t="s">
        <v>2294</v>
      </c>
      <c r="D125" s="144" t="s">
        <v>2727</v>
      </c>
      <c r="E125" s="150" t="s">
        <v>2485</v>
      </c>
      <c r="F125" s="144" t="s">
        <v>2486</v>
      </c>
      <c r="G125" s="166"/>
      <c r="H125" s="151">
        <v>15</v>
      </c>
      <c r="I125" s="160">
        <v>0</v>
      </c>
      <c r="J125" s="159">
        <v>5.3</v>
      </c>
      <c r="K125" s="161">
        <v>0</v>
      </c>
      <c r="L125" s="159">
        <v>79.5</v>
      </c>
      <c r="M125" s="160">
        <v>79.5</v>
      </c>
      <c r="N125" s="145"/>
      <c r="O125" s="156" t="s">
        <v>135</v>
      </c>
      <c r="P125" s="144" t="s">
        <v>2478</v>
      </c>
      <c r="Q125" s="147"/>
      <c r="R125" s="146">
        <v>2046</v>
      </c>
      <c r="S125" s="157"/>
      <c r="T125" s="144" t="s">
        <v>29</v>
      </c>
      <c r="U125" s="150" t="s">
        <v>17</v>
      </c>
      <c r="V125" s="146">
        <v>1022</v>
      </c>
      <c r="W125" s="148"/>
      <c r="X125" s="149">
        <v>45689</v>
      </c>
      <c r="Y125" s="165" t="s">
        <v>2500</v>
      </c>
    </row>
    <row r="126" spans="1:25">
      <c r="A126" s="163" t="s">
        <v>7</v>
      </c>
      <c r="B126" s="144" t="s">
        <v>163</v>
      </c>
      <c r="C126" s="164" t="s">
        <v>2294</v>
      </c>
      <c r="D126" s="144" t="s">
        <v>2727</v>
      </c>
      <c r="E126" s="150" t="s">
        <v>2485</v>
      </c>
      <c r="F126" s="144" t="s">
        <v>2486</v>
      </c>
      <c r="G126" s="166" t="s">
        <v>2728</v>
      </c>
      <c r="H126" s="151">
        <v>9</v>
      </c>
      <c r="I126" s="160"/>
      <c r="J126" s="159">
        <v>1.6</v>
      </c>
      <c r="K126" s="161"/>
      <c r="L126" s="159">
        <v>14.4</v>
      </c>
      <c r="M126" s="160">
        <v>14.4</v>
      </c>
      <c r="N126" s="145"/>
      <c r="O126" s="156" t="s">
        <v>166</v>
      </c>
      <c r="P126" s="144" t="s">
        <v>2478</v>
      </c>
      <c r="Q126" s="147"/>
      <c r="R126" s="146">
        <v>2040</v>
      </c>
      <c r="S126" s="157"/>
      <c r="T126" s="144" t="s">
        <v>25</v>
      </c>
      <c r="U126" s="150" t="s">
        <v>17</v>
      </c>
      <c r="V126" s="146">
        <v>1022</v>
      </c>
      <c r="W126" s="148"/>
      <c r="X126" s="149">
        <v>45689</v>
      </c>
      <c r="Y126" s="165" t="s">
        <v>2500</v>
      </c>
    </row>
    <row r="127" spans="1:25">
      <c r="A127" s="163" t="s">
        <v>7</v>
      </c>
      <c r="B127" s="144" t="s">
        <v>163</v>
      </c>
      <c r="C127" s="164" t="s">
        <v>2294</v>
      </c>
      <c r="D127" s="144" t="s">
        <v>2727</v>
      </c>
      <c r="E127" s="150" t="s">
        <v>2485</v>
      </c>
      <c r="F127" s="144" t="s">
        <v>2486</v>
      </c>
      <c r="G127" s="166" t="s">
        <v>2728</v>
      </c>
      <c r="H127" s="151">
        <v>58</v>
      </c>
      <c r="I127" s="160"/>
      <c r="J127" s="159">
        <v>1.7</v>
      </c>
      <c r="K127" s="161"/>
      <c r="L127" s="159">
        <v>98.6</v>
      </c>
      <c r="M127" s="160">
        <v>98.6</v>
      </c>
      <c r="N127" s="145"/>
      <c r="O127" s="156" t="s">
        <v>166</v>
      </c>
      <c r="P127" s="144" t="s">
        <v>2478</v>
      </c>
      <c r="Q127" s="147"/>
      <c r="R127" s="146">
        <v>2040</v>
      </c>
      <c r="S127" s="157"/>
      <c r="T127" s="144" t="s">
        <v>25</v>
      </c>
      <c r="U127" s="150" t="s">
        <v>17</v>
      </c>
      <c r="V127" s="146">
        <v>1022</v>
      </c>
      <c r="W127" s="148"/>
      <c r="X127" s="149">
        <v>45689</v>
      </c>
      <c r="Y127" s="165" t="s">
        <v>2500</v>
      </c>
    </row>
    <row r="128" spans="1:25">
      <c r="A128" s="163" t="s">
        <v>7</v>
      </c>
      <c r="B128" s="144" t="s">
        <v>163</v>
      </c>
      <c r="C128" s="164" t="s">
        <v>1814</v>
      </c>
      <c r="D128" s="144" t="s">
        <v>1815</v>
      </c>
      <c r="E128" s="150" t="s">
        <v>2485</v>
      </c>
      <c r="F128" s="144" t="s">
        <v>2486</v>
      </c>
      <c r="G128" s="166" t="s">
        <v>2729</v>
      </c>
      <c r="H128" s="151">
        <v>33</v>
      </c>
      <c r="I128" s="160">
        <v>3.43</v>
      </c>
      <c r="J128" s="159">
        <v>3.43</v>
      </c>
      <c r="K128" s="161">
        <v>113.19</v>
      </c>
      <c r="L128" s="159">
        <v>113.19</v>
      </c>
      <c r="M128" s="160">
        <v>113.19</v>
      </c>
      <c r="N128" s="145"/>
      <c r="O128" s="156" t="s">
        <v>166</v>
      </c>
      <c r="P128" s="144" t="s">
        <v>2478</v>
      </c>
      <c r="Q128" s="147">
        <v>43497</v>
      </c>
      <c r="R128" s="146">
        <v>2049</v>
      </c>
      <c r="S128" s="157"/>
      <c r="T128" s="144" t="s">
        <v>25</v>
      </c>
      <c r="U128" s="150" t="s">
        <v>17</v>
      </c>
      <c r="V128" s="146">
        <v>1259</v>
      </c>
      <c r="W128" s="148"/>
      <c r="X128" s="149">
        <v>45689</v>
      </c>
      <c r="Y128" s="165" t="s">
        <v>2730</v>
      </c>
    </row>
    <row r="129" spans="1:25">
      <c r="A129" s="163" t="s">
        <v>309</v>
      </c>
      <c r="B129" s="144" t="s">
        <v>2463</v>
      </c>
      <c r="C129" s="164" t="s">
        <v>2731</v>
      </c>
      <c r="D129" s="144" t="s">
        <v>249</v>
      </c>
      <c r="E129" s="150" t="s">
        <v>2485</v>
      </c>
      <c r="F129" s="144" t="s">
        <v>2486</v>
      </c>
      <c r="G129" s="166"/>
      <c r="H129" s="151">
        <v>1</v>
      </c>
      <c r="I129" s="160">
        <v>530</v>
      </c>
      <c r="J129" s="159">
        <v>530</v>
      </c>
      <c r="K129" s="161">
        <v>530</v>
      </c>
      <c r="L129" s="159">
        <v>530</v>
      </c>
      <c r="M129" s="160">
        <v>530</v>
      </c>
      <c r="N129" s="145"/>
      <c r="O129" s="156" t="s">
        <v>135</v>
      </c>
      <c r="P129" s="144" t="s">
        <v>2478</v>
      </c>
      <c r="Q129" s="147"/>
      <c r="R129" s="146"/>
      <c r="S129" s="157"/>
      <c r="T129" s="144" t="s">
        <v>29</v>
      </c>
      <c r="U129" s="150" t="s">
        <v>17</v>
      </c>
      <c r="V129" s="146">
        <v>3007</v>
      </c>
      <c r="W129" s="148" t="s">
        <v>2732</v>
      </c>
      <c r="X129" s="149">
        <v>45778</v>
      </c>
      <c r="Y129" s="165"/>
    </row>
    <row r="130" spans="1:25">
      <c r="A130" s="163" t="s">
        <v>7</v>
      </c>
      <c r="B130" s="144" t="s">
        <v>2463</v>
      </c>
      <c r="C130" s="164" t="s">
        <v>2733</v>
      </c>
      <c r="D130" s="144" t="s">
        <v>2734</v>
      </c>
      <c r="E130" s="150" t="s">
        <v>2466</v>
      </c>
      <c r="F130" s="144" t="s">
        <v>2477</v>
      </c>
      <c r="G130" s="166"/>
      <c r="H130" s="151">
        <v>1</v>
      </c>
      <c r="I130" s="160"/>
      <c r="J130" s="159">
        <v>9.8000000000000007</v>
      </c>
      <c r="K130" s="161"/>
      <c r="L130" s="159">
        <v>9.8000000000000007</v>
      </c>
      <c r="M130" s="160">
        <v>9.8000000000000007</v>
      </c>
      <c r="N130" s="145">
        <v>10</v>
      </c>
      <c r="O130" s="156" t="s">
        <v>135</v>
      </c>
      <c r="P130" s="144" t="s">
        <v>2468</v>
      </c>
      <c r="Q130" s="147"/>
      <c r="R130" s="146"/>
      <c r="S130" s="157"/>
      <c r="T130" s="144" t="s">
        <v>29</v>
      </c>
      <c r="U130" s="150" t="s">
        <v>20</v>
      </c>
      <c r="V130" s="146">
        <v>2265</v>
      </c>
      <c r="W130" s="148"/>
      <c r="X130" s="149">
        <v>45901</v>
      </c>
      <c r="Y130" s="165" t="s">
        <v>2712</v>
      </c>
    </row>
    <row r="131" spans="1:25">
      <c r="A131" s="163" t="s">
        <v>423</v>
      </c>
      <c r="B131" s="144" t="s">
        <v>163</v>
      </c>
      <c r="C131" s="164" t="s">
        <v>1806</v>
      </c>
      <c r="D131" s="144" t="s">
        <v>1511</v>
      </c>
      <c r="E131" s="150" t="s">
        <v>2593</v>
      </c>
      <c r="F131" s="144" t="s">
        <v>2482</v>
      </c>
      <c r="G131" s="166" t="s">
        <v>1807</v>
      </c>
      <c r="H131" s="151">
        <v>2</v>
      </c>
      <c r="I131" s="160">
        <v>0</v>
      </c>
      <c r="J131" s="159">
        <v>70</v>
      </c>
      <c r="K131" s="161">
        <v>0</v>
      </c>
      <c r="L131" s="159">
        <v>140</v>
      </c>
      <c r="M131" s="160">
        <v>140</v>
      </c>
      <c r="N131" s="145"/>
      <c r="O131" s="156" t="s">
        <v>166</v>
      </c>
      <c r="P131" s="144" t="s">
        <v>2468</v>
      </c>
      <c r="Q131" s="147"/>
      <c r="R131" s="146">
        <v>2057</v>
      </c>
      <c r="S131" s="157"/>
      <c r="T131" s="144" t="s">
        <v>25</v>
      </c>
      <c r="U131" s="150" t="s">
        <v>18</v>
      </c>
      <c r="V131" s="146">
        <v>1023</v>
      </c>
      <c r="W131" s="148"/>
      <c r="X131" s="149">
        <v>45689</v>
      </c>
      <c r="Y131" s="165" t="s">
        <v>2558</v>
      </c>
    </row>
    <row r="132" spans="1:25">
      <c r="A132" s="163" t="s">
        <v>423</v>
      </c>
      <c r="B132" s="144" t="s">
        <v>163</v>
      </c>
      <c r="C132" s="164" t="s">
        <v>1806</v>
      </c>
      <c r="D132" s="144" t="s">
        <v>1511</v>
      </c>
      <c r="E132" s="150" t="s">
        <v>2593</v>
      </c>
      <c r="F132" s="144" t="s">
        <v>2482</v>
      </c>
      <c r="G132" s="166" t="s">
        <v>1807</v>
      </c>
      <c r="H132" s="151">
        <v>6</v>
      </c>
      <c r="I132" s="160">
        <v>0</v>
      </c>
      <c r="J132" s="159">
        <v>26.67</v>
      </c>
      <c r="K132" s="161">
        <v>0</v>
      </c>
      <c r="L132" s="159">
        <v>160.02000000000001</v>
      </c>
      <c r="M132" s="160">
        <v>160.02000000000001</v>
      </c>
      <c r="N132" s="145"/>
      <c r="O132" s="156" t="s">
        <v>166</v>
      </c>
      <c r="P132" s="144" t="s">
        <v>2468</v>
      </c>
      <c r="Q132" s="147"/>
      <c r="R132" s="146">
        <v>2057</v>
      </c>
      <c r="S132" s="157"/>
      <c r="T132" s="144" t="s">
        <v>25</v>
      </c>
      <c r="U132" s="150" t="s">
        <v>18</v>
      </c>
      <c r="V132" s="146">
        <v>1023</v>
      </c>
      <c r="W132" s="148"/>
      <c r="X132" s="149">
        <v>45689</v>
      </c>
      <c r="Y132" s="165" t="s">
        <v>2558</v>
      </c>
    </row>
    <row r="133" spans="1:25">
      <c r="A133" s="163" t="s">
        <v>7</v>
      </c>
      <c r="B133" s="144" t="s">
        <v>2463</v>
      </c>
      <c r="C133" s="164" t="s">
        <v>2735</v>
      </c>
      <c r="D133" s="144" t="s">
        <v>2736</v>
      </c>
      <c r="E133" s="150" t="s">
        <v>2466</v>
      </c>
      <c r="F133" s="144" t="s">
        <v>2467</v>
      </c>
      <c r="G133" s="166"/>
      <c r="H133" s="151">
        <v>65</v>
      </c>
      <c r="I133" s="160">
        <v>4</v>
      </c>
      <c r="J133" s="159">
        <v>4</v>
      </c>
      <c r="K133" s="161">
        <v>260</v>
      </c>
      <c r="L133" s="159">
        <v>260</v>
      </c>
      <c r="M133" s="160">
        <v>260</v>
      </c>
      <c r="N133" s="145">
        <v>0</v>
      </c>
      <c r="O133" s="156" t="s">
        <v>135</v>
      </c>
      <c r="P133" s="144" t="s">
        <v>2468</v>
      </c>
      <c r="Q133" s="147"/>
      <c r="R133" s="146"/>
      <c r="S133" s="157"/>
      <c r="T133" s="144" t="s">
        <v>29</v>
      </c>
      <c r="U133" s="150" t="s">
        <v>20</v>
      </c>
      <c r="V133" s="146">
        <v>2476</v>
      </c>
      <c r="W133" s="148" t="s">
        <v>2737</v>
      </c>
      <c r="X133" s="149">
        <v>45901</v>
      </c>
      <c r="Y133" s="165" t="s">
        <v>2738</v>
      </c>
    </row>
    <row r="134" spans="1:25">
      <c r="A134" s="163" t="s">
        <v>380</v>
      </c>
      <c r="B134" s="144" t="s">
        <v>163</v>
      </c>
      <c r="C134" s="164" t="s">
        <v>1399</v>
      </c>
      <c r="D134" s="144" t="s">
        <v>1400</v>
      </c>
      <c r="E134" s="150" t="s">
        <v>2555</v>
      </c>
      <c r="F134" s="144" t="s">
        <v>2556</v>
      </c>
      <c r="G134" s="166" t="s">
        <v>1401</v>
      </c>
      <c r="H134" s="151">
        <v>4</v>
      </c>
      <c r="I134" s="160"/>
      <c r="J134" s="159">
        <v>32.1</v>
      </c>
      <c r="K134" s="161"/>
      <c r="L134" s="159">
        <v>128.4</v>
      </c>
      <c r="M134" s="160">
        <v>128.4</v>
      </c>
      <c r="N134" s="145"/>
      <c r="O134" s="156" t="s">
        <v>166</v>
      </c>
      <c r="P134" s="144" t="s">
        <v>2468</v>
      </c>
      <c r="Q134" s="147">
        <v>44896</v>
      </c>
      <c r="R134" s="146">
        <v>2045</v>
      </c>
      <c r="S134" s="157"/>
      <c r="T134" s="144" t="s">
        <v>25</v>
      </c>
      <c r="U134" s="150" t="s">
        <v>14</v>
      </c>
      <c r="V134" s="146">
        <v>1533</v>
      </c>
      <c r="W134" s="148"/>
      <c r="X134" s="149">
        <v>45689</v>
      </c>
      <c r="Y134" s="165" t="s">
        <v>2609</v>
      </c>
    </row>
    <row r="135" spans="1:25">
      <c r="A135" s="163" t="s">
        <v>380</v>
      </c>
      <c r="B135" s="144" t="s">
        <v>163</v>
      </c>
      <c r="C135" s="164" t="s">
        <v>1472</v>
      </c>
      <c r="D135" s="144" t="s">
        <v>400</v>
      </c>
      <c r="E135" s="150" t="s">
        <v>2466</v>
      </c>
      <c r="F135" s="144" t="s">
        <v>2467</v>
      </c>
      <c r="G135" s="166" t="s">
        <v>2739</v>
      </c>
      <c r="H135" s="151">
        <v>1</v>
      </c>
      <c r="I135" s="160"/>
      <c r="J135" s="159">
        <v>3.08</v>
      </c>
      <c r="K135" s="161"/>
      <c r="L135" s="159">
        <v>3.08</v>
      </c>
      <c r="M135" s="160">
        <v>3.08</v>
      </c>
      <c r="N135" s="145">
        <v>5.04</v>
      </c>
      <c r="O135" s="156" t="s">
        <v>166</v>
      </c>
      <c r="P135" s="144" t="s">
        <v>2468</v>
      </c>
      <c r="Q135" s="147">
        <v>44958</v>
      </c>
      <c r="R135" s="146">
        <v>2045</v>
      </c>
      <c r="S135" s="157"/>
      <c r="T135" s="144" t="s">
        <v>25</v>
      </c>
      <c r="U135" s="150" t="s">
        <v>20</v>
      </c>
      <c r="V135" s="146">
        <v>1393</v>
      </c>
      <c r="W135" s="148"/>
      <c r="X135" s="149">
        <v>45689</v>
      </c>
      <c r="Y135" s="165" t="s">
        <v>2740</v>
      </c>
    </row>
    <row r="136" spans="1:25">
      <c r="A136" s="163" t="s">
        <v>380</v>
      </c>
      <c r="B136" s="144" t="s">
        <v>163</v>
      </c>
      <c r="C136" s="164" t="s">
        <v>1472</v>
      </c>
      <c r="D136" s="144" t="s">
        <v>400</v>
      </c>
      <c r="E136" s="150" t="s">
        <v>2476</v>
      </c>
      <c r="F136" s="144" t="s">
        <v>2477</v>
      </c>
      <c r="G136" s="166" t="s">
        <v>1544</v>
      </c>
      <c r="H136" s="151">
        <v>3</v>
      </c>
      <c r="I136" s="160"/>
      <c r="J136" s="159">
        <v>2.75</v>
      </c>
      <c r="K136" s="161"/>
      <c r="L136" s="159">
        <v>8.25</v>
      </c>
      <c r="M136" s="160">
        <v>8.25</v>
      </c>
      <c r="N136" s="145"/>
      <c r="O136" s="156" t="s">
        <v>166</v>
      </c>
      <c r="P136" s="144" t="s">
        <v>2478</v>
      </c>
      <c r="Q136" s="147">
        <v>44835</v>
      </c>
      <c r="R136" s="146">
        <v>2045</v>
      </c>
      <c r="S136" s="157"/>
      <c r="T136" s="144" t="s">
        <v>25</v>
      </c>
      <c r="U136" s="150" t="s">
        <v>2479</v>
      </c>
      <c r="V136" s="146">
        <v>1393</v>
      </c>
      <c r="W136" s="148"/>
      <c r="X136" s="149">
        <v>45689</v>
      </c>
      <c r="Y136" s="165" t="s">
        <v>2740</v>
      </c>
    </row>
    <row r="137" spans="1:25">
      <c r="A137" s="163" t="s">
        <v>380</v>
      </c>
      <c r="B137" s="144" t="s">
        <v>163</v>
      </c>
      <c r="C137" s="164" t="s">
        <v>1472</v>
      </c>
      <c r="D137" s="144" t="s">
        <v>400</v>
      </c>
      <c r="E137" s="150" t="s">
        <v>2506</v>
      </c>
      <c r="F137" s="144" t="s">
        <v>2741</v>
      </c>
      <c r="G137" s="166"/>
      <c r="H137" s="151">
        <v>3</v>
      </c>
      <c r="I137" s="160"/>
      <c r="J137" s="159">
        <v>2.5</v>
      </c>
      <c r="K137" s="161"/>
      <c r="L137" s="159">
        <v>7.5</v>
      </c>
      <c r="M137" s="160">
        <v>7.5</v>
      </c>
      <c r="N137" s="145"/>
      <c r="O137" s="156" t="s">
        <v>166</v>
      </c>
      <c r="P137" s="144" t="s">
        <v>2480</v>
      </c>
      <c r="Q137" s="147"/>
      <c r="R137" s="146">
        <v>2045</v>
      </c>
      <c r="S137" s="157"/>
      <c r="T137" s="144" t="s">
        <v>25</v>
      </c>
      <c r="U137" s="150" t="s">
        <v>19</v>
      </c>
      <c r="V137" s="146">
        <v>1393</v>
      </c>
      <c r="W137" s="148"/>
      <c r="X137" s="149">
        <v>45689</v>
      </c>
      <c r="Y137" s="165" t="s">
        <v>2740</v>
      </c>
    </row>
    <row r="138" spans="1:25">
      <c r="A138" s="163" t="s">
        <v>7</v>
      </c>
      <c r="B138" s="144" t="s">
        <v>163</v>
      </c>
      <c r="C138" s="164" t="s">
        <v>1666</v>
      </c>
      <c r="D138" s="144" t="s">
        <v>1667</v>
      </c>
      <c r="E138" s="150" t="s">
        <v>2491</v>
      </c>
      <c r="F138" s="144" t="s">
        <v>2477</v>
      </c>
      <c r="G138" s="166" t="s">
        <v>1668</v>
      </c>
      <c r="H138" s="151">
        <v>44</v>
      </c>
      <c r="I138" s="160">
        <v>2.75</v>
      </c>
      <c r="J138" s="159">
        <v>2.75</v>
      </c>
      <c r="K138" s="161">
        <v>121</v>
      </c>
      <c r="L138" s="159">
        <v>121</v>
      </c>
      <c r="M138" s="160">
        <v>121</v>
      </c>
      <c r="N138" s="145">
        <v>0</v>
      </c>
      <c r="O138" s="156" t="s">
        <v>166</v>
      </c>
      <c r="P138" s="144" t="s">
        <v>2478</v>
      </c>
      <c r="Q138" s="147">
        <v>44136</v>
      </c>
      <c r="R138" s="146">
        <v>2050</v>
      </c>
      <c r="S138" s="157"/>
      <c r="T138" s="144" t="s">
        <v>25</v>
      </c>
      <c r="U138" s="150" t="s">
        <v>2479</v>
      </c>
      <c r="V138" s="146">
        <v>1554</v>
      </c>
      <c r="W138" s="148"/>
      <c r="X138" s="149">
        <v>45689</v>
      </c>
      <c r="Y138" s="165" t="s">
        <v>2558</v>
      </c>
    </row>
    <row r="139" spans="1:25">
      <c r="A139" s="163" t="s">
        <v>7</v>
      </c>
      <c r="B139" s="144" t="s">
        <v>2463</v>
      </c>
      <c r="C139" s="164" t="s">
        <v>2742</v>
      </c>
      <c r="D139" s="144" t="s">
        <v>2743</v>
      </c>
      <c r="E139" s="150" t="s">
        <v>2466</v>
      </c>
      <c r="F139" s="144" t="s">
        <v>2477</v>
      </c>
      <c r="G139" s="166"/>
      <c r="H139" s="151">
        <v>1</v>
      </c>
      <c r="I139" s="160"/>
      <c r="J139" s="159">
        <v>70</v>
      </c>
      <c r="K139" s="161"/>
      <c r="L139" s="159">
        <v>70</v>
      </c>
      <c r="M139" s="160">
        <v>70</v>
      </c>
      <c r="N139" s="145">
        <v>260</v>
      </c>
      <c r="O139" s="156" t="s">
        <v>135</v>
      </c>
      <c r="P139" s="144" t="s">
        <v>2468</v>
      </c>
      <c r="Q139" s="147"/>
      <c r="R139" s="146"/>
      <c r="S139" s="157"/>
      <c r="T139" s="144" t="s">
        <v>29</v>
      </c>
      <c r="U139" s="150" t="s">
        <v>20</v>
      </c>
      <c r="V139" s="146">
        <v>2888</v>
      </c>
      <c r="W139" s="148" t="s">
        <v>2744</v>
      </c>
      <c r="X139" s="149"/>
      <c r="Y139" s="165" t="s">
        <v>2500</v>
      </c>
    </row>
    <row r="140" spans="1:25">
      <c r="A140" s="163" t="s">
        <v>7</v>
      </c>
      <c r="B140" s="144" t="s">
        <v>2463</v>
      </c>
      <c r="C140" s="164" t="s">
        <v>2745</v>
      </c>
      <c r="D140" s="144" t="s">
        <v>2746</v>
      </c>
      <c r="E140" s="150" t="s">
        <v>2491</v>
      </c>
      <c r="F140" s="144" t="s">
        <v>2477</v>
      </c>
      <c r="G140" s="166"/>
      <c r="H140" s="151">
        <v>1</v>
      </c>
      <c r="I140" s="160">
        <v>0</v>
      </c>
      <c r="J140" s="159">
        <v>100</v>
      </c>
      <c r="K140" s="161">
        <v>0</v>
      </c>
      <c r="L140" s="159">
        <v>100</v>
      </c>
      <c r="M140" s="160">
        <v>100</v>
      </c>
      <c r="N140" s="145"/>
      <c r="O140" s="156" t="s">
        <v>135</v>
      </c>
      <c r="P140" s="144" t="s">
        <v>2478</v>
      </c>
      <c r="Q140" s="147">
        <v>46508</v>
      </c>
      <c r="R140" s="146">
        <v>2053</v>
      </c>
      <c r="S140" s="157"/>
      <c r="T140" s="144" t="s">
        <v>29</v>
      </c>
      <c r="U140" s="150" t="s">
        <v>2479</v>
      </c>
      <c r="V140" s="146">
        <v>1906</v>
      </c>
      <c r="W140" s="148" t="s">
        <v>2747</v>
      </c>
      <c r="X140" s="149">
        <v>45778</v>
      </c>
      <c r="Y140" s="165" t="s">
        <v>2520</v>
      </c>
    </row>
    <row r="141" spans="1:25">
      <c r="A141" s="163" t="s">
        <v>423</v>
      </c>
      <c r="B141" s="144" t="s">
        <v>2463</v>
      </c>
      <c r="C141" s="164" t="s">
        <v>2748</v>
      </c>
      <c r="D141" s="144" t="s">
        <v>2749</v>
      </c>
      <c r="E141" s="150" t="s">
        <v>2476</v>
      </c>
      <c r="F141" s="144" t="s">
        <v>2477</v>
      </c>
      <c r="G141" s="166"/>
      <c r="H141" s="151">
        <v>1</v>
      </c>
      <c r="I141" s="160">
        <v>230</v>
      </c>
      <c r="J141" s="159">
        <v>230</v>
      </c>
      <c r="K141" s="161">
        <v>230</v>
      </c>
      <c r="L141" s="159">
        <v>230</v>
      </c>
      <c r="M141" s="160">
        <v>230</v>
      </c>
      <c r="N141" s="145"/>
      <c r="O141" s="156" t="s">
        <v>135</v>
      </c>
      <c r="P141" s="144" t="s">
        <v>2478</v>
      </c>
      <c r="Q141" s="147"/>
      <c r="R141" s="146"/>
      <c r="S141" s="157"/>
      <c r="T141" s="144" t="s">
        <v>29</v>
      </c>
      <c r="U141" s="150" t="s">
        <v>2479</v>
      </c>
      <c r="V141" s="146">
        <v>2614</v>
      </c>
      <c r="W141" s="148" t="s">
        <v>2750</v>
      </c>
      <c r="X141" s="149">
        <v>45778</v>
      </c>
      <c r="Y141" s="165" t="s">
        <v>2470</v>
      </c>
    </row>
    <row r="142" spans="1:25">
      <c r="A142" s="163" t="s">
        <v>7</v>
      </c>
      <c r="B142" s="144" t="s">
        <v>2463</v>
      </c>
      <c r="C142" s="164" t="s">
        <v>2751</v>
      </c>
      <c r="D142" s="144" t="s">
        <v>2752</v>
      </c>
      <c r="E142" s="150" t="s">
        <v>2466</v>
      </c>
      <c r="F142" s="144" t="s">
        <v>2467</v>
      </c>
      <c r="G142" s="166"/>
      <c r="H142" s="151">
        <v>1</v>
      </c>
      <c r="I142" s="160">
        <v>0</v>
      </c>
      <c r="J142" s="159">
        <v>400</v>
      </c>
      <c r="K142" s="161">
        <v>0</v>
      </c>
      <c r="L142" s="159">
        <v>400</v>
      </c>
      <c r="M142" s="160">
        <v>400</v>
      </c>
      <c r="N142" s="145">
        <v>400</v>
      </c>
      <c r="O142" s="156" t="s">
        <v>135</v>
      </c>
      <c r="P142" s="144" t="s">
        <v>2468</v>
      </c>
      <c r="Q142" s="147"/>
      <c r="R142" s="146"/>
      <c r="S142" s="157"/>
      <c r="T142" s="144" t="s">
        <v>29</v>
      </c>
      <c r="U142" s="150" t="s">
        <v>20</v>
      </c>
      <c r="V142" s="146">
        <v>3019</v>
      </c>
      <c r="W142" s="148"/>
      <c r="X142" s="149">
        <v>45778</v>
      </c>
      <c r="Y142" s="165"/>
    </row>
    <row r="143" spans="1:25">
      <c r="A143" s="163" t="s">
        <v>7</v>
      </c>
      <c r="B143" s="144" t="s">
        <v>2463</v>
      </c>
      <c r="C143" s="164" t="s">
        <v>2751</v>
      </c>
      <c r="D143" s="144" t="s">
        <v>2752</v>
      </c>
      <c r="E143" s="150" t="s">
        <v>2485</v>
      </c>
      <c r="F143" s="144" t="s">
        <v>2486</v>
      </c>
      <c r="G143" s="166"/>
      <c r="H143" s="151">
        <v>95</v>
      </c>
      <c r="I143" s="160">
        <v>0</v>
      </c>
      <c r="J143" s="159">
        <v>8</v>
      </c>
      <c r="K143" s="161">
        <v>0</v>
      </c>
      <c r="L143" s="159">
        <v>760</v>
      </c>
      <c r="M143" s="160">
        <v>760</v>
      </c>
      <c r="N143" s="145"/>
      <c r="O143" s="156" t="s">
        <v>135</v>
      </c>
      <c r="P143" s="144" t="s">
        <v>2478</v>
      </c>
      <c r="Q143" s="147"/>
      <c r="R143" s="146"/>
      <c r="S143" s="157"/>
      <c r="T143" s="144" t="s">
        <v>29</v>
      </c>
      <c r="U143" s="150" t="s">
        <v>17</v>
      </c>
      <c r="V143" s="146">
        <v>3019</v>
      </c>
      <c r="W143" s="148"/>
      <c r="X143" s="149">
        <v>45778</v>
      </c>
      <c r="Y143" s="165"/>
    </row>
    <row r="144" spans="1:25">
      <c r="A144" s="163" t="s">
        <v>309</v>
      </c>
      <c r="B144" s="144" t="s">
        <v>2463</v>
      </c>
      <c r="C144" s="164" t="s">
        <v>2753</v>
      </c>
      <c r="D144" s="144" t="s">
        <v>2754</v>
      </c>
      <c r="E144" s="150" t="s">
        <v>2485</v>
      </c>
      <c r="F144" s="144" t="s">
        <v>2486</v>
      </c>
      <c r="G144" s="166"/>
      <c r="H144" s="151">
        <v>152</v>
      </c>
      <c r="I144" s="160"/>
      <c r="J144" s="159">
        <v>7.8</v>
      </c>
      <c r="K144" s="161"/>
      <c r="L144" s="159">
        <v>1185.5999999999999</v>
      </c>
      <c r="M144" s="160">
        <v>1185.5999999999999</v>
      </c>
      <c r="N144" s="145"/>
      <c r="O144" s="156" t="s">
        <v>135</v>
      </c>
      <c r="P144" s="144" t="s">
        <v>2478</v>
      </c>
      <c r="Q144" s="147"/>
      <c r="R144" s="146"/>
      <c r="S144" s="157"/>
      <c r="T144" s="144" t="s">
        <v>29</v>
      </c>
      <c r="U144" s="150" t="s">
        <v>17</v>
      </c>
      <c r="V144" s="146">
        <v>2519</v>
      </c>
      <c r="W144" s="148"/>
      <c r="X144" s="149">
        <v>45689</v>
      </c>
      <c r="Y144" s="165" t="s">
        <v>2520</v>
      </c>
    </row>
    <row r="145" spans="1:25">
      <c r="A145" s="163" t="s">
        <v>309</v>
      </c>
      <c r="B145" s="144" t="s">
        <v>2463</v>
      </c>
      <c r="C145" s="164" t="s">
        <v>2755</v>
      </c>
      <c r="D145" s="144" t="s">
        <v>2756</v>
      </c>
      <c r="E145" s="150" t="s">
        <v>2467</v>
      </c>
      <c r="F145" s="144" t="s">
        <v>2467</v>
      </c>
      <c r="G145" s="166"/>
      <c r="H145" s="151">
        <v>1</v>
      </c>
      <c r="I145" s="160">
        <v>800</v>
      </c>
      <c r="J145" s="159">
        <v>800</v>
      </c>
      <c r="K145" s="161">
        <v>800</v>
      </c>
      <c r="L145" s="159">
        <v>800</v>
      </c>
      <c r="M145" s="160">
        <v>800</v>
      </c>
      <c r="N145" s="145"/>
      <c r="O145" s="156" t="s">
        <v>135</v>
      </c>
      <c r="P145" s="144" t="s">
        <v>2478</v>
      </c>
      <c r="Q145" s="147"/>
      <c r="R145" s="146"/>
      <c r="S145" s="157"/>
      <c r="T145" s="144" t="s">
        <v>29</v>
      </c>
      <c r="U145" s="150" t="s">
        <v>21</v>
      </c>
      <c r="V145" s="146">
        <v>2567</v>
      </c>
      <c r="W145" s="148" t="s">
        <v>2757</v>
      </c>
      <c r="X145" s="149">
        <v>45689</v>
      </c>
      <c r="Y145" s="165" t="s">
        <v>2520</v>
      </c>
    </row>
    <row r="146" spans="1:25">
      <c r="A146" s="163" t="s">
        <v>423</v>
      </c>
      <c r="B146" s="144" t="s">
        <v>2463</v>
      </c>
      <c r="C146" s="164" t="s">
        <v>2758</v>
      </c>
      <c r="D146" s="144" t="s">
        <v>2759</v>
      </c>
      <c r="E146" s="150" t="s">
        <v>2485</v>
      </c>
      <c r="F146" s="144" t="s">
        <v>2486</v>
      </c>
      <c r="G146" s="166"/>
      <c r="H146" s="151">
        <v>1</v>
      </c>
      <c r="I146" s="160"/>
      <c r="J146" s="159">
        <v>8</v>
      </c>
      <c r="K146" s="161"/>
      <c r="L146" s="159">
        <v>8</v>
      </c>
      <c r="M146" s="160">
        <v>8</v>
      </c>
      <c r="N146" s="145"/>
      <c r="O146" s="156" t="s">
        <v>135</v>
      </c>
      <c r="P146" s="144" t="s">
        <v>2478</v>
      </c>
      <c r="Q146" s="147">
        <v>48092</v>
      </c>
      <c r="R146" s="146"/>
      <c r="S146" s="157"/>
      <c r="T146" s="144" t="s">
        <v>29</v>
      </c>
      <c r="U146" s="150" t="s">
        <v>17</v>
      </c>
      <c r="V146" s="146">
        <v>3035</v>
      </c>
      <c r="W146" s="148"/>
      <c r="X146" s="149"/>
      <c r="Y146" s="165"/>
    </row>
    <row r="147" spans="1:25">
      <c r="A147" s="163" t="s">
        <v>7</v>
      </c>
      <c r="B147" s="144" t="s">
        <v>2463</v>
      </c>
      <c r="C147" s="164" t="s">
        <v>2760</v>
      </c>
      <c r="D147" s="144" t="s">
        <v>2761</v>
      </c>
      <c r="E147" s="150" t="s">
        <v>2491</v>
      </c>
      <c r="F147" s="144" t="s">
        <v>2477</v>
      </c>
      <c r="G147" s="166"/>
      <c r="H147" s="151">
        <v>41</v>
      </c>
      <c r="I147" s="160"/>
      <c r="J147" s="159">
        <v>4.4000000000000004</v>
      </c>
      <c r="K147" s="161"/>
      <c r="L147" s="159">
        <v>180.4</v>
      </c>
      <c r="M147" s="160">
        <v>180.4</v>
      </c>
      <c r="N147" s="145"/>
      <c r="O147" s="156" t="s">
        <v>135</v>
      </c>
      <c r="P147" s="144" t="s">
        <v>2478</v>
      </c>
      <c r="Q147" s="147"/>
      <c r="R147" s="146"/>
      <c r="S147" s="157"/>
      <c r="T147" s="144" t="s">
        <v>29</v>
      </c>
      <c r="U147" s="150" t="s">
        <v>2479</v>
      </c>
      <c r="V147" s="146">
        <v>3016</v>
      </c>
      <c r="W147" s="148"/>
      <c r="X147" s="149"/>
      <c r="Y147" s="165" t="s">
        <v>2762</v>
      </c>
    </row>
    <row r="148" spans="1:25">
      <c r="A148" s="163" t="s">
        <v>309</v>
      </c>
      <c r="B148" s="144" t="s">
        <v>2463</v>
      </c>
      <c r="C148" s="164" t="s">
        <v>2763</v>
      </c>
      <c r="D148" s="144" t="s">
        <v>863</v>
      </c>
      <c r="E148" s="150" t="s">
        <v>2636</v>
      </c>
      <c r="F148" s="144" t="s">
        <v>2482</v>
      </c>
      <c r="G148" s="166"/>
      <c r="H148" s="151">
        <v>6</v>
      </c>
      <c r="I148" s="160">
        <v>333</v>
      </c>
      <c r="J148" s="159">
        <v>333</v>
      </c>
      <c r="K148" s="161">
        <v>1998</v>
      </c>
      <c r="L148" s="159">
        <v>1998</v>
      </c>
      <c r="M148" s="160">
        <v>1998</v>
      </c>
      <c r="N148" s="145">
        <v>48000</v>
      </c>
      <c r="O148" s="156" t="s">
        <v>28</v>
      </c>
      <c r="P148" s="144" t="s">
        <v>2468</v>
      </c>
      <c r="Q148" s="147">
        <v>49491</v>
      </c>
      <c r="R148" s="146">
        <v>2134</v>
      </c>
      <c r="S148" s="157"/>
      <c r="T148" s="144" t="s">
        <v>28</v>
      </c>
      <c r="U148" s="150" t="s">
        <v>18</v>
      </c>
      <c r="V148" s="146">
        <v>1921</v>
      </c>
      <c r="W148" s="148"/>
      <c r="X148" s="149">
        <v>45901</v>
      </c>
      <c r="Y148" s="165" t="s">
        <v>2712</v>
      </c>
    </row>
    <row r="149" spans="1:25">
      <c r="A149" s="163" t="s">
        <v>309</v>
      </c>
      <c r="B149" s="144" t="s">
        <v>2463</v>
      </c>
      <c r="C149" s="164" t="s">
        <v>715</v>
      </c>
      <c r="D149" s="144" t="s">
        <v>2764</v>
      </c>
      <c r="E149" s="150" t="s">
        <v>2485</v>
      </c>
      <c r="F149" s="144" t="s">
        <v>2486</v>
      </c>
      <c r="G149" s="166"/>
      <c r="H149" s="151">
        <v>38</v>
      </c>
      <c r="I149" s="160"/>
      <c r="J149" s="159">
        <v>5.82</v>
      </c>
      <c r="K149" s="161"/>
      <c r="L149" s="159">
        <v>221.01</v>
      </c>
      <c r="M149" s="160">
        <v>221.01</v>
      </c>
      <c r="N149" s="145"/>
      <c r="O149" s="156" t="s">
        <v>28</v>
      </c>
      <c r="P149" s="144" t="s">
        <v>2478</v>
      </c>
      <c r="Q149" s="147">
        <v>46692</v>
      </c>
      <c r="R149" s="146">
        <v>2067</v>
      </c>
      <c r="S149" s="157"/>
      <c r="T149" s="144" t="s">
        <v>28</v>
      </c>
      <c r="U149" s="150" t="s">
        <v>17</v>
      </c>
      <c r="V149" s="146">
        <v>2003</v>
      </c>
      <c r="W149" s="148" t="s">
        <v>2765</v>
      </c>
      <c r="X149" s="149">
        <v>45901</v>
      </c>
      <c r="Y149" s="165" t="s">
        <v>2671</v>
      </c>
    </row>
    <row r="150" spans="1:25">
      <c r="A150" s="163" t="s">
        <v>309</v>
      </c>
      <c r="B150" s="144" t="s">
        <v>163</v>
      </c>
      <c r="C150" s="164" t="s">
        <v>1254</v>
      </c>
      <c r="D150" s="144" t="s">
        <v>1255</v>
      </c>
      <c r="E150" s="150" t="s">
        <v>2466</v>
      </c>
      <c r="F150" s="144" t="s">
        <v>2467</v>
      </c>
      <c r="G150" s="166" t="s">
        <v>2766</v>
      </c>
      <c r="H150" s="151">
        <v>40</v>
      </c>
      <c r="I150" s="160"/>
      <c r="J150" s="159">
        <v>1.25</v>
      </c>
      <c r="K150" s="161"/>
      <c r="L150" s="159">
        <v>50</v>
      </c>
      <c r="M150" s="160">
        <v>50</v>
      </c>
      <c r="N150" s="145">
        <v>100</v>
      </c>
      <c r="O150" s="156" t="s">
        <v>166</v>
      </c>
      <c r="P150" s="144" t="s">
        <v>2468</v>
      </c>
      <c r="Q150" s="147">
        <v>45231</v>
      </c>
      <c r="R150" s="146">
        <v>2042</v>
      </c>
      <c r="S150" s="157"/>
      <c r="T150" s="144" t="s">
        <v>25</v>
      </c>
      <c r="U150" s="150" t="s">
        <v>20</v>
      </c>
      <c r="V150" s="146">
        <v>1873</v>
      </c>
      <c r="W150" s="148" t="s">
        <v>2767</v>
      </c>
      <c r="X150" s="149">
        <v>45689</v>
      </c>
      <c r="Y150" s="165" t="s">
        <v>2470</v>
      </c>
    </row>
    <row r="151" spans="1:25">
      <c r="A151" s="163" t="s">
        <v>309</v>
      </c>
      <c r="B151" s="144" t="s">
        <v>2463</v>
      </c>
      <c r="C151" s="164" t="s">
        <v>2768</v>
      </c>
      <c r="D151" s="144" t="s">
        <v>1255</v>
      </c>
      <c r="E151" s="150" t="s">
        <v>2466</v>
      </c>
      <c r="F151" s="144" t="s">
        <v>2467</v>
      </c>
      <c r="G151" s="166"/>
      <c r="H151" s="151">
        <v>40</v>
      </c>
      <c r="I151" s="160"/>
      <c r="J151" s="159">
        <v>1.25</v>
      </c>
      <c r="K151" s="161"/>
      <c r="L151" s="159">
        <v>50</v>
      </c>
      <c r="M151" s="160">
        <v>50</v>
      </c>
      <c r="N151" s="145">
        <v>200</v>
      </c>
      <c r="O151" s="156" t="s">
        <v>135</v>
      </c>
      <c r="P151" s="144" t="s">
        <v>2468</v>
      </c>
      <c r="Q151" s="147"/>
      <c r="R151" s="146"/>
      <c r="S151" s="157"/>
      <c r="T151" s="144" t="s">
        <v>29</v>
      </c>
      <c r="U151" s="150" t="s">
        <v>20</v>
      </c>
      <c r="V151" s="146">
        <v>2712</v>
      </c>
      <c r="W151" s="148" t="s">
        <v>2769</v>
      </c>
      <c r="X151" s="149">
        <v>45689</v>
      </c>
      <c r="Y151" s="165" t="s">
        <v>2609</v>
      </c>
    </row>
    <row r="152" spans="1:25">
      <c r="A152" s="163" t="s">
        <v>309</v>
      </c>
      <c r="B152" s="144" t="s">
        <v>2463</v>
      </c>
      <c r="C152" s="164" t="s">
        <v>2770</v>
      </c>
      <c r="D152" s="144" t="s">
        <v>2771</v>
      </c>
      <c r="E152" s="150" t="s">
        <v>2466</v>
      </c>
      <c r="F152" s="144" t="s">
        <v>2467</v>
      </c>
      <c r="G152" s="166"/>
      <c r="H152" s="151">
        <v>1</v>
      </c>
      <c r="I152" s="160">
        <v>400</v>
      </c>
      <c r="J152" s="159">
        <v>400</v>
      </c>
      <c r="K152" s="161">
        <v>400</v>
      </c>
      <c r="L152" s="159">
        <v>400</v>
      </c>
      <c r="M152" s="160">
        <v>400</v>
      </c>
      <c r="N152" s="145">
        <v>1600</v>
      </c>
      <c r="O152" s="156" t="s">
        <v>135</v>
      </c>
      <c r="P152" s="144" t="s">
        <v>2468</v>
      </c>
      <c r="Q152" s="147">
        <v>46447</v>
      </c>
      <c r="R152" s="146"/>
      <c r="S152" s="157"/>
      <c r="T152" s="144" t="s">
        <v>29</v>
      </c>
      <c r="U152" s="150" t="s">
        <v>20</v>
      </c>
      <c r="V152" s="146">
        <v>2879</v>
      </c>
      <c r="W152" s="148" t="s">
        <v>2772</v>
      </c>
      <c r="X152" s="149">
        <v>45689</v>
      </c>
      <c r="Y152" s="165" t="s">
        <v>2612</v>
      </c>
    </row>
    <row r="153" spans="1:25">
      <c r="A153" s="163" t="s">
        <v>423</v>
      </c>
      <c r="B153" s="144" t="s">
        <v>2463</v>
      </c>
      <c r="C153" s="164" t="s">
        <v>2773</v>
      </c>
      <c r="D153" s="144" t="s">
        <v>2774</v>
      </c>
      <c r="E153" s="150" t="s">
        <v>2466</v>
      </c>
      <c r="F153" s="144" t="s">
        <v>2467</v>
      </c>
      <c r="G153" s="166"/>
      <c r="H153" s="151">
        <v>1</v>
      </c>
      <c r="I153" s="160">
        <v>250</v>
      </c>
      <c r="J153" s="159">
        <v>250</v>
      </c>
      <c r="K153" s="161">
        <v>250</v>
      </c>
      <c r="L153" s="159">
        <v>250</v>
      </c>
      <c r="M153" s="160">
        <v>250</v>
      </c>
      <c r="N153" s="145">
        <v>500</v>
      </c>
      <c r="O153" s="156" t="s">
        <v>135</v>
      </c>
      <c r="P153" s="144" t="s">
        <v>2468</v>
      </c>
      <c r="Q153" s="147"/>
      <c r="R153" s="146"/>
      <c r="S153" s="157"/>
      <c r="T153" s="144" t="s">
        <v>29</v>
      </c>
      <c r="U153" s="150" t="s">
        <v>20</v>
      </c>
      <c r="V153" s="146">
        <v>2653</v>
      </c>
      <c r="W153" s="148" t="s">
        <v>2775</v>
      </c>
      <c r="X153" s="149">
        <v>45689</v>
      </c>
      <c r="Y153" s="165" t="s">
        <v>2474</v>
      </c>
    </row>
    <row r="154" spans="1:25">
      <c r="A154" s="163" t="s">
        <v>423</v>
      </c>
      <c r="B154" s="144" t="s">
        <v>2463</v>
      </c>
      <c r="C154" s="164" t="s">
        <v>2776</v>
      </c>
      <c r="D154" s="144" t="s">
        <v>2774</v>
      </c>
      <c r="E154" s="150" t="s">
        <v>2491</v>
      </c>
      <c r="F154" s="144" t="s">
        <v>2477</v>
      </c>
      <c r="G154" s="166"/>
      <c r="H154" s="151">
        <v>1</v>
      </c>
      <c r="I154" s="160">
        <v>100</v>
      </c>
      <c r="J154" s="159">
        <v>100</v>
      </c>
      <c r="K154" s="161">
        <v>100</v>
      </c>
      <c r="L154" s="159">
        <v>100</v>
      </c>
      <c r="M154" s="160">
        <v>100</v>
      </c>
      <c r="N154" s="145"/>
      <c r="O154" s="156" t="s">
        <v>135</v>
      </c>
      <c r="P154" s="144" t="s">
        <v>2478</v>
      </c>
      <c r="Q154" s="147"/>
      <c r="R154" s="146"/>
      <c r="S154" s="157"/>
      <c r="T154" s="144" t="s">
        <v>29</v>
      </c>
      <c r="U154" s="150" t="s">
        <v>2479</v>
      </c>
      <c r="V154" s="146">
        <v>2816</v>
      </c>
      <c r="W154" s="148" t="s">
        <v>2775</v>
      </c>
      <c r="X154" s="149">
        <v>45689</v>
      </c>
      <c r="Y154" s="165" t="s">
        <v>2474</v>
      </c>
    </row>
    <row r="155" spans="1:25">
      <c r="A155" s="163" t="s">
        <v>309</v>
      </c>
      <c r="B155" s="144" t="s">
        <v>2463</v>
      </c>
      <c r="C155" s="164" t="s">
        <v>2777</v>
      </c>
      <c r="D155" s="144" t="s">
        <v>2778</v>
      </c>
      <c r="E155" s="150" t="s">
        <v>2476</v>
      </c>
      <c r="F155" s="144" t="s">
        <v>2477</v>
      </c>
      <c r="G155" s="166"/>
      <c r="H155" s="151">
        <v>1</v>
      </c>
      <c r="I155" s="160">
        <v>130</v>
      </c>
      <c r="J155" s="159">
        <v>130</v>
      </c>
      <c r="K155" s="161">
        <v>130</v>
      </c>
      <c r="L155" s="159">
        <v>130</v>
      </c>
      <c r="M155" s="160">
        <v>130</v>
      </c>
      <c r="N155" s="145"/>
      <c r="O155" s="156" t="s">
        <v>135</v>
      </c>
      <c r="P155" s="144" t="s">
        <v>2478</v>
      </c>
      <c r="Q155" s="147"/>
      <c r="R155" s="146"/>
      <c r="S155" s="157"/>
      <c r="T155" s="144" t="s">
        <v>29</v>
      </c>
      <c r="U155" s="150" t="s">
        <v>2479</v>
      </c>
      <c r="V155" s="146">
        <v>2869</v>
      </c>
      <c r="W155" s="148" t="s">
        <v>2779</v>
      </c>
      <c r="X155" s="149">
        <v>45901</v>
      </c>
      <c r="Y155" s="165" t="s">
        <v>2780</v>
      </c>
    </row>
    <row r="156" spans="1:25">
      <c r="A156" s="163" t="s">
        <v>7</v>
      </c>
      <c r="B156" s="144" t="s">
        <v>2463</v>
      </c>
      <c r="C156" s="164" t="s">
        <v>2781</v>
      </c>
      <c r="D156" s="144" t="s">
        <v>2756</v>
      </c>
      <c r="E156" s="150" t="s">
        <v>2485</v>
      </c>
      <c r="F156" s="144" t="s">
        <v>2486</v>
      </c>
      <c r="G156" s="166"/>
      <c r="H156" s="151">
        <v>56</v>
      </c>
      <c r="I156" s="160"/>
      <c r="J156" s="159">
        <v>6.19</v>
      </c>
      <c r="K156" s="161"/>
      <c r="L156" s="159">
        <v>346.64</v>
      </c>
      <c r="M156" s="160">
        <v>346.64</v>
      </c>
      <c r="N156" s="145"/>
      <c r="O156" s="156" t="s">
        <v>135</v>
      </c>
      <c r="P156" s="144" t="s">
        <v>2478</v>
      </c>
      <c r="Q156" s="147"/>
      <c r="R156" s="146"/>
      <c r="S156" s="157"/>
      <c r="T156" s="144" t="s">
        <v>29</v>
      </c>
      <c r="U156" s="150" t="s">
        <v>17</v>
      </c>
      <c r="V156" s="146">
        <v>2005</v>
      </c>
      <c r="W156" s="148" t="s">
        <v>2782</v>
      </c>
      <c r="X156" s="149">
        <v>45689</v>
      </c>
      <c r="Y156" s="165" t="s">
        <v>2520</v>
      </c>
    </row>
    <row r="157" spans="1:25">
      <c r="A157" s="163" t="s">
        <v>309</v>
      </c>
      <c r="B157" s="144" t="s">
        <v>2463</v>
      </c>
      <c r="C157" s="164" t="s">
        <v>2783</v>
      </c>
      <c r="D157" s="144" t="s">
        <v>2784</v>
      </c>
      <c r="E157" s="150" t="s">
        <v>2491</v>
      </c>
      <c r="F157" s="144" t="s">
        <v>2477</v>
      </c>
      <c r="G157" s="166"/>
      <c r="H157" s="151">
        <v>144</v>
      </c>
      <c r="I157" s="160"/>
      <c r="J157" s="159">
        <v>3.47</v>
      </c>
      <c r="K157" s="161"/>
      <c r="L157" s="159">
        <v>500.11</v>
      </c>
      <c r="M157" s="160">
        <v>500.11</v>
      </c>
      <c r="N157" s="145"/>
      <c r="O157" s="156" t="s">
        <v>135</v>
      </c>
      <c r="P157" s="144" t="s">
        <v>2478</v>
      </c>
      <c r="Q157" s="147">
        <v>48030</v>
      </c>
      <c r="R157" s="146"/>
      <c r="S157" s="157"/>
      <c r="T157" s="144" t="s">
        <v>29</v>
      </c>
      <c r="U157" s="150" t="s">
        <v>2479</v>
      </c>
      <c r="V157" s="146">
        <v>2555</v>
      </c>
      <c r="W157" s="148" t="s">
        <v>2785</v>
      </c>
      <c r="X157" s="149">
        <v>45689</v>
      </c>
      <c r="Y157" s="165" t="s">
        <v>2474</v>
      </c>
    </row>
    <row r="158" spans="1:25">
      <c r="A158" s="163" t="s">
        <v>309</v>
      </c>
      <c r="B158" s="144" t="s">
        <v>2463</v>
      </c>
      <c r="C158" s="164" t="s">
        <v>2783</v>
      </c>
      <c r="D158" s="144" t="s">
        <v>2784</v>
      </c>
      <c r="E158" s="150" t="s">
        <v>2466</v>
      </c>
      <c r="F158" s="144" t="s">
        <v>2477</v>
      </c>
      <c r="G158" s="166"/>
      <c r="H158" s="151">
        <v>58</v>
      </c>
      <c r="I158" s="160"/>
      <c r="J158" s="159">
        <v>3.44</v>
      </c>
      <c r="K158" s="161"/>
      <c r="L158" s="159">
        <v>199.52</v>
      </c>
      <c r="M158" s="160">
        <v>199.52</v>
      </c>
      <c r="N158" s="145">
        <v>350</v>
      </c>
      <c r="O158" s="156" t="s">
        <v>135</v>
      </c>
      <c r="P158" s="144" t="s">
        <v>2468</v>
      </c>
      <c r="Q158" s="147">
        <v>48030</v>
      </c>
      <c r="R158" s="146"/>
      <c r="S158" s="157"/>
      <c r="T158" s="144" t="s">
        <v>29</v>
      </c>
      <c r="U158" s="150" t="s">
        <v>20</v>
      </c>
      <c r="V158" s="146">
        <v>2555</v>
      </c>
      <c r="W158" s="148" t="s">
        <v>2785</v>
      </c>
      <c r="X158" s="149">
        <v>45689</v>
      </c>
      <c r="Y158" s="165" t="s">
        <v>2474</v>
      </c>
    </row>
    <row r="159" spans="1:25">
      <c r="A159" s="163" t="s">
        <v>309</v>
      </c>
      <c r="B159" s="144" t="s">
        <v>163</v>
      </c>
      <c r="C159" s="164" t="s">
        <v>1378</v>
      </c>
      <c r="D159" s="144" t="s">
        <v>1379</v>
      </c>
      <c r="E159" s="150" t="s">
        <v>2555</v>
      </c>
      <c r="F159" s="144" t="s">
        <v>2786</v>
      </c>
      <c r="G159" s="166" t="s">
        <v>1380</v>
      </c>
      <c r="H159" s="151">
        <v>1</v>
      </c>
      <c r="I159" s="160"/>
      <c r="J159" s="159">
        <v>188</v>
      </c>
      <c r="K159" s="161"/>
      <c r="L159" s="159">
        <v>188</v>
      </c>
      <c r="M159" s="160">
        <v>188</v>
      </c>
      <c r="N159" s="145"/>
      <c r="O159" s="156" t="s">
        <v>166</v>
      </c>
      <c r="P159" s="144" t="s">
        <v>2468</v>
      </c>
      <c r="Q159" s="147"/>
      <c r="R159" s="146">
        <v>2046</v>
      </c>
      <c r="S159" s="157"/>
      <c r="T159" s="144" t="s">
        <v>25</v>
      </c>
      <c r="U159" s="150" t="s">
        <v>14</v>
      </c>
      <c r="V159" s="146">
        <v>1026</v>
      </c>
      <c r="W159" s="148"/>
      <c r="X159" s="149">
        <v>45689</v>
      </c>
      <c r="Y159" s="165" t="s">
        <v>2787</v>
      </c>
    </row>
    <row r="160" spans="1:25">
      <c r="A160" s="163" t="s">
        <v>309</v>
      </c>
      <c r="B160" s="144" t="s">
        <v>163</v>
      </c>
      <c r="C160" s="164" t="s">
        <v>1378</v>
      </c>
      <c r="D160" s="144" t="s">
        <v>1379</v>
      </c>
      <c r="E160" s="150" t="s">
        <v>2555</v>
      </c>
      <c r="F160" s="144" t="s">
        <v>2786</v>
      </c>
      <c r="G160" s="166" t="s">
        <v>2788</v>
      </c>
      <c r="H160" s="151">
        <v>1</v>
      </c>
      <c r="I160" s="160"/>
      <c r="J160" s="159">
        <v>188</v>
      </c>
      <c r="K160" s="161"/>
      <c r="L160" s="159">
        <v>188</v>
      </c>
      <c r="M160" s="160">
        <v>188</v>
      </c>
      <c r="N160" s="145"/>
      <c r="O160" s="156" t="s">
        <v>166</v>
      </c>
      <c r="P160" s="144" t="s">
        <v>2468</v>
      </c>
      <c r="Q160" s="147"/>
      <c r="R160" s="146">
        <v>2046</v>
      </c>
      <c r="S160" s="157"/>
      <c r="T160" s="144" t="s">
        <v>25</v>
      </c>
      <c r="U160" s="150" t="s">
        <v>14</v>
      </c>
      <c r="V160" s="146">
        <v>1026</v>
      </c>
      <c r="W160" s="148"/>
      <c r="X160" s="149">
        <v>45689</v>
      </c>
      <c r="Y160" s="165" t="s">
        <v>2787</v>
      </c>
    </row>
    <row r="161" spans="1:25">
      <c r="A161" s="163" t="s">
        <v>309</v>
      </c>
      <c r="B161" s="144" t="s">
        <v>163</v>
      </c>
      <c r="C161" s="164" t="s">
        <v>1378</v>
      </c>
      <c r="D161" s="144" t="s">
        <v>1379</v>
      </c>
      <c r="E161" s="150" t="s">
        <v>2555</v>
      </c>
      <c r="F161" s="144" t="s">
        <v>2786</v>
      </c>
      <c r="G161" s="166" t="s">
        <v>2789</v>
      </c>
      <c r="H161" s="151">
        <v>1</v>
      </c>
      <c r="I161" s="160"/>
      <c r="J161" s="159">
        <v>188</v>
      </c>
      <c r="K161" s="161"/>
      <c r="L161" s="159">
        <v>188</v>
      </c>
      <c r="M161" s="160">
        <v>188</v>
      </c>
      <c r="N161" s="145"/>
      <c r="O161" s="156" t="s">
        <v>166</v>
      </c>
      <c r="P161" s="144" t="s">
        <v>2468</v>
      </c>
      <c r="Q161" s="147"/>
      <c r="R161" s="146">
        <v>2046</v>
      </c>
      <c r="S161" s="157"/>
      <c r="T161" s="144" t="s">
        <v>25</v>
      </c>
      <c r="U161" s="150" t="s">
        <v>14</v>
      </c>
      <c r="V161" s="146">
        <v>1026</v>
      </c>
      <c r="W161" s="148"/>
      <c r="X161" s="149">
        <v>45689</v>
      </c>
      <c r="Y161" s="165" t="s">
        <v>2787</v>
      </c>
    </row>
    <row r="162" spans="1:25">
      <c r="A162" s="163" t="s">
        <v>309</v>
      </c>
      <c r="B162" s="144" t="s">
        <v>163</v>
      </c>
      <c r="C162" s="164" t="s">
        <v>2790</v>
      </c>
      <c r="D162" s="144" t="s">
        <v>2791</v>
      </c>
      <c r="E162" s="150" t="s">
        <v>2555</v>
      </c>
      <c r="F162" s="144" t="s">
        <v>2786</v>
      </c>
      <c r="G162" s="166" t="s">
        <v>2792</v>
      </c>
      <c r="H162" s="151">
        <v>1</v>
      </c>
      <c r="I162" s="160"/>
      <c r="J162" s="159">
        <v>173</v>
      </c>
      <c r="K162" s="161"/>
      <c r="L162" s="159">
        <v>173</v>
      </c>
      <c r="M162" s="160">
        <v>173</v>
      </c>
      <c r="N162" s="145"/>
      <c r="O162" s="156" t="s">
        <v>166</v>
      </c>
      <c r="P162" s="144" t="s">
        <v>2468</v>
      </c>
      <c r="Q162" s="147"/>
      <c r="R162" s="146">
        <v>2049</v>
      </c>
      <c r="S162" s="157"/>
      <c r="T162" s="144" t="s">
        <v>25</v>
      </c>
      <c r="U162" s="150" t="s">
        <v>14</v>
      </c>
      <c r="V162" s="146">
        <v>1027</v>
      </c>
      <c r="W162" s="148"/>
      <c r="X162" s="149">
        <v>45689</v>
      </c>
      <c r="Y162" s="165" t="s">
        <v>2474</v>
      </c>
    </row>
    <row r="163" spans="1:25">
      <c r="A163" s="163" t="s">
        <v>309</v>
      </c>
      <c r="B163" s="144" t="s">
        <v>163</v>
      </c>
      <c r="C163" s="164" t="s">
        <v>2790</v>
      </c>
      <c r="D163" s="144" t="s">
        <v>2791</v>
      </c>
      <c r="E163" s="150" t="s">
        <v>2555</v>
      </c>
      <c r="F163" s="144" t="s">
        <v>2786</v>
      </c>
      <c r="G163" s="166" t="s">
        <v>2793</v>
      </c>
      <c r="H163" s="151">
        <v>1</v>
      </c>
      <c r="I163" s="160"/>
      <c r="J163" s="159">
        <v>173</v>
      </c>
      <c r="K163" s="161"/>
      <c r="L163" s="159">
        <v>173</v>
      </c>
      <c r="M163" s="160">
        <v>173</v>
      </c>
      <c r="N163" s="145"/>
      <c r="O163" s="156" t="s">
        <v>166</v>
      </c>
      <c r="P163" s="144" t="s">
        <v>2468</v>
      </c>
      <c r="Q163" s="147"/>
      <c r="R163" s="146">
        <v>2049</v>
      </c>
      <c r="S163" s="157"/>
      <c r="T163" s="144" t="s">
        <v>25</v>
      </c>
      <c r="U163" s="150" t="s">
        <v>14</v>
      </c>
      <c r="V163" s="146">
        <v>1027</v>
      </c>
      <c r="W163" s="148"/>
      <c r="X163" s="149">
        <v>45689</v>
      </c>
      <c r="Y163" s="165" t="s">
        <v>2474</v>
      </c>
    </row>
    <row r="164" spans="1:25">
      <c r="A164" s="163" t="s">
        <v>309</v>
      </c>
      <c r="B164" s="144" t="s">
        <v>163</v>
      </c>
      <c r="C164" s="164" t="s">
        <v>2790</v>
      </c>
      <c r="D164" s="144" t="s">
        <v>2791</v>
      </c>
      <c r="E164" s="150" t="s">
        <v>2555</v>
      </c>
      <c r="F164" s="144" t="s">
        <v>2786</v>
      </c>
      <c r="G164" s="166" t="s">
        <v>2794</v>
      </c>
      <c r="H164" s="151">
        <v>1</v>
      </c>
      <c r="I164" s="160"/>
      <c r="J164" s="159">
        <v>173</v>
      </c>
      <c r="K164" s="161"/>
      <c r="L164" s="159">
        <v>173</v>
      </c>
      <c r="M164" s="160">
        <v>173</v>
      </c>
      <c r="N164" s="145"/>
      <c r="O164" s="156" t="s">
        <v>166</v>
      </c>
      <c r="P164" s="144" t="s">
        <v>2468</v>
      </c>
      <c r="Q164" s="147"/>
      <c r="R164" s="146">
        <v>2049</v>
      </c>
      <c r="S164" s="157"/>
      <c r="T164" s="144" t="s">
        <v>25</v>
      </c>
      <c r="U164" s="150" t="s">
        <v>14</v>
      </c>
      <c r="V164" s="146">
        <v>1027</v>
      </c>
      <c r="W164" s="148"/>
      <c r="X164" s="149">
        <v>45689</v>
      </c>
      <c r="Y164" s="165" t="s">
        <v>2474</v>
      </c>
    </row>
    <row r="165" spans="1:25">
      <c r="A165" s="163" t="s">
        <v>309</v>
      </c>
      <c r="B165" s="144" t="s">
        <v>2463</v>
      </c>
      <c r="C165" s="164" t="s">
        <v>2795</v>
      </c>
      <c r="D165" s="144" t="s">
        <v>1379</v>
      </c>
      <c r="E165" s="150" t="s">
        <v>2466</v>
      </c>
      <c r="F165" s="144" t="s">
        <v>2467</v>
      </c>
      <c r="G165" s="166"/>
      <c r="H165" s="151">
        <v>1</v>
      </c>
      <c r="I165" s="160">
        <v>500</v>
      </c>
      <c r="J165" s="159">
        <v>500</v>
      </c>
      <c r="K165" s="161">
        <v>500</v>
      </c>
      <c r="L165" s="159">
        <v>500</v>
      </c>
      <c r="M165" s="160">
        <v>500</v>
      </c>
      <c r="N165" s="145">
        <v>2000</v>
      </c>
      <c r="O165" s="156" t="s">
        <v>135</v>
      </c>
      <c r="P165" s="144" t="s">
        <v>2468</v>
      </c>
      <c r="Q165" s="147"/>
      <c r="R165" s="146"/>
      <c r="S165" s="157"/>
      <c r="T165" s="144" t="s">
        <v>29</v>
      </c>
      <c r="U165" s="150" t="s">
        <v>20</v>
      </c>
      <c r="V165" s="146">
        <v>3077</v>
      </c>
      <c r="W165" s="148" t="s">
        <v>2796</v>
      </c>
      <c r="X165" s="149">
        <v>45901</v>
      </c>
      <c r="Y165" s="165" t="s">
        <v>2712</v>
      </c>
    </row>
    <row r="166" spans="1:25">
      <c r="A166" s="163" t="s">
        <v>309</v>
      </c>
      <c r="B166" s="144" t="s">
        <v>2463</v>
      </c>
      <c r="C166" s="164" t="s">
        <v>2797</v>
      </c>
      <c r="D166" s="144" t="s">
        <v>2798</v>
      </c>
      <c r="E166" s="150" t="s">
        <v>2466</v>
      </c>
      <c r="F166" s="144" t="s">
        <v>2467</v>
      </c>
      <c r="G166" s="166"/>
      <c r="H166" s="151">
        <v>1</v>
      </c>
      <c r="I166" s="160">
        <v>212</v>
      </c>
      <c r="J166" s="159">
        <v>212</v>
      </c>
      <c r="K166" s="161">
        <v>212</v>
      </c>
      <c r="L166" s="159">
        <v>212</v>
      </c>
      <c r="M166" s="160">
        <v>212</v>
      </c>
      <c r="N166" s="145">
        <v>0</v>
      </c>
      <c r="O166" s="156" t="s">
        <v>135</v>
      </c>
      <c r="P166" s="144" t="s">
        <v>2468</v>
      </c>
      <c r="Q166" s="147"/>
      <c r="R166" s="146"/>
      <c r="S166" s="157"/>
      <c r="T166" s="144" t="s">
        <v>29</v>
      </c>
      <c r="U166" s="150" t="s">
        <v>20</v>
      </c>
      <c r="V166" s="146">
        <v>2978</v>
      </c>
      <c r="W166" s="148" t="s">
        <v>2799</v>
      </c>
      <c r="X166" s="149">
        <v>45901</v>
      </c>
      <c r="Y166" s="165" t="s">
        <v>2800</v>
      </c>
    </row>
    <row r="167" spans="1:25">
      <c r="A167" s="163" t="s">
        <v>309</v>
      </c>
      <c r="B167" s="144" t="s">
        <v>2463</v>
      </c>
      <c r="C167" s="164" t="s">
        <v>2801</v>
      </c>
      <c r="D167" s="144" t="s">
        <v>2798</v>
      </c>
      <c r="E167" s="150" t="s">
        <v>2466</v>
      </c>
      <c r="F167" s="144" t="s">
        <v>2467</v>
      </c>
      <c r="G167" s="166"/>
      <c r="H167" s="151">
        <v>1</v>
      </c>
      <c r="I167" s="160">
        <v>212</v>
      </c>
      <c r="J167" s="159">
        <v>212</v>
      </c>
      <c r="K167" s="161">
        <v>212</v>
      </c>
      <c r="L167" s="159">
        <v>212</v>
      </c>
      <c r="M167" s="160">
        <v>212</v>
      </c>
      <c r="N167" s="145">
        <v>0</v>
      </c>
      <c r="O167" s="156" t="s">
        <v>135</v>
      </c>
      <c r="P167" s="144" t="s">
        <v>2468</v>
      </c>
      <c r="Q167" s="147"/>
      <c r="R167" s="146"/>
      <c r="S167" s="157"/>
      <c r="T167" s="144" t="s">
        <v>29</v>
      </c>
      <c r="U167" s="150" t="s">
        <v>20</v>
      </c>
      <c r="V167" s="146">
        <v>2979</v>
      </c>
      <c r="W167" s="148" t="s">
        <v>2802</v>
      </c>
      <c r="X167" s="149">
        <v>45901</v>
      </c>
      <c r="Y167" s="165" t="s">
        <v>2800</v>
      </c>
    </row>
    <row r="168" spans="1:25">
      <c r="A168" s="163" t="s">
        <v>309</v>
      </c>
      <c r="B168" s="144" t="s">
        <v>2463</v>
      </c>
      <c r="C168" s="164" t="s">
        <v>2803</v>
      </c>
      <c r="D168" s="144" t="s">
        <v>2798</v>
      </c>
      <c r="E168" s="150" t="s">
        <v>2466</v>
      </c>
      <c r="F168" s="144" t="s">
        <v>2467</v>
      </c>
      <c r="G168" s="166"/>
      <c r="H168" s="151">
        <v>1</v>
      </c>
      <c r="I168" s="160">
        <v>212</v>
      </c>
      <c r="J168" s="159">
        <v>212</v>
      </c>
      <c r="K168" s="161">
        <v>212</v>
      </c>
      <c r="L168" s="159">
        <v>212</v>
      </c>
      <c r="M168" s="160">
        <v>212</v>
      </c>
      <c r="N168" s="145">
        <v>0</v>
      </c>
      <c r="O168" s="156" t="s">
        <v>135</v>
      </c>
      <c r="P168" s="144" t="s">
        <v>2468</v>
      </c>
      <c r="Q168" s="147"/>
      <c r="R168" s="146"/>
      <c r="S168" s="157"/>
      <c r="T168" s="144" t="s">
        <v>29</v>
      </c>
      <c r="U168" s="150" t="s">
        <v>20</v>
      </c>
      <c r="V168" s="146">
        <v>2980</v>
      </c>
      <c r="W168" s="148" t="s">
        <v>2804</v>
      </c>
      <c r="X168" s="149">
        <v>45901</v>
      </c>
      <c r="Y168" s="165" t="s">
        <v>2800</v>
      </c>
    </row>
    <row r="169" spans="1:25">
      <c r="A169" s="163" t="s">
        <v>309</v>
      </c>
      <c r="B169" s="144" t="s">
        <v>2463</v>
      </c>
      <c r="C169" s="164" t="s">
        <v>2805</v>
      </c>
      <c r="D169" s="144" t="s">
        <v>2798</v>
      </c>
      <c r="E169" s="150" t="s">
        <v>2466</v>
      </c>
      <c r="F169" s="144" t="s">
        <v>2467</v>
      </c>
      <c r="G169" s="166"/>
      <c r="H169" s="151">
        <v>1</v>
      </c>
      <c r="I169" s="160">
        <v>212</v>
      </c>
      <c r="J169" s="159">
        <v>212</v>
      </c>
      <c r="K169" s="161">
        <v>212</v>
      </c>
      <c r="L169" s="159">
        <v>212</v>
      </c>
      <c r="M169" s="160">
        <v>212</v>
      </c>
      <c r="N169" s="145">
        <v>0</v>
      </c>
      <c r="O169" s="156" t="s">
        <v>135</v>
      </c>
      <c r="P169" s="144" t="s">
        <v>2468</v>
      </c>
      <c r="Q169" s="147"/>
      <c r="R169" s="146"/>
      <c r="S169" s="157"/>
      <c r="T169" s="144" t="s">
        <v>29</v>
      </c>
      <c r="U169" s="150" t="s">
        <v>20</v>
      </c>
      <c r="V169" s="146">
        <v>2981</v>
      </c>
      <c r="W169" s="148" t="s">
        <v>2806</v>
      </c>
      <c r="X169" s="149">
        <v>45901</v>
      </c>
      <c r="Y169" s="165" t="s">
        <v>2800</v>
      </c>
    </row>
    <row r="170" spans="1:25">
      <c r="A170" s="163" t="s">
        <v>309</v>
      </c>
      <c r="B170" s="144" t="s">
        <v>2463</v>
      </c>
      <c r="C170" s="164" t="s">
        <v>310</v>
      </c>
      <c r="D170" s="144" t="s">
        <v>311</v>
      </c>
      <c r="E170" s="150" t="s">
        <v>2466</v>
      </c>
      <c r="F170" s="144" t="s">
        <v>2467</v>
      </c>
      <c r="G170" s="166" t="s">
        <v>2807</v>
      </c>
      <c r="H170" s="151">
        <v>112</v>
      </c>
      <c r="I170" s="160">
        <v>0</v>
      </c>
      <c r="J170" s="159">
        <v>1.83</v>
      </c>
      <c r="K170" s="161">
        <v>0</v>
      </c>
      <c r="L170" s="159">
        <v>204.96</v>
      </c>
      <c r="M170" s="160">
        <v>204.96</v>
      </c>
      <c r="N170" s="145">
        <v>410</v>
      </c>
      <c r="O170" s="156" t="s">
        <v>27</v>
      </c>
      <c r="P170" s="144" t="s">
        <v>2468</v>
      </c>
      <c r="Q170" s="147">
        <v>46174</v>
      </c>
      <c r="R170" s="146">
        <v>2066</v>
      </c>
      <c r="S170" s="157"/>
      <c r="T170" s="144" t="s">
        <v>27</v>
      </c>
      <c r="U170" s="150" t="s">
        <v>20</v>
      </c>
      <c r="V170" s="146">
        <v>2526</v>
      </c>
      <c r="W170" s="148" t="s">
        <v>2808</v>
      </c>
      <c r="X170" s="149">
        <v>45901</v>
      </c>
      <c r="Y170" s="165" t="s">
        <v>2578</v>
      </c>
    </row>
    <row r="171" spans="1:25">
      <c r="A171" s="163" t="s">
        <v>7</v>
      </c>
      <c r="B171" s="144" t="s">
        <v>2463</v>
      </c>
      <c r="C171" s="164" t="s">
        <v>529</v>
      </c>
      <c r="D171" s="144" t="s">
        <v>540</v>
      </c>
      <c r="E171" s="150" t="s">
        <v>2467</v>
      </c>
      <c r="F171" s="144" t="s">
        <v>2477</v>
      </c>
      <c r="G171" s="166"/>
      <c r="H171" s="151">
        <v>1</v>
      </c>
      <c r="I171" s="160">
        <v>100</v>
      </c>
      <c r="J171" s="159">
        <v>100</v>
      </c>
      <c r="K171" s="161">
        <v>100</v>
      </c>
      <c r="L171" s="159">
        <v>100</v>
      </c>
      <c r="M171" s="160">
        <v>100</v>
      </c>
      <c r="N171" s="145"/>
      <c r="O171" s="156" t="s">
        <v>135</v>
      </c>
      <c r="P171" s="144" t="s">
        <v>2478</v>
      </c>
      <c r="Q171" s="147"/>
      <c r="R171" s="146"/>
      <c r="S171" s="157"/>
      <c r="T171" s="144" t="s">
        <v>29</v>
      </c>
      <c r="U171" s="150" t="s">
        <v>2479</v>
      </c>
      <c r="V171" s="146">
        <v>1592</v>
      </c>
      <c r="W171" s="148" t="s">
        <v>2809</v>
      </c>
      <c r="X171" s="149">
        <v>45901</v>
      </c>
      <c r="Y171" s="165" t="s">
        <v>2810</v>
      </c>
    </row>
    <row r="172" spans="1:25">
      <c r="A172" s="163" t="s">
        <v>380</v>
      </c>
      <c r="B172" s="144" t="s">
        <v>2463</v>
      </c>
      <c r="C172" s="164" t="s">
        <v>2811</v>
      </c>
      <c r="D172" s="144" t="s">
        <v>854</v>
      </c>
      <c r="E172" s="150" t="s">
        <v>2491</v>
      </c>
      <c r="F172" s="144" t="s">
        <v>2477</v>
      </c>
      <c r="G172" s="166"/>
      <c r="H172" s="151">
        <v>1</v>
      </c>
      <c r="I172" s="160">
        <v>300</v>
      </c>
      <c r="J172" s="159">
        <v>300</v>
      </c>
      <c r="K172" s="161">
        <v>300</v>
      </c>
      <c r="L172" s="159">
        <v>300</v>
      </c>
      <c r="M172" s="160">
        <v>300</v>
      </c>
      <c r="N172" s="145">
        <v>0</v>
      </c>
      <c r="O172" s="156" t="s">
        <v>135</v>
      </c>
      <c r="P172" s="144" t="s">
        <v>2478</v>
      </c>
      <c r="Q172" s="147"/>
      <c r="R172" s="146">
        <v>2051</v>
      </c>
      <c r="S172" s="157"/>
      <c r="T172" s="144" t="s">
        <v>29</v>
      </c>
      <c r="U172" s="150" t="s">
        <v>2479</v>
      </c>
      <c r="V172" s="146">
        <v>1686</v>
      </c>
      <c r="W172" s="148"/>
      <c r="X172" s="149">
        <v>45689</v>
      </c>
      <c r="Y172" s="165" t="s">
        <v>2470</v>
      </c>
    </row>
    <row r="173" spans="1:25">
      <c r="A173" s="163" t="s">
        <v>309</v>
      </c>
      <c r="B173" s="144" t="s">
        <v>2463</v>
      </c>
      <c r="C173" s="164" t="s">
        <v>2812</v>
      </c>
      <c r="D173" s="144" t="s">
        <v>2813</v>
      </c>
      <c r="E173" s="150" t="s">
        <v>2555</v>
      </c>
      <c r="F173" s="144" t="s">
        <v>2814</v>
      </c>
      <c r="G173" s="166"/>
      <c r="H173" s="151">
        <v>1</v>
      </c>
      <c r="I173" s="160">
        <v>0</v>
      </c>
      <c r="J173" s="159">
        <v>400</v>
      </c>
      <c r="K173" s="161">
        <v>0</v>
      </c>
      <c r="L173" s="159">
        <v>400</v>
      </c>
      <c r="M173" s="160">
        <v>400</v>
      </c>
      <c r="N173" s="145"/>
      <c r="O173" s="156" t="s">
        <v>135</v>
      </c>
      <c r="P173" s="144" t="s">
        <v>2468</v>
      </c>
      <c r="Q173" s="147">
        <v>47088</v>
      </c>
      <c r="R173" s="146"/>
      <c r="S173" s="157"/>
      <c r="T173" s="144" t="s">
        <v>29</v>
      </c>
      <c r="U173" s="150" t="s">
        <v>14</v>
      </c>
      <c r="V173" s="146">
        <v>2568</v>
      </c>
      <c r="W173" s="148" t="s">
        <v>2815</v>
      </c>
      <c r="X173" s="149">
        <v>45901</v>
      </c>
      <c r="Y173" s="165" t="s">
        <v>2671</v>
      </c>
    </row>
    <row r="174" spans="1:25">
      <c r="A174" s="163" t="s">
        <v>380</v>
      </c>
      <c r="B174" s="144" t="s">
        <v>2463</v>
      </c>
      <c r="C174" s="164" t="s">
        <v>2816</v>
      </c>
      <c r="D174" s="144" t="s">
        <v>2817</v>
      </c>
      <c r="E174" s="150" t="s">
        <v>2466</v>
      </c>
      <c r="F174" s="144" t="s">
        <v>2467</v>
      </c>
      <c r="G174" s="166"/>
      <c r="H174" s="151">
        <v>58</v>
      </c>
      <c r="I174" s="160">
        <v>0</v>
      </c>
      <c r="J174" s="159">
        <v>4.3099999999999996</v>
      </c>
      <c r="K174" s="161">
        <v>0</v>
      </c>
      <c r="L174" s="159">
        <v>249.98</v>
      </c>
      <c r="M174" s="160">
        <v>249.98</v>
      </c>
      <c r="N174" s="145">
        <v>1000</v>
      </c>
      <c r="O174" s="156" t="s">
        <v>135</v>
      </c>
      <c r="P174" s="144" t="s">
        <v>2468</v>
      </c>
      <c r="Q174" s="147"/>
      <c r="R174" s="146"/>
      <c r="S174" s="157"/>
      <c r="T174" s="144" t="s">
        <v>29</v>
      </c>
      <c r="U174" s="150" t="s">
        <v>20</v>
      </c>
      <c r="V174" s="146">
        <v>2652</v>
      </c>
      <c r="W174" s="148" t="s">
        <v>2818</v>
      </c>
      <c r="X174" s="149"/>
      <c r="Y174" s="165" t="s">
        <v>2474</v>
      </c>
    </row>
    <row r="175" spans="1:25">
      <c r="A175" s="163" t="s">
        <v>309</v>
      </c>
      <c r="B175" s="144" t="s">
        <v>2463</v>
      </c>
      <c r="C175" s="164" t="s">
        <v>329</v>
      </c>
      <c r="D175" s="144" t="s">
        <v>330</v>
      </c>
      <c r="E175" s="150" t="s">
        <v>2491</v>
      </c>
      <c r="F175" s="144" t="s">
        <v>2477</v>
      </c>
      <c r="G175" s="166"/>
      <c r="H175" s="151">
        <v>92</v>
      </c>
      <c r="I175" s="160">
        <v>4</v>
      </c>
      <c r="J175" s="159">
        <v>4</v>
      </c>
      <c r="K175" s="161">
        <v>368</v>
      </c>
      <c r="L175" s="159">
        <v>368</v>
      </c>
      <c r="M175" s="160">
        <v>368</v>
      </c>
      <c r="N175" s="145"/>
      <c r="O175" s="156" t="s">
        <v>27</v>
      </c>
      <c r="P175" s="144" t="s">
        <v>2478</v>
      </c>
      <c r="Q175" s="147">
        <v>46235</v>
      </c>
      <c r="R175" s="146">
        <v>2056</v>
      </c>
      <c r="S175" s="157"/>
      <c r="T175" s="144" t="s">
        <v>27</v>
      </c>
      <c r="U175" s="150" t="s">
        <v>2479</v>
      </c>
      <c r="V175" s="146">
        <v>1718</v>
      </c>
      <c r="W175" s="148" t="s">
        <v>2819</v>
      </c>
      <c r="X175" s="149">
        <v>45901</v>
      </c>
      <c r="Y175" s="165" t="s">
        <v>2820</v>
      </c>
    </row>
    <row r="176" spans="1:25">
      <c r="A176" s="163" t="s">
        <v>309</v>
      </c>
      <c r="B176" s="144" t="s">
        <v>2463</v>
      </c>
      <c r="C176" s="164" t="s">
        <v>869</v>
      </c>
      <c r="D176" s="144" t="s">
        <v>330</v>
      </c>
      <c r="E176" s="150" t="s">
        <v>2466</v>
      </c>
      <c r="F176" s="144" t="s">
        <v>2467</v>
      </c>
      <c r="G176" s="166"/>
      <c r="H176" s="151">
        <v>100</v>
      </c>
      <c r="I176" s="160"/>
      <c r="J176" s="159">
        <v>2.4</v>
      </c>
      <c r="K176" s="161"/>
      <c r="L176" s="159">
        <v>240</v>
      </c>
      <c r="M176" s="160">
        <v>240</v>
      </c>
      <c r="N176" s="145">
        <v>360</v>
      </c>
      <c r="O176" s="156" t="s">
        <v>28</v>
      </c>
      <c r="P176" s="144" t="s">
        <v>2468</v>
      </c>
      <c r="Q176" s="147">
        <v>46388</v>
      </c>
      <c r="R176" s="146">
        <v>2056</v>
      </c>
      <c r="S176" s="157"/>
      <c r="T176" s="144" t="s">
        <v>28</v>
      </c>
      <c r="U176" s="150" t="s">
        <v>20</v>
      </c>
      <c r="V176" s="146">
        <v>2891</v>
      </c>
      <c r="W176" s="148"/>
      <c r="X176" s="149">
        <v>45901</v>
      </c>
      <c r="Y176" s="165" t="s">
        <v>2820</v>
      </c>
    </row>
    <row r="177" spans="1:25">
      <c r="A177" s="163" t="s">
        <v>7</v>
      </c>
      <c r="B177" s="144" t="s">
        <v>163</v>
      </c>
      <c r="C177" s="164" t="s">
        <v>2821</v>
      </c>
      <c r="D177" s="144" t="s">
        <v>2822</v>
      </c>
      <c r="E177" s="150" t="s">
        <v>2639</v>
      </c>
      <c r="F177" s="144" t="s">
        <v>2823</v>
      </c>
      <c r="G177" s="166" t="s">
        <v>2824</v>
      </c>
      <c r="H177" s="151">
        <v>1</v>
      </c>
      <c r="I177" s="160">
        <v>38</v>
      </c>
      <c r="J177" s="159">
        <v>38</v>
      </c>
      <c r="K177" s="161">
        <v>38</v>
      </c>
      <c r="L177" s="159">
        <v>38</v>
      </c>
      <c r="M177" s="160">
        <v>38</v>
      </c>
      <c r="N177" s="145"/>
      <c r="O177" s="156" t="s">
        <v>166</v>
      </c>
      <c r="P177" s="144" t="s">
        <v>2480</v>
      </c>
      <c r="Q177" s="147"/>
      <c r="R177" s="146">
        <v>2038</v>
      </c>
      <c r="S177" s="157"/>
      <c r="T177" s="144" t="s">
        <v>25</v>
      </c>
      <c r="U177" s="150" t="s">
        <v>19</v>
      </c>
      <c r="V177" s="146">
        <v>1439</v>
      </c>
      <c r="W177" s="148"/>
      <c r="X177" s="149">
        <v>45778</v>
      </c>
      <c r="Y177" s="165" t="s">
        <v>2825</v>
      </c>
    </row>
    <row r="178" spans="1:25">
      <c r="A178" s="163" t="s">
        <v>7</v>
      </c>
      <c r="B178" s="144" t="s">
        <v>163</v>
      </c>
      <c r="C178" s="164" t="s">
        <v>958</v>
      </c>
      <c r="D178" s="144" t="s">
        <v>205</v>
      </c>
      <c r="E178" s="150" t="s">
        <v>2466</v>
      </c>
      <c r="F178" s="144" t="s">
        <v>2467</v>
      </c>
      <c r="G178" s="166" t="s">
        <v>2826</v>
      </c>
      <c r="H178" s="151">
        <v>1</v>
      </c>
      <c r="I178" s="160"/>
      <c r="J178" s="159">
        <v>50</v>
      </c>
      <c r="K178" s="161"/>
      <c r="L178" s="159">
        <v>50</v>
      </c>
      <c r="M178" s="160">
        <v>50</v>
      </c>
      <c r="N178" s="145">
        <v>50</v>
      </c>
      <c r="O178" s="156" t="s">
        <v>166</v>
      </c>
      <c r="P178" s="144" t="s">
        <v>2468</v>
      </c>
      <c r="Q178" s="147">
        <v>45444</v>
      </c>
      <c r="R178" s="146">
        <v>2043</v>
      </c>
      <c r="S178" s="157"/>
      <c r="T178" s="144" t="s">
        <v>25</v>
      </c>
      <c r="U178" s="150" t="s">
        <v>20</v>
      </c>
      <c r="V178" s="146">
        <v>2172</v>
      </c>
      <c r="W178" s="148" t="s">
        <v>2827</v>
      </c>
      <c r="X178" s="149">
        <v>45689</v>
      </c>
      <c r="Y178" s="165" t="s">
        <v>2558</v>
      </c>
    </row>
    <row r="179" spans="1:25">
      <c r="A179" s="163" t="s">
        <v>7</v>
      </c>
      <c r="B179" s="144" t="s">
        <v>163</v>
      </c>
      <c r="C179" s="164" t="s">
        <v>2828</v>
      </c>
      <c r="D179" s="144" t="s">
        <v>2829</v>
      </c>
      <c r="E179" s="150" t="s">
        <v>2555</v>
      </c>
      <c r="F179" s="144" t="s">
        <v>2502</v>
      </c>
      <c r="G179" s="166" t="s">
        <v>2830</v>
      </c>
      <c r="H179" s="151">
        <v>1</v>
      </c>
      <c r="I179" s="160">
        <v>25</v>
      </c>
      <c r="J179" s="159">
        <v>50</v>
      </c>
      <c r="K179" s="161">
        <v>25</v>
      </c>
      <c r="L179" s="159">
        <v>50</v>
      </c>
      <c r="M179" s="160">
        <v>50</v>
      </c>
      <c r="N179" s="145"/>
      <c r="O179" s="156" t="s">
        <v>166</v>
      </c>
      <c r="P179" s="144" t="s">
        <v>2480</v>
      </c>
      <c r="Q179" s="147"/>
      <c r="R179" s="146">
        <v>2027</v>
      </c>
      <c r="S179" s="157"/>
      <c r="T179" s="144" t="s">
        <v>25</v>
      </c>
      <c r="U179" s="150" t="s">
        <v>14</v>
      </c>
      <c r="V179" s="146">
        <v>1030</v>
      </c>
      <c r="W179" s="148"/>
      <c r="X179" s="149">
        <v>45778</v>
      </c>
      <c r="Y179" s="165" t="s">
        <v>2825</v>
      </c>
    </row>
    <row r="180" spans="1:25">
      <c r="A180" s="163" t="s">
        <v>7</v>
      </c>
      <c r="B180" s="144" t="s">
        <v>163</v>
      </c>
      <c r="C180" s="164" t="s">
        <v>2251</v>
      </c>
      <c r="D180" s="144" t="s">
        <v>1388</v>
      </c>
      <c r="E180" s="150" t="s">
        <v>2476</v>
      </c>
      <c r="F180" s="144" t="s">
        <v>2477</v>
      </c>
      <c r="G180" s="166" t="s">
        <v>2831</v>
      </c>
      <c r="H180" s="151">
        <v>40</v>
      </c>
      <c r="I180" s="160"/>
      <c r="J180" s="159">
        <v>1.33</v>
      </c>
      <c r="K180" s="161"/>
      <c r="L180" s="159">
        <v>53</v>
      </c>
      <c r="M180" s="160">
        <v>53</v>
      </c>
      <c r="N180" s="145"/>
      <c r="O180" s="156" t="s">
        <v>166</v>
      </c>
      <c r="P180" s="144" t="s">
        <v>2478</v>
      </c>
      <c r="Q180" s="147"/>
      <c r="R180" s="146">
        <v>2043</v>
      </c>
      <c r="S180" s="157"/>
      <c r="T180" s="144" t="s">
        <v>25</v>
      </c>
      <c r="U180" s="150" t="s">
        <v>2479</v>
      </c>
      <c r="V180" s="146">
        <v>1266</v>
      </c>
      <c r="W180" s="148"/>
      <c r="X180" s="149">
        <v>45689</v>
      </c>
      <c r="Y180" s="165" t="s">
        <v>2609</v>
      </c>
    </row>
    <row r="181" spans="1:25">
      <c r="A181" s="163" t="s">
        <v>423</v>
      </c>
      <c r="B181" s="144" t="s">
        <v>163</v>
      </c>
      <c r="C181" s="164" t="s">
        <v>999</v>
      </c>
      <c r="D181" s="144" t="s">
        <v>1000</v>
      </c>
      <c r="E181" s="150" t="s">
        <v>2506</v>
      </c>
      <c r="F181" s="144" t="s">
        <v>2467</v>
      </c>
      <c r="G181" s="166" t="s">
        <v>2832</v>
      </c>
      <c r="H181" s="151">
        <v>1</v>
      </c>
      <c r="I181" s="160">
        <v>2.83</v>
      </c>
      <c r="J181" s="159">
        <v>2.83</v>
      </c>
      <c r="K181" s="161">
        <v>2.83</v>
      </c>
      <c r="L181" s="159">
        <v>2.83</v>
      </c>
      <c r="M181" s="160">
        <v>2.83</v>
      </c>
      <c r="N181" s="145"/>
      <c r="O181" s="156" t="s">
        <v>166</v>
      </c>
      <c r="P181" s="144" t="s">
        <v>2480</v>
      </c>
      <c r="Q181" s="147"/>
      <c r="R181" s="146">
        <v>2050</v>
      </c>
      <c r="S181" s="157"/>
      <c r="T181" s="144" t="s">
        <v>25</v>
      </c>
      <c r="U181" s="150" t="s">
        <v>21</v>
      </c>
      <c r="V181" s="146">
        <v>2860</v>
      </c>
      <c r="W181" s="148"/>
      <c r="X181" s="149"/>
      <c r="Y181" s="165"/>
    </row>
    <row r="182" spans="1:25">
      <c r="A182" s="163" t="s">
        <v>7</v>
      </c>
      <c r="B182" s="144" t="s">
        <v>163</v>
      </c>
      <c r="C182" s="164" t="s">
        <v>2833</v>
      </c>
      <c r="D182" s="144" t="s">
        <v>2834</v>
      </c>
      <c r="E182" s="150" t="s">
        <v>2593</v>
      </c>
      <c r="F182" s="144" t="s">
        <v>2482</v>
      </c>
      <c r="G182" s="166" t="s">
        <v>2835</v>
      </c>
      <c r="H182" s="151">
        <v>1</v>
      </c>
      <c r="I182" s="160"/>
      <c r="J182" s="159">
        <v>5</v>
      </c>
      <c r="K182" s="161"/>
      <c r="L182" s="159">
        <v>5</v>
      </c>
      <c r="M182" s="160">
        <v>5</v>
      </c>
      <c r="N182" s="145"/>
      <c r="O182" s="156" t="s">
        <v>166</v>
      </c>
      <c r="P182" s="144" t="s">
        <v>2480</v>
      </c>
      <c r="Q182" s="147"/>
      <c r="R182" s="146"/>
      <c r="S182" s="157"/>
      <c r="T182" s="144" t="s">
        <v>25</v>
      </c>
      <c r="U182" s="150" t="s">
        <v>18</v>
      </c>
      <c r="V182" s="146">
        <v>2076</v>
      </c>
      <c r="W182" s="148"/>
      <c r="X182" s="149"/>
      <c r="Y182" s="165"/>
    </row>
    <row r="183" spans="1:25">
      <c r="A183" s="163" t="s">
        <v>309</v>
      </c>
      <c r="B183" s="144" t="s">
        <v>163</v>
      </c>
      <c r="C183" s="164" t="s">
        <v>855</v>
      </c>
      <c r="D183" s="144" t="s">
        <v>856</v>
      </c>
      <c r="E183" s="150" t="s">
        <v>2506</v>
      </c>
      <c r="F183" s="144" t="s">
        <v>2467</v>
      </c>
      <c r="G183" s="166" t="s">
        <v>857</v>
      </c>
      <c r="H183" s="151">
        <v>1</v>
      </c>
      <c r="I183" s="160"/>
      <c r="J183" s="159">
        <v>1.03</v>
      </c>
      <c r="K183" s="161"/>
      <c r="L183" s="159">
        <v>1.03</v>
      </c>
      <c r="M183" s="160">
        <v>1.03</v>
      </c>
      <c r="N183" s="145"/>
      <c r="O183" s="156" t="s">
        <v>166</v>
      </c>
      <c r="P183" s="144" t="s">
        <v>2480</v>
      </c>
      <c r="Q183" s="147"/>
      <c r="R183" s="146"/>
      <c r="S183" s="157"/>
      <c r="T183" s="144" t="s">
        <v>25</v>
      </c>
      <c r="U183" s="150" t="s">
        <v>21</v>
      </c>
      <c r="V183" s="146">
        <v>1031</v>
      </c>
      <c r="W183" s="148"/>
      <c r="X183" s="149">
        <v>45566</v>
      </c>
      <c r="Y183" s="165" t="s">
        <v>2836</v>
      </c>
    </row>
    <row r="184" spans="1:25">
      <c r="A184" s="163" t="s">
        <v>309</v>
      </c>
      <c r="B184" s="144" t="s">
        <v>163</v>
      </c>
      <c r="C184" s="164" t="s">
        <v>855</v>
      </c>
      <c r="D184" s="144" t="s">
        <v>856</v>
      </c>
      <c r="E184" s="150" t="s">
        <v>2506</v>
      </c>
      <c r="F184" s="144" t="s">
        <v>2467</v>
      </c>
      <c r="G184" s="166" t="s">
        <v>857</v>
      </c>
      <c r="H184" s="151">
        <v>1</v>
      </c>
      <c r="I184" s="160"/>
      <c r="J184" s="159">
        <v>1.1499999999999999</v>
      </c>
      <c r="K184" s="161"/>
      <c r="L184" s="159">
        <v>1.1499999999999999</v>
      </c>
      <c r="M184" s="160">
        <v>1.1499999999999999</v>
      </c>
      <c r="N184" s="145"/>
      <c r="O184" s="156" t="s">
        <v>166</v>
      </c>
      <c r="P184" s="144" t="s">
        <v>2480</v>
      </c>
      <c r="Q184" s="147"/>
      <c r="R184" s="146">
        <v>2050</v>
      </c>
      <c r="S184" s="157"/>
      <c r="T184" s="144" t="s">
        <v>25</v>
      </c>
      <c r="U184" s="150" t="s">
        <v>21</v>
      </c>
      <c r="V184" s="146">
        <v>1031</v>
      </c>
      <c r="W184" s="148"/>
      <c r="X184" s="149">
        <v>45566</v>
      </c>
      <c r="Y184" s="165" t="s">
        <v>2836</v>
      </c>
    </row>
    <row r="185" spans="1:25">
      <c r="A185" s="163" t="s">
        <v>7</v>
      </c>
      <c r="B185" s="144" t="s">
        <v>2463</v>
      </c>
      <c r="C185" s="164" t="s">
        <v>2837</v>
      </c>
      <c r="D185" s="144" t="s">
        <v>2838</v>
      </c>
      <c r="E185" s="150" t="s">
        <v>2466</v>
      </c>
      <c r="F185" s="144" t="s">
        <v>2467</v>
      </c>
      <c r="G185" s="166"/>
      <c r="H185" s="151">
        <v>1</v>
      </c>
      <c r="I185" s="160">
        <v>300</v>
      </c>
      <c r="J185" s="159">
        <v>300</v>
      </c>
      <c r="K185" s="161">
        <v>300</v>
      </c>
      <c r="L185" s="159">
        <v>300</v>
      </c>
      <c r="M185" s="160">
        <v>300</v>
      </c>
      <c r="N185" s="145">
        <v>600</v>
      </c>
      <c r="O185" s="156" t="s">
        <v>27</v>
      </c>
      <c r="P185" s="144" t="s">
        <v>2468</v>
      </c>
      <c r="Q185" s="147">
        <v>46447</v>
      </c>
      <c r="R185" s="146"/>
      <c r="S185" s="157"/>
      <c r="T185" s="144" t="s">
        <v>27</v>
      </c>
      <c r="U185" s="150" t="s">
        <v>20</v>
      </c>
      <c r="V185" s="146">
        <v>3025</v>
      </c>
      <c r="W185" s="148" t="s">
        <v>2839</v>
      </c>
      <c r="X185" s="149">
        <v>45901</v>
      </c>
      <c r="Y185" s="165" t="s">
        <v>2840</v>
      </c>
    </row>
    <row r="186" spans="1:25">
      <c r="A186" s="163" t="s">
        <v>423</v>
      </c>
      <c r="B186" s="144" t="s">
        <v>163</v>
      </c>
      <c r="C186" s="164" t="s">
        <v>1493</v>
      </c>
      <c r="D186" s="144" t="s">
        <v>1494</v>
      </c>
      <c r="E186" s="150" t="s">
        <v>2466</v>
      </c>
      <c r="F186" s="144" t="s">
        <v>2467</v>
      </c>
      <c r="G186" s="166" t="s">
        <v>2841</v>
      </c>
      <c r="H186" s="151">
        <v>40</v>
      </c>
      <c r="I186" s="160"/>
      <c r="J186" s="159">
        <v>0.5</v>
      </c>
      <c r="K186" s="161"/>
      <c r="L186" s="159">
        <v>20</v>
      </c>
      <c r="M186" s="160">
        <v>20</v>
      </c>
      <c r="N186" s="145">
        <v>34</v>
      </c>
      <c r="O186" s="156" t="s">
        <v>166</v>
      </c>
      <c r="P186" s="144" t="s">
        <v>2468</v>
      </c>
      <c r="Q186" s="147">
        <v>44501</v>
      </c>
      <c r="R186" s="146">
        <v>2049</v>
      </c>
      <c r="S186" s="157"/>
      <c r="T186" s="144" t="s">
        <v>25</v>
      </c>
      <c r="U186" s="150" t="s">
        <v>20</v>
      </c>
      <c r="V186" s="146">
        <v>1590</v>
      </c>
      <c r="W186" s="148"/>
      <c r="X186" s="149">
        <v>45901</v>
      </c>
      <c r="Y186" s="165" t="s">
        <v>2578</v>
      </c>
    </row>
    <row r="187" spans="1:25">
      <c r="A187" s="163" t="s">
        <v>423</v>
      </c>
      <c r="B187" s="144" t="s">
        <v>163</v>
      </c>
      <c r="C187" s="164" t="s">
        <v>1653</v>
      </c>
      <c r="D187" s="144" t="s">
        <v>1494</v>
      </c>
      <c r="E187" s="150" t="s">
        <v>2485</v>
      </c>
      <c r="F187" s="144" t="s">
        <v>2486</v>
      </c>
      <c r="G187" s="166" t="s">
        <v>1654</v>
      </c>
      <c r="H187" s="151">
        <v>56</v>
      </c>
      <c r="I187" s="160"/>
      <c r="J187" s="159">
        <v>3.65</v>
      </c>
      <c r="K187" s="161"/>
      <c r="L187" s="159">
        <v>204.4</v>
      </c>
      <c r="M187" s="160">
        <v>204.4</v>
      </c>
      <c r="N187" s="145"/>
      <c r="O187" s="156" t="s">
        <v>166</v>
      </c>
      <c r="P187" s="144" t="s">
        <v>2478</v>
      </c>
      <c r="Q187" s="147">
        <v>44501</v>
      </c>
      <c r="R187" s="146">
        <v>2049</v>
      </c>
      <c r="S187" s="157"/>
      <c r="T187" s="144" t="s">
        <v>25</v>
      </c>
      <c r="U187" s="150" t="s">
        <v>17</v>
      </c>
      <c r="V187" s="146">
        <v>1289</v>
      </c>
      <c r="W187" s="148"/>
      <c r="X187" s="149">
        <v>45689</v>
      </c>
      <c r="Y187" s="165" t="s">
        <v>2842</v>
      </c>
    </row>
    <row r="188" spans="1:25">
      <c r="A188" s="163" t="s">
        <v>7</v>
      </c>
      <c r="B188" s="144" t="s">
        <v>2463</v>
      </c>
      <c r="C188" s="164" t="s">
        <v>2843</v>
      </c>
      <c r="D188" s="144" t="s">
        <v>2844</v>
      </c>
      <c r="E188" s="150" t="s">
        <v>2485</v>
      </c>
      <c r="F188" s="144" t="s">
        <v>2486</v>
      </c>
      <c r="G188" s="166"/>
      <c r="H188" s="151">
        <v>55</v>
      </c>
      <c r="I188" s="160">
        <v>5.7</v>
      </c>
      <c r="J188" s="159">
        <v>5.7</v>
      </c>
      <c r="K188" s="161">
        <v>313.5</v>
      </c>
      <c r="L188" s="159">
        <v>313.5</v>
      </c>
      <c r="M188" s="160">
        <v>313.5</v>
      </c>
      <c r="N188" s="145"/>
      <c r="O188" s="156" t="s">
        <v>135</v>
      </c>
      <c r="P188" s="144" t="s">
        <v>2478</v>
      </c>
      <c r="Q188" s="147"/>
      <c r="R188" s="146">
        <v>2057</v>
      </c>
      <c r="S188" s="157"/>
      <c r="T188" s="144" t="s">
        <v>29</v>
      </c>
      <c r="U188" s="150" t="s">
        <v>17</v>
      </c>
      <c r="V188" s="146">
        <v>2532</v>
      </c>
      <c r="W188" s="148" t="s">
        <v>2845</v>
      </c>
      <c r="X188" s="149">
        <v>45689</v>
      </c>
      <c r="Y188" s="165" t="s">
        <v>2846</v>
      </c>
    </row>
    <row r="189" spans="1:25">
      <c r="A189" s="163" t="s">
        <v>309</v>
      </c>
      <c r="B189" s="144" t="s">
        <v>2463</v>
      </c>
      <c r="C189" s="164" t="s">
        <v>2847</v>
      </c>
      <c r="D189" s="144" t="s">
        <v>1255</v>
      </c>
      <c r="E189" s="150" t="s">
        <v>2466</v>
      </c>
      <c r="F189" s="144" t="s">
        <v>2467</v>
      </c>
      <c r="G189" s="166"/>
      <c r="H189" s="151">
        <v>1</v>
      </c>
      <c r="I189" s="160">
        <v>400</v>
      </c>
      <c r="J189" s="159">
        <v>400</v>
      </c>
      <c r="K189" s="161">
        <v>400</v>
      </c>
      <c r="L189" s="159">
        <v>400</v>
      </c>
      <c r="M189" s="160">
        <v>400</v>
      </c>
      <c r="N189" s="145">
        <v>1600</v>
      </c>
      <c r="O189" s="156" t="s">
        <v>135</v>
      </c>
      <c r="P189" s="144" t="s">
        <v>2468</v>
      </c>
      <c r="Q189" s="147"/>
      <c r="R189" s="146"/>
      <c r="S189" s="157"/>
      <c r="T189" s="144" t="s">
        <v>29</v>
      </c>
      <c r="U189" s="150" t="s">
        <v>20</v>
      </c>
      <c r="V189" s="146">
        <v>2414</v>
      </c>
      <c r="W189" s="148" t="s">
        <v>2848</v>
      </c>
      <c r="X189" s="149">
        <v>45689</v>
      </c>
      <c r="Y189" s="165" t="s">
        <v>2500</v>
      </c>
    </row>
    <row r="190" spans="1:25">
      <c r="A190" s="163" t="s">
        <v>309</v>
      </c>
      <c r="B190" s="144" t="s">
        <v>2463</v>
      </c>
      <c r="C190" s="164" t="s">
        <v>2849</v>
      </c>
      <c r="D190" s="144" t="s">
        <v>2850</v>
      </c>
      <c r="E190" s="150" t="s">
        <v>2466</v>
      </c>
      <c r="F190" s="144" t="s">
        <v>2467</v>
      </c>
      <c r="G190" s="166"/>
      <c r="H190" s="151">
        <v>1</v>
      </c>
      <c r="I190" s="160">
        <v>450</v>
      </c>
      <c r="J190" s="159">
        <v>450</v>
      </c>
      <c r="K190" s="161">
        <v>450</v>
      </c>
      <c r="L190" s="159">
        <v>450</v>
      </c>
      <c r="M190" s="160">
        <v>450</v>
      </c>
      <c r="N190" s="145">
        <v>900</v>
      </c>
      <c r="O190" s="156" t="s">
        <v>135</v>
      </c>
      <c r="P190" s="144" t="s">
        <v>2468</v>
      </c>
      <c r="Q190" s="147"/>
      <c r="R190" s="146"/>
      <c r="S190" s="157"/>
      <c r="T190" s="144" t="s">
        <v>29</v>
      </c>
      <c r="U190" s="150" t="s">
        <v>20</v>
      </c>
      <c r="V190" s="146">
        <v>2666</v>
      </c>
      <c r="W190" s="148" t="s">
        <v>2851</v>
      </c>
      <c r="X190" s="149">
        <v>45689</v>
      </c>
      <c r="Y190" s="165" t="s">
        <v>2541</v>
      </c>
    </row>
    <row r="191" spans="1:25">
      <c r="A191" s="163" t="s">
        <v>309</v>
      </c>
      <c r="B191" s="144" t="s">
        <v>2463</v>
      </c>
      <c r="C191" s="164" t="s">
        <v>2852</v>
      </c>
      <c r="D191" s="144" t="s">
        <v>1255</v>
      </c>
      <c r="E191" s="150" t="s">
        <v>2491</v>
      </c>
      <c r="F191" s="144" t="s">
        <v>2477</v>
      </c>
      <c r="G191" s="166"/>
      <c r="H191" s="151">
        <v>135</v>
      </c>
      <c r="I191" s="160">
        <v>5</v>
      </c>
      <c r="J191" s="159">
        <v>5</v>
      </c>
      <c r="K191" s="161">
        <v>675</v>
      </c>
      <c r="L191" s="159">
        <v>675</v>
      </c>
      <c r="M191" s="160">
        <v>675</v>
      </c>
      <c r="N191" s="145"/>
      <c r="O191" s="156" t="s">
        <v>135</v>
      </c>
      <c r="P191" s="144" t="s">
        <v>2478</v>
      </c>
      <c r="Q191" s="147"/>
      <c r="R191" s="146"/>
      <c r="S191" s="157"/>
      <c r="T191" s="144" t="s">
        <v>29</v>
      </c>
      <c r="U191" s="150" t="s">
        <v>2479</v>
      </c>
      <c r="V191" s="146">
        <v>1417</v>
      </c>
      <c r="W191" s="148" t="s">
        <v>2853</v>
      </c>
      <c r="X191" s="149">
        <v>45689</v>
      </c>
      <c r="Y191" s="165" t="s">
        <v>2500</v>
      </c>
    </row>
    <row r="192" spans="1:25">
      <c r="A192" s="163" t="s">
        <v>309</v>
      </c>
      <c r="B192" s="144" t="s">
        <v>2463</v>
      </c>
      <c r="C192" s="164" t="s">
        <v>2852</v>
      </c>
      <c r="D192" s="144" t="s">
        <v>1255</v>
      </c>
      <c r="E192" s="150" t="s">
        <v>2491</v>
      </c>
      <c r="F192" s="144" t="s">
        <v>2477</v>
      </c>
      <c r="G192" s="166"/>
      <c r="H192" s="151">
        <v>205</v>
      </c>
      <c r="I192" s="160">
        <v>5</v>
      </c>
      <c r="J192" s="159">
        <v>5</v>
      </c>
      <c r="K192" s="161">
        <v>1025</v>
      </c>
      <c r="L192" s="159">
        <v>1025</v>
      </c>
      <c r="M192" s="160">
        <v>1025</v>
      </c>
      <c r="N192" s="145"/>
      <c r="O192" s="156" t="s">
        <v>135</v>
      </c>
      <c r="P192" s="144" t="s">
        <v>2478</v>
      </c>
      <c r="Q192" s="147"/>
      <c r="R192" s="146"/>
      <c r="S192" s="157"/>
      <c r="T192" s="144" t="s">
        <v>29</v>
      </c>
      <c r="U192" s="150" t="s">
        <v>2479</v>
      </c>
      <c r="V192" s="146">
        <v>1417</v>
      </c>
      <c r="W192" s="148" t="s">
        <v>2853</v>
      </c>
      <c r="X192" s="149">
        <v>45689</v>
      </c>
      <c r="Y192" s="165" t="s">
        <v>2500</v>
      </c>
    </row>
    <row r="193" spans="1:25">
      <c r="A193" s="163" t="s">
        <v>309</v>
      </c>
      <c r="B193" s="144" t="s">
        <v>2463</v>
      </c>
      <c r="C193" s="164" t="s">
        <v>2854</v>
      </c>
      <c r="D193" s="144" t="s">
        <v>2850</v>
      </c>
      <c r="E193" s="150" t="s">
        <v>2476</v>
      </c>
      <c r="F193" s="144" t="s">
        <v>2477</v>
      </c>
      <c r="G193" s="166"/>
      <c r="H193" s="151">
        <v>1</v>
      </c>
      <c r="I193" s="160">
        <v>450</v>
      </c>
      <c r="J193" s="159">
        <v>450</v>
      </c>
      <c r="K193" s="161">
        <v>450</v>
      </c>
      <c r="L193" s="159">
        <v>450</v>
      </c>
      <c r="M193" s="160">
        <v>450</v>
      </c>
      <c r="N193" s="145"/>
      <c r="O193" s="156" t="s">
        <v>135</v>
      </c>
      <c r="P193" s="144" t="s">
        <v>2478</v>
      </c>
      <c r="Q193" s="147"/>
      <c r="R193" s="146"/>
      <c r="S193" s="157"/>
      <c r="T193" s="144" t="s">
        <v>29</v>
      </c>
      <c r="U193" s="150" t="s">
        <v>2479</v>
      </c>
      <c r="V193" s="146">
        <v>2665</v>
      </c>
      <c r="W193" s="148" t="s">
        <v>2851</v>
      </c>
      <c r="X193" s="149">
        <v>45689</v>
      </c>
      <c r="Y193" s="165" t="s">
        <v>2558</v>
      </c>
    </row>
    <row r="194" spans="1:25">
      <c r="A194" s="163" t="s">
        <v>309</v>
      </c>
      <c r="B194" s="144" t="s">
        <v>2463</v>
      </c>
      <c r="C194" s="164" t="s">
        <v>717</v>
      </c>
      <c r="D194" s="144" t="s">
        <v>718</v>
      </c>
      <c r="E194" s="150" t="s">
        <v>2491</v>
      </c>
      <c r="F194" s="144" t="s">
        <v>2477</v>
      </c>
      <c r="G194" s="166"/>
      <c r="H194" s="151">
        <v>1</v>
      </c>
      <c r="I194" s="160"/>
      <c r="J194" s="159">
        <v>97</v>
      </c>
      <c r="K194" s="161"/>
      <c r="L194" s="159">
        <v>97</v>
      </c>
      <c r="M194" s="160">
        <v>97</v>
      </c>
      <c r="N194" s="145"/>
      <c r="O194" s="156" t="s">
        <v>28</v>
      </c>
      <c r="P194" s="144" t="s">
        <v>2478</v>
      </c>
      <c r="Q194" s="147">
        <v>46478</v>
      </c>
      <c r="R194" s="146">
        <v>2057</v>
      </c>
      <c r="S194" s="157"/>
      <c r="T194" s="144" t="s">
        <v>28</v>
      </c>
      <c r="U194" s="150" t="s">
        <v>2479</v>
      </c>
      <c r="V194" s="146">
        <v>2125</v>
      </c>
      <c r="W194" s="148"/>
      <c r="X194" s="149">
        <v>45901</v>
      </c>
      <c r="Y194" s="165" t="s">
        <v>2578</v>
      </c>
    </row>
    <row r="195" spans="1:25">
      <c r="A195" s="163" t="s">
        <v>309</v>
      </c>
      <c r="B195" s="144" t="s">
        <v>2463</v>
      </c>
      <c r="C195" s="164" t="s">
        <v>2855</v>
      </c>
      <c r="D195" s="144" t="s">
        <v>2855</v>
      </c>
      <c r="E195" s="150" t="s">
        <v>2466</v>
      </c>
      <c r="F195" s="144" t="s">
        <v>2467</v>
      </c>
      <c r="G195" s="166"/>
      <c r="H195" s="151">
        <v>1</v>
      </c>
      <c r="I195" s="160">
        <v>500</v>
      </c>
      <c r="J195" s="159">
        <v>500</v>
      </c>
      <c r="K195" s="161">
        <v>500</v>
      </c>
      <c r="L195" s="159">
        <v>500</v>
      </c>
      <c r="M195" s="160">
        <v>500</v>
      </c>
      <c r="N195" s="145">
        <v>0</v>
      </c>
      <c r="O195" s="156" t="s">
        <v>135</v>
      </c>
      <c r="P195" s="144" t="s">
        <v>2468</v>
      </c>
      <c r="Q195" s="147"/>
      <c r="R195" s="146"/>
      <c r="S195" s="157"/>
      <c r="T195" s="144" t="s">
        <v>29</v>
      </c>
      <c r="U195" s="150" t="s">
        <v>20</v>
      </c>
      <c r="V195" s="146">
        <v>2909</v>
      </c>
      <c r="W195" s="148" t="s">
        <v>2856</v>
      </c>
      <c r="X195" s="149">
        <v>45901</v>
      </c>
      <c r="Y195" s="165" t="s">
        <v>2857</v>
      </c>
    </row>
    <row r="196" spans="1:25">
      <c r="A196" s="163" t="s">
        <v>309</v>
      </c>
      <c r="B196" s="144" t="s">
        <v>2463</v>
      </c>
      <c r="C196" s="164" t="s">
        <v>312</v>
      </c>
      <c r="D196" s="144" t="s">
        <v>313</v>
      </c>
      <c r="E196" s="150" t="s">
        <v>2491</v>
      </c>
      <c r="F196" s="144" t="s">
        <v>2477</v>
      </c>
      <c r="G196" s="166"/>
      <c r="H196" s="151">
        <v>1</v>
      </c>
      <c r="I196" s="160">
        <v>78</v>
      </c>
      <c r="J196" s="159">
        <v>78</v>
      </c>
      <c r="K196" s="161">
        <v>78</v>
      </c>
      <c r="L196" s="159">
        <v>78</v>
      </c>
      <c r="M196" s="160">
        <v>78</v>
      </c>
      <c r="N196" s="145"/>
      <c r="O196" s="156" t="s">
        <v>27</v>
      </c>
      <c r="P196" s="144" t="s">
        <v>2478</v>
      </c>
      <c r="Q196" s="147">
        <v>45992</v>
      </c>
      <c r="R196" s="146">
        <v>2055</v>
      </c>
      <c r="S196" s="157"/>
      <c r="T196" s="144" t="s">
        <v>27</v>
      </c>
      <c r="U196" s="150" t="s">
        <v>2479</v>
      </c>
      <c r="V196" s="146">
        <v>1711</v>
      </c>
      <c r="W196" s="148"/>
      <c r="X196" s="149">
        <v>45901</v>
      </c>
      <c r="Y196" s="165" t="s">
        <v>2858</v>
      </c>
    </row>
    <row r="197" spans="1:25">
      <c r="A197" s="163" t="s">
        <v>380</v>
      </c>
      <c r="B197" s="144" t="s">
        <v>2463</v>
      </c>
      <c r="C197" s="164" t="s">
        <v>2859</v>
      </c>
      <c r="D197" s="242" t="s">
        <v>2860</v>
      </c>
      <c r="E197" s="150" t="s">
        <v>2476</v>
      </c>
      <c r="F197" s="144" t="s">
        <v>2477</v>
      </c>
      <c r="G197" s="243"/>
      <c r="H197" s="151">
        <v>1</v>
      </c>
      <c r="I197" s="160"/>
      <c r="J197" s="159">
        <v>475</v>
      </c>
      <c r="K197" s="161"/>
      <c r="L197" s="159">
        <v>475</v>
      </c>
      <c r="M197" s="160">
        <v>475</v>
      </c>
      <c r="N197" s="145"/>
      <c r="O197" s="156" t="s">
        <v>135</v>
      </c>
      <c r="P197" s="144" t="s">
        <v>2478</v>
      </c>
      <c r="Q197" s="147"/>
      <c r="R197" s="146"/>
      <c r="S197" s="157"/>
      <c r="T197" s="144" t="s">
        <v>29</v>
      </c>
      <c r="U197" s="150" t="s">
        <v>2479</v>
      </c>
      <c r="V197" s="146">
        <v>2693</v>
      </c>
      <c r="W197" s="148" t="s">
        <v>2861</v>
      </c>
      <c r="X197" s="149">
        <v>45901</v>
      </c>
      <c r="Y197" s="165" t="s">
        <v>2780</v>
      </c>
    </row>
    <row r="198" spans="1:25">
      <c r="A198" s="163" t="s">
        <v>380</v>
      </c>
      <c r="B198" s="144" t="s">
        <v>2463</v>
      </c>
      <c r="C198" s="164" t="s">
        <v>2859</v>
      </c>
      <c r="D198" s="144" t="s">
        <v>2860</v>
      </c>
      <c r="E198" s="150" t="s">
        <v>2466</v>
      </c>
      <c r="F198" s="144" t="s">
        <v>2467</v>
      </c>
      <c r="G198" s="166"/>
      <c r="H198" s="151">
        <v>1</v>
      </c>
      <c r="I198" s="160"/>
      <c r="J198" s="159">
        <v>300</v>
      </c>
      <c r="K198" s="161"/>
      <c r="L198" s="159">
        <v>300</v>
      </c>
      <c r="M198" s="160">
        <v>300</v>
      </c>
      <c r="N198" s="145">
        <v>1200</v>
      </c>
      <c r="O198" s="156" t="s">
        <v>135</v>
      </c>
      <c r="P198" s="144" t="s">
        <v>2468</v>
      </c>
      <c r="Q198" s="147"/>
      <c r="R198" s="146"/>
      <c r="S198" s="157"/>
      <c r="T198" s="144" t="s">
        <v>29</v>
      </c>
      <c r="U198" s="150" t="s">
        <v>20</v>
      </c>
      <c r="V198" s="146">
        <v>2693</v>
      </c>
      <c r="W198" s="148" t="s">
        <v>2861</v>
      </c>
      <c r="X198" s="149">
        <v>45901</v>
      </c>
      <c r="Y198" s="165" t="s">
        <v>2780</v>
      </c>
    </row>
    <row r="199" spans="1:25">
      <c r="A199" s="163" t="s">
        <v>380</v>
      </c>
      <c r="B199" s="144" t="s">
        <v>2463</v>
      </c>
      <c r="C199" s="164" t="s">
        <v>2859</v>
      </c>
      <c r="D199" s="144" t="s">
        <v>2860</v>
      </c>
      <c r="E199" s="150" t="s">
        <v>2466</v>
      </c>
      <c r="F199" s="144" t="s">
        <v>2467</v>
      </c>
      <c r="G199" s="166"/>
      <c r="H199" s="151">
        <v>1</v>
      </c>
      <c r="I199" s="160"/>
      <c r="J199" s="159">
        <v>300</v>
      </c>
      <c r="K199" s="161"/>
      <c r="L199" s="159">
        <v>300</v>
      </c>
      <c r="M199" s="160">
        <v>300</v>
      </c>
      <c r="N199" s="145">
        <v>1200</v>
      </c>
      <c r="O199" s="156" t="s">
        <v>135</v>
      </c>
      <c r="P199" s="144" t="s">
        <v>2468</v>
      </c>
      <c r="Q199" s="147"/>
      <c r="R199" s="146"/>
      <c r="S199" s="157"/>
      <c r="T199" s="144" t="s">
        <v>29</v>
      </c>
      <c r="U199" s="150" t="s">
        <v>20</v>
      </c>
      <c r="V199" s="146">
        <v>2693</v>
      </c>
      <c r="W199" s="148" t="s">
        <v>2861</v>
      </c>
      <c r="X199" s="149">
        <v>45901</v>
      </c>
      <c r="Y199" s="165" t="s">
        <v>2780</v>
      </c>
    </row>
    <row r="200" spans="1:25">
      <c r="A200" s="163" t="s">
        <v>380</v>
      </c>
      <c r="B200" s="144" t="s">
        <v>2463</v>
      </c>
      <c r="C200" s="164" t="s">
        <v>2859</v>
      </c>
      <c r="D200" s="144" t="s">
        <v>2860</v>
      </c>
      <c r="E200" s="150" t="s">
        <v>2466</v>
      </c>
      <c r="F200" s="144" t="s">
        <v>2467</v>
      </c>
      <c r="G200" s="166"/>
      <c r="H200" s="151">
        <v>1</v>
      </c>
      <c r="I200" s="160"/>
      <c r="J200" s="159">
        <v>600</v>
      </c>
      <c r="K200" s="161"/>
      <c r="L200" s="159">
        <v>600</v>
      </c>
      <c r="M200" s="160">
        <v>600</v>
      </c>
      <c r="N200" s="145">
        <v>600</v>
      </c>
      <c r="O200" s="156" t="s">
        <v>135</v>
      </c>
      <c r="P200" s="144" t="s">
        <v>2468</v>
      </c>
      <c r="Q200" s="147"/>
      <c r="R200" s="146"/>
      <c r="S200" s="157"/>
      <c r="T200" s="144" t="s">
        <v>29</v>
      </c>
      <c r="U200" s="150" t="s">
        <v>20</v>
      </c>
      <c r="V200" s="146">
        <v>2693</v>
      </c>
      <c r="W200" s="148" t="s">
        <v>2861</v>
      </c>
      <c r="X200" s="149">
        <v>45901</v>
      </c>
      <c r="Y200" s="165" t="s">
        <v>2780</v>
      </c>
    </row>
    <row r="201" spans="1:25">
      <c r="A201" s="163" t="s">
        <v>380</v>
      </c>
      <c r="B201" s="144" t="s">
        <v>2463</v>
      </c>
      <c r="C201" s="164" t="s">
        <v>2862</v>
      </c>
      <c r="D201" s="144" t="s">
        <v>2863</v>
      </c>
      <c r="E201" s="150" t="s">
        <v>2466</v>
      </c>
      <c r="F201" s="144" t="s">
        <v>2467</v>
      </c>
      <c r="G201" s="166"/>
      <c r="H201" s="151">
        <v>1</v>
      </c>
      <c r="I201" s="160">
        <v>250</v>
      </c>
      <c r="J201" s="159">
        <v>250</v>
      </c>
      <c r="K201" s="161">
        <v>250</v>
      </c>
      <c r="L201" s="159">
        <v>250</v>
      </c>
      <c r="M201" s="160">
        <v>250</v>
      </c>
      <c r="N201" s="145">
        <v>0</v>
      </c>
      <c r="O201" s="156" t="s">
        <v>135</v>
      </c>
      <c r="P201" s="144" t="s">
        <v>2468</v>
      </c>
      <c r="Q201" s="147"/>
      <c r="R201" s="146"/>
      <c r="S201" s="157"/>
      <c r="T201" s="144" t="s">
        <v>29</v>
      </c>
      <c r="U201" s="150" t="s">
        <v>20</v>
      </c>
      <c r="V201" s="146">
        <v>2551</v>
      </c>
      <c r="W201" s="148" t="s">
        <v>2864</v>
      </c>
      <c r="X201" s="149">
        <v>45901</v>
      </c>
      <c r="Y201" s="165" t="s">
        <v>2865</v>
      </c>
    </row>
    <row r="202" spans="1:25">
      <c r="A202" s="163" t="s">
        <v>380</v>
      </c>
      <c r="B202" s="144" t="s">
        <v>2463</v>
      </c>
      <c r="C202" s="164" t="s">
        <v>2866</v>
      </c>
      <c r="D202" s="144" t="s">
        <v>597</v>
      </c>
      <c r="E202" s="150" t="s">
        <v>2466</v>
      </c>
      <c r="F202" s="144" t="s">
        <v>2467</v>
      </c>
      <c r="G202" s="166"/>
      <c r="H202" s="151">
        <v>1</v>
      </c>
      <c r="I202" s="160">
        <v>250</v>
      </c>
      <c r="J202" s="159">
        <v>250</v>
      </c>
      <c r="K202" s="161">
        <v>250</v>
      </c>
      <c r="L202" s="159">
        <v>250</v>
      </c>
      <c r="M202" s="160">
        <v>250</v>
      </c>
      <c r="N202" s="145">
        <v>0</v>
      </c>
      <c r="O202" s="156" t="s">
        <v>135</v>
      </c>
      <c r="P202" s="144" t="s">
        <v>2468</v>
      </c>
      <c r="Q202" s="147"/>
      <c r="R202" s="146"/>
      <c r="S202" s="157"/>
      <c r="T202" s="144" t="s">
        <v>29</v>
      </c>
      <c r="U202" s="150" t="s">
        <v>20</v>
      </c>
      <c r="V202" s="146">
        <v>2598</v>
      </c>
      <c r="W202" s="148" t="s">
        <v>2867</v>
      </c>
      <c r="X202" s="149">
        <v>45901</v>
      </c>
      <c r="Y202" s="165" t="s">
        <v>2865</v>
      </c>
    </row>
    <row r="203" spans="1:25">
      <c r="A203" s="163" t="s">
        <v>309</v>
      </c>
      <c r="B203" s="144" t="s">
        <v>2463</v>
      </c>
      <c r="C203" s="164" t="s">
        <v>2868</v>
      </c>
      <c r="D203" s="144" t="s">
        <v>2869</v>
      </c>
      <c r="E203" s="150" t="s">
        <v>2466</v>
      </c>
      <c r="F203" s="144" t="s">
        <v>2467</v>
      </c>
      <c r="G203" s="166"/>
      <c r="H203" s="151">
        <v>1</v>
      </c>
      <c r="I203" s="160">
        <v>350</v>
      </c>
      <c r="J203" s="159">
        <v>350</v>
      </c>
      <c r="K203" s="161">
        <v>350</v>
      </c>
      <c r="L203" s="159">
        <v>350</v>
      </c>
      <c r="M203" s="160">
        <v>350</v>
      </c>
      <c r="N203" s="145">
        <v>1400</v>
      </c>
      <c r="O203" s="156" t="s">
        <v>135</v>
      </c>
      <c r="P203" s="144" t="s">
        <v>2468</v>
      </c>
      <c r="Q203" s="147"/>
      <c r="R203" s="146"/>
      <c r="S203" s="157"/>
      <c r="T203" s="144" t="s">
        <v>29</v>
      </c>
      <c r="U203" s="150" t="s">
        <v>20</v>
      </c>
      <c r="V203" s="146">
        <v>3020</v>
      </c>
      <c r="W203" s="148"/>
      <c r="X203" s="149">
        <v>45778</v>
      </c>
      <c r="Y203" s="165"/>
    </row>
    <row r="204" spans="1:25">
      <c r="A204" s="163" t="s">
        <v>309</v>
      </c>
      <c r="B204" s="144" t="s">
        <v>2463</v>
      </c>
      <c r="C204" s="164" t="s">
        <v>2870</v>
      </c>
      <c r="D204" s="144" t="s">
        <v>2871</v>
      </c>
      <c r="E204" s="150" t="s">
        <v>2485</v>
      </c>
      <c r="F204" s="144" t="s">
        <v>2486</v>
      </c>
      <c r="G204" s="166"/>
      <c r="H204" s="151">
        <v>175</v>
      </c>
      <c r="I204" s="160">
        <v>8</v>
      </c>
      <c r="J204" s="159">
        <v>8</v>
      </c>
      <c r="K204" s="161">
        <v>1400</v>
      </c>
      <c r="L204" s="159">
        <v>1400</v>
      </c>
      <c r="M204" s="160">
        <v>1400</v>
      </c>
      <c r="N204" s="145"/>
      <c r="O204" s="156" t="s">
        <v>135</v>
      </c>
      <c r="P204" s="144" t="s">
        <v>2478</v>
      </c>
      <c r="Q204" s="147">
        <v>48183</v>
      </c>
      <c r="R204" s="146"/>
      <c r="S204" s="157"/>
      <c r="T204" s="144" t="s">
        <v>29</v>
      </c>
      <c r="U204" s="150" t="s">
        <v>17</v>
      </c>
      <c r="V204" s="146">
        <v>2293</v>
      </c>
      <c r="W204" s="148" t="s">
        <v>2872</v>
      </c>
      <c r="X204" s="149">
        <v>45689</v>
      </c>
      <c r="Y204" s="165" t="s">
        <v>2470</v>
      </c>
    </row>
    <row r="205" spans="1:25">
      <c r="A205" s="163" t="s">
        <v>380</v>
      </c>
      <c r="B205" s="144" t="s">
        <v>163</v>
      </c>
      <c r="C205" s="164" t="s">
        <v>1883</v>
      </c>
      <c r="D205" s="144" t="s">
        <v>2873</v>
      </c>
      <c r="E205" s="150" t="s">
        <v>2491</v>
      </c>
      <c r="F205" s="144" t="s">
        <v>2477</v>
      </c>
      <c r="G205" s="166" t="s">
        <v>1884</v>
      </c>
      <c r="H205" s="151">
        <v>54</v>
      </c>
      <c r="I205" s="160">
        <v>2.04</v>
      </c>
      <c r="J205" s="159">
        <v>2.5</v>
      </c>
      <c r="K205" s="161">
        <v>110.16</v>
      </c>
      <c r="L205" s="159">
        <v>135</v>
      </c>
      <c r="M205" s="160">
        <v>135</v>
      </c>
      <c r="N205" s="145">
        <v>0</v>
      </c>
      <c r="O205" s="156" t="s">
        <v>166</v>
      </c>
      <c r="P205" s="144" t="s">
        <v>2478</v>
      </c>
      <c r="Q205" s="147">
        <v>43435</v>
      </c>
      <c r="R205" s="146">
        <v>2044</v>
      </c>
      <c r="S205" s="157"/>
      <c r="T205" s="144" t="s">
        <v>25</v>
      </c>
      <c r="U205" s="150" t="s">
        <v>2479</v>
      </c>
      <c r="V205" s="146">
        <v>1589</v>
      </c>
      <c r="W205" s="148"/>
      <c r="X205" s="149">
        <v>45689</v>
      </c>
      <c r="Y205" s="165" t="s">
        <v>2538</v>
      </c>
    </row>
    <row r="206" spans="1:25">
      <c r="A206" s="163" t="s">
        <v>380</v>
      </c>
      <c r="B206" s="144" t="s">
        <v>163</v>
      </c>
      <c r="C206" s="164" t="s">
        <v>1402</v>
      </c>
      <c r="D206" s="144" t="s">
        <v>2874</v>
      </c>
      <c r="E206" s="150" t="s">
        <v>2491</v>
      </c>
      <c r="F206" s="144" t="s">
        <v>2477</v>
      </c>
      <c r="G206" s="166" t="s">
        <v>1404</v>
      </c>
      <c r="H206" s="151">
        <v>54</v>
      </c>
      <c r="I206" s="160">
        <v>2.04</v>
      </c>
      <c r="J206" s="159">
        <v>2.5</v>
      </c>
      <c r="K206" s="161">
        <v>110.16</v>
      </c>
      <c r="L206" s="159">
        <v>135</v>
      </c>
      <c r="M206" s="160">
        <v>135</v>
      </c>
      <c r="N206" s="145"/>
      <c r="O206" s="156" t="s">
        <v>166</v>
      </c>
      <c r="P206" s="144" t="s">
        <v>2478</v>
      </c>
      <c r="Q206" s="147">
        <v>44440</v>
      </c>
      <c r="R206" s="146">
        <v>2044</v>
      </c>
      <c r="S206" s="157"/>
      <c r="T206" s="144" t="s">
        <v>25</v>
      </c>
      <c r="U206" s="150" t="s">
        <v>2479</v>
      </c>
      <c r="V206" s="146">
        <v>1587</v>
      </c>
      <c r="W206" s="148"/>
      <c r="X206" s="149">
        <v>45689</v>
      </c>
      <c r="Y206" s="165" t="s">
        <v>2875</v>
      </c>
    </row>
    <row r="207" spans="1:25">
      <c r="A207" s="163" t="s">
        <v>380</v>
      </c>
      <c r="B207" s="144" t="s">
        <v>2463</v>
      </c>
      <c r="C207" s="164" t="s">
        <v>2876</v>
      </c>
      <c r="D207" s="144" t="s">
        <v>2877</v>
      </c>
      <c r="E207" s="150" t="s">
        <v>2466</v>
      </c>
      <c r="F207" s="144" t="s">
        <v>2467</v>
      </c>
      <c r="G207" s="166"/>
      <c r="H207" s="151">
        <v>1</v>
      </c>
      <c r="I207" s="160">
        <v>200</v>
      </c>
      <c r="J207" s="159">
        <v>200</v>
      </c>
      <c r="K207" s="161">
        <v>200</v>
      </c>
      <c r="L207" s="159">
        <v>200</v>
      </c>
      <c r="M207" s="160">
        <v>200</v>
      </c>
      <c r="N207" s="145">
        <v>400</v>
      </c>
      <c r="O207" s="156" t="s">
        <v>135</v>
      </c>
      <c r="P207" s="144" t="s">
        <v>2468</v>
      </c>
      <c r="Q207" s="147"/>
      <c r="R207" s="146"/>
      <c r="S207" s="157"/>
      <c r="T207" s="144" t="s">
        <v>29</v>
      </c>
      <c r="U207" s="150" t="s">
        <v>20</v>
      </c>
      <c r="V207" s="146">
        <v>1939</v>
      </c>
      <c r="W207" s="148"/>
      <c r="X207" s="149">
        <v>45901</v>
      </c>
      <c r="Y207" s="165" t="s">
        <v>2878</v>
      </c>
    </row>
    <row r="208" spans="1:25">
      <c r="A208" s="163" t="s">
        <v>380</v>
      </c>
      <c r="B208" s="144" t="s">
        <v>2463</v>
      </c>
      <c r="C208" s="164" t="s">
        <v>397</v>
      </c>
      <c r="D208" s="144" t="s">
        <v>553</v>
      </c>
      <c r="E208" s="150" t="s">
        <v>2491</v>
      </c>
      <c r="F208" s="144" t="s">
        <v>2477</v>
      </c>
      <c r="G208" s="166"/>
      <c r="H208" s="151">
        <v>74</v>
      </c>
      <c r="I208" s="160"/>
      <c r="J208" s="159">
        <v>3.78</v>
      </c>
      <c r="K208" s="161"/>
      <c r="L208" s="159">
        <v>280.02</v>
      </c>
      <c r="M208" s="160">
        <v>280.02</v>
      </c>
      <c r="N208" s="145"/>
      <c r="O208" s="156" t="s">
        <v>135</v>
      </c>
      <c r="P208" s="144" t="s">
        <v>2478</v>
      </c>
      <c r="Q208" s="147">
        <v>46966</v>
      </c>
      <c r="R208" s="146"/>
      <c r="S208" s="157"/>
      <c r="T208" s="144" t="s">
        <v>29</v>
      </c>
      <c r="U208" s="150" t="s">
        <v>2479</v>
      </c>
      <c r="V208" s="146">
        <v>2049</v>
      </c>
      <c r="W208" s="148" t="s">
        <v>2879</v>
      </c>
      <c r="X208" s="149">
        <v>45901</v>
      </c>
      <c r="Y208" s="165" t="s">
        <v>2589</v>
      </c>
    </row>
    <row r="209" spans="1:25">
      <c r="A209" s="163" t="s">
        <v>380</v>
      </c>
      <c r="B209" s="144" t="s">
        <v>2463</v>
      </c>
      <c r="C209" s="164" t="s">
        <v>397</v>
      </c>
      <c r="D209" s="144" t="s">
        <v>553</v>
      </c>
      <c r="E209" s="150" t="s">
        <v>2466</v>
      </c>
      <c r="F209" s="144" t="s">
        <v>2467</v>
      </c>
      <c r="G209" s="166" t="s">
        <v>5418</v>
      </c>
      <c r="H209" s="151">
        <v>1</v>
      </c>
      <c r="I209" s="160"/>
      <c r="J209" s="159">
        <v>150</v>
      </c>
      <c r="K209" s="161"/>
      <c r="L209" s="159">
        <v>150</v>
      </c>
      <c r="M209" s="160">
        <v>150</v>
      </c>
      <c r="N209" s="145">
        <v>300</v>
      </c>
      <c r="O209" s="156" t="s">
        <v>27</v>
      </c>
      <c r="P209" s="144" t="s">
        <v>2468</v>
      </c>
      <c r="Q209" s="147">
        <v>46143</v>
      </c>
      <c r="R209" s="146">
        <v>2056</v>
      </c>
      <c r="S209" s="157"/>
      <c r="T209" s="144" t="s">
        <v>27</v>
      </c>
      <c r="U209" s="150" t="s">
        <v>20</v>
      </c>
      <c r="V209" s="146">
        <v>2049</v>
      </c>
      <c r="W209" s="148" t="s">
        <v>2879</v>
      </c>
      <c r="X209" s="149">
        <v>45901</v>
      </c>
      <c r="Y209" s="165" t="s">
        <v>2589</v>
      </c>
    </row>
    <row r="210" spans="1:25">
      <c r="A210" s="163" t="s">
        <v>309</v>
      </c>
      <c r="B210" s="144" t="s">
        <v>2463</v>
      </c>
      <c r="C210" s="164" t="s">
        <v>2880</v>
      </c>
      <c r="D210" s="144" t="s">
        <v>2881</v>
      </c>
      <c r="E210" s="150" t="s">
        <v>2636</v>
      </c>
      <c r="F210" s="144" t="s">
        <v>2482</v>
      </c>
      <c r="G210" s="166"/>
      <c r="H210" s="151">
        <v>1</v>
      </c>
      <c r="I210" s="160">
        <v>296</v>
      </c>
      <c r="J210" s="159">
        <v>296</v>
      </c>
      <c r="K210" s="161">
        <v>296</v>
      </c>
      <c r="L210" s="159">
        <v>296</v>
      </c>
      <c r="M210" s="160">
        <v>296</v>
      </c>
      <c r="N210" s="145">
        <v>7104</v>
      </c>
      <c r="O210" s="156" t="s">
        <v>135</v>
      </c>
      <c r="P210" s="144" t="s">
        <v>2468</v>
      </c>
      <c r="Q210" s="147"/>
      <c r="R210" s="146"/>
      <c r="S210" s="157"/>
      <c r="T210" s="144" t="s">
        <v>29</v>
      </c>
      <c r="U210" s="150" t="s">
        <v>18</v>
      </c>
      <c r="V210" s="146">
        <v>2483</v>
      </c>
      <c r="W210" s="148" t="s">
        <v>2882</v>
      </c>
      <c r="X210" s="149">
        <v>45689</v>
      </c>
      <c r="Y210" s="165" t="s">
        <v>2474</v>
      </c>
    </row>
    <row r="211" spans="1:25">
      <c r="A211" s="163" t="s">
        <v>309</v>
      </c>
      <c r="B211" s="144" t="s">
        <v>2463</v>
      </c>
      <c r="C211" s="164" t="s">
        <v>2883</v>
      </c>
      <c r="D211" s="144" t="s">
        <v>2881</v>
      </c>
      <c r="E211" s="150" t="s">
        <v>2485</v>
      </c>
      <c r="F211" s="144" t="s">
        <v>2486</v>
      </c>
      <c r="G211" s="166"/>
      <c r="H211" s="151">
        <v>1</v>
      </c>
      <c r="I211" s="160">
        <v>7</v>
      </c>
      <c r="J211" s="159">
        <v>7</v>
      </c>
      <c r="K211" s="161">
        <v>7</v>
      </c>
      <c r="L211" s="159">
        <v>7</v>
      </c>
      <c r="M211" s="160">
        <v>7</v>
      </c>
      <c r="N211" s="145"/>
      <c r="O211" s="156" t="s">
        <v>135</v>
      </c>
      <c r="P211" s="144" t="s">
        <v>2478</v>
      </c>
      <c r="Q211" s="147"/>
      <c r="R211" s="146"/>
      <c r="S211" s="157"/>
      <c r="T211" s="144" t="s">
        <v>29</v>
      </c>
      <c r="U211" s="150" t="s">
        <v>17</v>
      </c>
      <c r="V211" s="146">
        <v>2484</v>
      </c>
      <c r="W211" s="148" t="s">
        <v>2884</v>
      </c>
      <c r="X211" s="149">
        <v>45689</v>
      </c>
      <c r="Y211" s="165" t="s">
        <v>2474</v>
      </c>
    </row>
    <row r="212" spans="1:25">
      <c r="A212" s="163" t="s">
        <v>423</v>
      </c>
      <c r="B212" s="144" t="s">
        <v>2463</v>
      </c>
      <c r="C212" s="164" t="s">
        <v>2885</v>
      </c>
      <c r="D212" s="144" t="s">
        <v>2886</v>
      </c>
      <c r="E212" s="150" t="s">
        <v>2466</v>
      </c>
      <c r="F212" s="144" t="s">
        <v>2467</v>
      </c>
      <c r="G212" s="166"/>
      <c r="H212" s="151">
        <v>1</v>
      </c>
      <c r="I212" s="160">
        <v>504</v>
      </c>
      <c r="J212" s="159">
        <v>504</v>
      </c>
      <c r="K212" s="161">
        <v>504</v>
      </c>
      <c r="L212" s="159">
        <v>504</v>
      </c>
      <c r="M212" s="160">
        <v>504</v>
      </c>
      <c r="N212" s="145">
        <v>2400</v>
      </c>
      <c r="O212" s="156" t="s">
        <v>135</v>
      </c>
      <c r="P212" s="144" t="s">
        <v>2468</v>
      </c>
      <c r="Q212" s="147"/>
      <c r="R212" s="146"/>
      <c r="S212" s="157"/>
      <c r="T212" s="144" t="s">
        <v>29</v>
      </c>
      <c r="U212" s="150" t="s">
        <v>20</v>
      </c>
      <c r="V212" s="146">
        <v>3108</v>
      </c>
      <c r="W212" s="148"/>
      <c r="X212" s="149"/>
      <c r="Y212" s="165"/>
    </row>
    <row r="213" spans="1:25">
      <c r="A213" s="163" t="s">
        <v>309</v>
      </c>
      <c r="B213" s="144" t="s">
        <v>2463</v>
      </c>
      <c r="C213" s="164" t="s">
        <v>2887</v>
      </c>
      <c r="D213" s="144" t="s">
        <v>671</v>
      </c>
      <c r="E213" s="150" t="s">
        <v>2466</v>
      </c>
      <c r="F213" s="144" t="s">
        <v>2467</v>
      </c>
      <c r="G213" s="166"/>
      <c r="H213" s="151">
        <v>139</v>
      </c>
      <c r="I213" s="160">
        <v>3.6</v>
      </c>
      <c r="J213" s="159">
        <v>3.6</v>
      </c>
      <c r="K213" s="161">
        <v>500.4</v>
      </c>
      <c r="L213" s="159">
        <v>500.4</v>
      </c>
      <c r="M213" s="160">
        <v>500.4</v>
      </c>
      <c r="N213" s="145">
        <v>2000</v>
      </c>
      <c r="O213" s="156" t="s">
        <v>135</v>
      </c>
      <c r="P213" s="144" t="s">
        <v>2468</v>
      </c>
      <c r="Q213" s="147">
        <v>46266</v>
      </c>
      <c r="R213" s="146">
        <v>2056</v>
      </c>
      <c r="S213" s="157"/>
      <c r="T213" s="144" t="s">
        <v>29</v>
      </c>
      <c r="U213" s="150" t="s">
        <v>20</v>
      </c>
      <c r="V213" s="146">
        <v>2660</v>
      </c>
      <c r="W213" s="148" t="s">
        <v>2888</v>
      </c>
      <c r="X213" s="149">
        <v>45413</v>
      </c>
      <c r="Y213" s="165" t="s">
        <v>2889</v>
      </c>
    </row>
    <row r="214" spans="1:25">
      <c r="A214" s="163" t="s">
        <v>309</v>
      </c>
      <c r="B214" s="144" t="s">
        <v>2463</v>
      </c>
      <c r="C214" s="164" t="s">
        <v>670</v>
      </c>
      <c r="D214" s="144" t="s">
        <v>671</v>
      </c>
      <c r="E214" s="150" t="s">
        <v>2491</v>
      </c>
      <c r="F214" s="144" t="s">
        <v>2477</v>
      </c>
      <c r="G214" s="166"/>
      <c r="H214" s="151">
        <v>1</v>
      </c>
      <c r="I214" s="160">
        <v>3.6</v>
      </c>
      <c r="J214" s="159">
        <v>3.6</v>
      </c>
      <c r="K214" s="161">
        <v>3.6</v>
      </c>
      <c r="L214" s="159">
        <v>3.6</v>
      </c>
      <c r="M214" s="160">
        <v>3.6</v>
      </c>
      <c r="N214" s="145"/>
      <c r="O214" s="156" t="s">
        <v>135</v>
      </c>
      <c r="P214" s="144" t="s">
        <v>2478</v>
      </c>
      <c r="Q214" s="147">
        <v>46054</v>
      </c>
      <c r="R214" s="146">
        <v>2062</v>
      </c>
      <c r="S214" s="157"/>
      <c r="T214" s="144" t="s">
        <v>29</v>
      </c>
      <c r="U214" s="150" t="s">
        <v>2479</v>
      </c>
      <c r="V214" s="146">
        <v>2294</v>
      </c>
      <c r="W214" s="148" t="s">
        <v>2890</v>
      </c>
      <c r="X214" s="149">
        <v>45689</v>
      </c>
      <c r="Y214" s="165" t="s">
        <v>2622</v>
      </c>
    </row>
    <row r="215" spans="1:25">
      <c r="A215" s="163" t="s">
        <v>7</v>
      </c>
      <c r="B215" s="144" t="s">
        <v>2463</v>
      </c>
      <c r="C215" s="164" t="s">
        <v>2891</v>
      </c>
      <c r="D215" s="144" t="s">
        <v>2892</v>
      </c>
      <c r="E215" s="150" t="s">
        <v>2466</v>
      </c>
      <c r="F215" s="144" t="s">
        <v>2467</v>
      </c>
      <c r="G215" s="166"/>
      <c r="H215" s="151">
        <v>1</v>
      </c>
      <c r="I215" s="160">
        <v>200</v>
      </c>
      <c r="J215" s="159">
        <v>200</v>
      </c>
      <c r="K215" s="161">
        <v>200</v>
      </c>
      <c r="L215" s="159">
        <v>200</v>
      </c>
      <c r="M215" s="160">
        <v>200</v>
      </c>
      <c r="N215" s="145">
        <v>400</v>
      </c>
      <c r="O215" s="156" t="s">
        <v>135</v>
      </c>
      <c r="P215" s="144" t="s">
        <v>2468</v>
      </c>
      <c r="Q215" s="147"/>
      <c r="R215" s="146"/>
      <c r="S215" s="157"/>
      <c r="T215" s="144" t="s">
        <v>29</v>
      </c>
      <c r="U215" s="150" t="s">
        <v>20</v>
      </c>
      <c r="V215" s="146">
        <v>2921</v>
      </c>
      <c r="W215" s="148" t="s">
        <v>2893</v>
      </c>
      <c r="X215" s="149"/>
      <c r="Y215" s="165" t="s">
        <v>2541</v>
      </c>
    </row>
    <row r="216" spans="1:25">
      <c r="A216" s="163" t="s">
        <v>7</v>
      </c>
      <c r="B216" s="144" t="s">
        <v>2463</v>
      </c>
      <c r="C216" s="164" t="s">
        <v>2894</v>
      </c>
      <c r="D216" s="144" t="s">
        <v>2895</v>
      </c>
      <c r="E216" s="150" t="s">
        <v>2466</v>
      </c>
      <c r="F216" s="144" t="s">
        <v>2467</v>
      </c>
      <c r="G216" s="166"/>
      <c r="H216" s="151">
        <v>1</v>
      </c>
      <c r="I216" s="160">
        <v>300</v>
      </c>
      <c r="J216" s="159">
        <v>300</v>
      </c>
      <c r="K216" s="161">
        <v>300</v>
      </c>
      <c r="L216" s="159">
        <v>300</v>
      </c>
      <c r="M216" s="160">
        <v>300</v>
      </c>
      <c r="N216" s="145">
        <v>0</v>
      </c>
      <c r="O216" s="156" t="s">
        <v>135</v>
      </c>
      <c r="P216" s="144" t="s">
        <v>2468</v>
      </c>
      <c r="Q216" s="147"/>
      <c r="R216" s="146"/>
      <c r="S216" s="157"/>
      <c r="T216" s="144" t="s">
        <v>29</v>
      </c>
      <c r="U216" s="150" t="s">
        <v>20</v>
      </c>
      <c r="V216" s="146">
        <v>2378</v>
      </c>
      <c r="W216" s="148" t="s">
        <v>2896</v>
      </c>
      <c r="X216" s="149">
        <v>45901</v>
      </c>
      <c r="Y216" s="165" t="s">
        <v>2897</v>
      </c>
    </row>
    <row r="217" spans="1:25">
      <c r="A217" s="163" t="s">
        <v>309</v>
      </c>
      <c r="B217" s="144" t="s">
        <v>2463</v>
      </c>
      <c r="C217" s="164" t="s">
        <v>2898</v>
      </c>
      <c r="D217" s="144" t="s">
        <v>927</v>
      </c>
      <c r="E217" s="150" t="s">
        <v>2485</v>
      </c>
      <c r="F217" s="144" t="s">
        <v>2486</v>
      </c>
      <c r="G217" s="166"/>
      <c r="H217" s="151">
        <v>1</v>
      </c>
      <c r="I217" s="160">
        <v>360</v>
      </c>
      <c r="J217" s="159">
        <v>360</v>
      </c>
      <c r="K217" s="161">
        <v>360</v>
      </c>
      <c r="L217" s="159">
        <v>360</v>
      </c>
      <c r="M217" s="160">
        <v>360</v>
      </c>
      <c r="N217" s="145"/>
      <c r="O217" s="156" t="s">
        <v>135</v>
      </c>
      <c r="P217" s="144" t="s">
        <v>2478</v>
      </c>
      <c r="Q217" s="147"/>
      <c r="R217" s="146"/>
      <c r="S217" s="157"/>
      <c r="T217" s="144" t="s">
        <v>29</v>
      </c>
      <c r="U217" s="150" t="s">
        <v>17</v>
      </c>
      <c r="V217" s="146">
        <v>2982</v>
      </c>
      <c r="W217" s="148" t="s">
        <v>2899</v>
      </c>
      <c r="X217" s="149">
        <v>45778</v>
      </c>
      <c r="Y217" s="165"/>
    </row>
    <row r="218" spans="1:25">
      <c r="A218" s="163" t="s">
        <v>7</v>
      </c>
      <c r="B218" s="144" t="s">
        <v>163</v>
      </c>
      <c r="C218" s="164" t="s">
        <v>2900</v>
      </c>
      <c r="D218" s="144" t="s">
        <v>1511</v>
      </c>
      <c r="E218" s="150" t="s">
        <v>2593</v>
      </c>
      <c r="F218" s="144" t="s">
        <v>2482</v>
      </c>
      <c r="G218" s="166" t="s">
        <v>2901</v>
      </c>
      <c r="H218" s="151">
        <v>1</v>
      </c>
      <c r="I218" s="160">
        <v>0</v>
      </c>
      <c r="J218" s="159">
        <v>19</v>
      </c>
      <c r="K218" s="161">
        <v>0</v>
      </c>
      <c r="L218" s="159">
        <v>19</v>
      </c>
      <c r="M218" s="160">
        <v>19</v>
      </c>
      <c r="N218" s="145"/>
      <c r="O218" s="156" t="s">
        <v>166</v>
      </c>
      <c r="P218" s="144" t="s">
        <v>2480</v>
      </c>
      <c r="Q218" s="147"/>
      <c r="R218" s="146">
        <v>2036</v>
      </c>
      <c r="S218" s="157"/>
      <c r="T218" s="144" t="s">
        <v>25</v>
      </c>
      <c r="U218" s="150" t="s">
        <v>18</v>
      </c>
      <c r="V218" s="146">
        <v>1032</v>
      </c>
      <c r="W218" s="148"/>
      <c r="X218" s="149">
        <v>45566</v>
      </c>
      <c r="Y218" s="165" t="s">
        <v>2558</v>
      </c>
    </row>
    <row r="219" spans="1:25">
      <c r="A219" s="163" t="s">
        <v>7</v>
      </c>
      <c r="B219" s="144" t="s">
        <v>2463</v>
      </c>
      <c r="C219" s="164" t="s">
        <v>2902</v>
      </c>
      <c r="D219" s="144" t="s">
        <v>2756</v>
      </c>
      <c r="E219" s="150" t="s">
        <v>2485</v>
      </c>
      <c r="F219" s="144" t="s">
        <v>2486</v>
      </c>
      <c r="G219" s="166"/>
      <c r="H219" s="151">
        <v>70</v>
      </c>
      <c r="I219" s="160"/>
      <c r="J219" s="159">
        <v>6.2</v>
      </c>
      <c r="K219" s="161"/>
      <c r="L219" s="159">
        <v>434</v>
      </c>
      <c r="M219" s="160">
        <v>434</v>
      </c>
      <c r="N219" s="145"/>
      <c r="O219" s="156" t="s">
        <v>135</v>
      </c>
      <c r="P219" s="144" t="s">
        <v>2478</v>
      </c>
      <c r="Q219" s="147"/>
      <c r="R219" s="146"/>
      <c r="S219" s="157"/>
      <c r="T219" s="144" t="s">
        <v>29</v>
      </c>
      <c r="U219" s="150" t="s">
        <v>17</v>
      </c>
      <c r="V219" s="146">
        <v>2006</v>
      </c>
      <c r="W219" s="148" t="s">
        <v>2903</v>
      </c>
      <c r="X219" s="149">
        <v>45689</v>
      </c>
      <c r="Y219" s="165" t="s">
        <v>2520</v>
      </c>
    </row>
    <row r="220" spans="1:25">
      <c r="A220" s="163" t="s">
        <v>7</v>
      </c>
      <c r="B220" s="144" t="s">
        <v>163</v>
      </c>
      <c r="C220" s="164" t="s">
        <v>2904</v>
      </c>
      <c r="D220" s="144" t="s">
        <v>2905</v>
      </c>
      <c r="E220" s="150" t="s">
        <v>2593</v>
      </c>
      <c r="F220" s="144" t="s">
        <v>2482</v>
      </c>
      <c r="G220" s="166" t="s">
        <v>2906</v>
      </c>
      <c r="H220" s="151">
        <v>1</v>
      </c>
      <c r="I220" s="160">
        <v>16</v>
      </c>
      <c r="J220" s="159">
        <v>20</v>
      </c>
      <c r="K220" s="161">
        <v>16</v>
      </c>
      <c r="L220" s="159">
        <v>20</v>
      </c>
      <c r="M220" s="160">
        <v>20</v>
      </c>
      <c r="N220" s="145">
        <v>0</v>
      </c>
      <c r="O220" s="156" t="s">
        <v>166</v>
      </c>
      <c r="P220" s="144" t="s">
        <v>2480</v>
      </c>
      <c r="Q220" s="147"/>
      <c r="R220" s="146">
        <v>2060</v>
      </c>
      <c r="S220" s="157"/>
      <c r="T220" s="144" t="s">
        <v>25</v>
      </c>
      <c r="U220" s="150" t="s">
        <v>18</v>
      </c>
      <c r="V220" s="146">
        <v>1033</v>
      </c>
      <c r="W220" s="148"/>
      <c r="X220" s="149">
        <v>45566</v>
      </c>
      <c r="Y220" s="165" t="s">
        <v>2570</v>
      </c>
    </row>
    <row r="221" spans="1:25">
      <c r="A221" s="163" t="s">
        <v>7</v>
      </c>
      <c r="B221" s="144" t="s">
        <v>163</v>
      </c>
      <c r="C221" s="164" t="s">
        <v>2904</v>
      </c>
      <c r="D221" s="144" t="s">
        <v>2905</v>
      </c>
      <c r="E221" s="150" t="s">
        <v>2593</v>
      </c>
      <c r="F221" s="144" t="s">
        <v>2482</v>
      </c>
      <c r="G221" s="166" t="s">
        <v>2906</v>
      </c>
      <c r="H221" s="151">
        <v>2</v>
      </c>
      <c r="I221" s="160">
        <v>5.6</v>
      </c>
      <c r="J221" s="159">
        <v>7</v>
      </c>
      <c r="K221" s="161">
        <v>11.2</v>
      </c>
      <c r="L221" s="159">
        <v>14</v>
      </c>
      <c r="M221" s="160">
        <v>14</v>
      </c>
      <c r="N221" s="145">
        <v>0</v>
      </c>
      <c r="O221" s="156" t="s">
        <v>166</v>
      </c>
      <c r="P221" s="144" t="s">
        <v>2480</v>
      </c>
      <c r="Q221" s="147"/>
      <c r="R221" s="146">
        <v>2060</v>
      </c>
      <c r="S221" s="157"/>
      <c r="T221" s="144" t="s">
        <v>25</v>
      </c>
      <c r="U221" s="150" t="s">
        <v>18</v>
      </c>
      <c r="V221" s="146">
        <v>1033</v>
      </c>
      <c r="W221" s="148"/>
      <c r="X221" s="149">
        <v>45566</v>
      </c>
      <c r="Y221" s="165" t="s">
        <v>2570</v>
      </c>
    </row>
    <row r="222" spans="1:25">
      <c r="A222" s="163" t="s">
        <v>7</v>
      </c>
      <c r="B222" s="144" t="s">
        <v>2463</v>
      </c>
      <c r="C222" s="164" t="s">
        <v>2907</v>
      </c>
      <c r="D222" s="144" t="s">
        <v>540</v>
      </c>
      <c r="E222" s="150" t="s">
        <v>2466</v>
      </c>
      <c r="F222" s="144" t="s">
        <v>2467</v>
      </c>
      <c r="G222" s="166"/>
      <c r="H222" s="151">
        <v>1</v>
      </c>
      <c r="I222" s="160">
        <v>100</v>
      </c>
      <c r="J222" s="159">
        <v>100</v>
      </c>
      <c r="K222" s="161">
        <v>100</v>
      </c>
      <c r="L222" s="159">
        <v>100</v>
      </c>
      <c r="M222" s="160">
        <v>100</v>
      </c>
      <c r="N222" s="145">
        <v>400</v>
      </c>
      <c r="O222" s="156" t="s">
        <v>135</v>
      </c>
      <c r="P222" s="144" t="s">
        <v>2468</v>
      </c>
      <c r="Q222" s="147"/>
      <c r="R222" s="146"/>
      <c r="S222" s="157"/>
      <c r="T222" s="144" t="s">
        <v>29</v>
      </c>
      <c r="U222" s="150" t="s">
        <v>20</v>
      </c>
      <c r="V222" s="146">
        <v>3021</v>
      </c>
      <c r="W222" s="148"/>
      <c r="X222" s="149">
        <v>45778</v>
      </c>
      <c r="Y222" s="165"/>
    </row>
    <row r="223" spans="1:25">
      <c r="A223" s="163" t="s">
        <v>7</v>
      </c>
      <c r="B223" s="144" t="s">
        <v>2463</v>
      </c>
      <c r="C223" s="164" t="s">
        <v>2908</v>
      </c>
      <c r="D223" s="144" t="s">
        <v>748</v>
      </c>
      <c r="E223" s="150" t="s">
        <v>2485</v>
      </c>
      <c r="F223" s="144" t="s">
        <v>2486</v>
      </c>
      <c r="G223" s="166"/>
      <c r="H223" s="151">
        <v>75</v>
      </c>
      <c r="I223" s="160">
        <v>0</v>
      </c>
      <c r="J223" s="159">
        <v>4.5</v>
      </c>
      <c r="K223" s="161">
        <v>0</v>
      </c>
      <c r="L223" s="159">
        <v>337.5</v>
      </c>
      <c r="M223" s="160">
        <v>337.5</v>
      </c>
      <c r="N223" s="145"/>
      <c r="O223" s="156" t="s">
        <v>135</v>
      </c>
      <c r="P223" s="144" t="s">
        <v>2478</v>
      </c>
      <c r="Q223" s="147"/>
      <c r="R223" s="146">
        <v>2061</v>
      </c>
      <c r="S223" s="157"/>
      <c r="T223" s="144" t="s">
        <v>29</v>
      </c>
      <c r="U223" s="150" t="s">
        <v>17</v>
      </c>
      <c r="V223" s="146">
        <v>3088</v>
      </c>
      <c r="W223" s="148"/>
      <c r="X223" s="149"/>
      <c r="Y223" s="165"/>
    </row>
    <row r="224" spans="1:25">
      <c r="A224" s="163" t="s">
        <v>7</v>
      </c>
      <c r="B224" s="144" t="s">
        <v>2463</v>
      </c>
      <c r="C224" s="164" t="s">
        <v>2909</v>
      </c>
      <c r="D224" s="144" t="s">
        <v>597</v>
      </c>
      <c r="E224" s="150" t="s">
        <v>2476</v>
      </c>
      <c r="F224" s="144" t="s">
        <v>2477</v>
      </c>
      <c r="G224" s="166"/>
      <c r="H224" s="151">
        <v>71</v>
      </c>
      <c r="I224" s="160">
        <v>4.2300000000000004</v>
      </c>
      <c r="J224" s="159">
        <v>4.2300000000000004</v>
      </c>
      <c r="K224" s="161">
        <v>300.33</v>
      </c>
      <c r="L224" s="159">
        <v>300.33</v>
      </c>
      <c r="M224" s="160">
        <v>300.33</v>
      </c>
      <c r="N224" s="145"/>
      <c r="O224" s="156" t="s">
        <v>135</v>
      </c>
      <c r="P224" s="144" t="s">
        <v>2478</v>
      </c>
      <c r="Q224" s="147"/>
      <c r="R224" s="146"/>
      <c r="S224" s="157"/>
      <c r="T224" s="144" t="s">
        <v>29</v>
      </c>
      <c r="U224" s="150" t="s">
        <v>2479</v>
      </c>
      <c r="V224" s="146">
        <v>2644</v>
      </c>
      <c r="W224" s="148" t="s">
        <v>2910</v>
      </c>
      <c r="X224" s="149">
        <v>45901</v>
      </c>
      <c r="Y224" s="165" t="s">
        <v>2865</v>
      </c>
    </row>
    <row r="225" spans="1:25">
      <c r="A225" s="163" t="s">
        <v>565</v>
      </c>
      <c r="B225" s="144" t="s">
        <v>163</v>
      </c>
      <c r="C225" s="164" t="s">
        <v>2911</v>
      </c>
      <c r="D225" s="144" t="s">
        <v>1137</v>
      </c>
      <c r="E225" s="150" t="s">
        <v>2593</v>
      </c>
      <c r="F225" s="144" t="s">
        <v>2482</v>
      </c>
      <c r="G225" s="166" t="s">
        <v>2912</v>
      </c>
      <c r="H225" s="151">
        <v>1</v>
      </c>
      <c r="I225" s="160">
        <v>12.2</v>
      </c>
      <c r="J225" s="159">
        <v>12.2</v>
      </c>
      <c r="K225" s="161">
        <v>12.2</v>
      </c>
      <c r="L225" s="159">
        <v>12.2</v>
      </c>
      <c r="M225" s="160">
        <v>12.2</v>
      </c>
      <c r="N225" s="145"/>
      <c r="O225" s="156" t="s">
        <v>166</v>
      </c>
      <c r="P225" s="144" t="s">
        <v>2480</v>
      </c>
      <c r="Q225" s="147"/>
      <c r="R225" s="146">
        <v>2100</v>
      </c>
      <c r="S225" s="157"/>
      <c r="T225" s="144" t="s">
        <v>25</v>
      </c>
      <c r="U225" s="150" t="s">
        <v>18</v>
      </c>
      <c r="V225" s="146">
        <v>1034</v>
      </c>
      <c r="W225" s="148"/>
      <c r="X225" s="149">
        <v>45566</v>
      </c>
      <c r="Y225" s="165" t="s">
        <v>2913</v>
      </c>
    </row>
    <row r="226" spans="1:25">
      <c r="A226" s="163" t="s">
        <v>565</v>
      </c>
      <c r="B226" s="144" t="s">
        <v>163</v>
      </c>
      <c r="C226" s="164" t="s">
        <v>2911</v>
      </c>
      <c r="D226" s="144" t="s">
        <v>1137</v>
      </c>
      <c r="E226" s="150" t="s">
        <v>2593</v>
      </c>
      <c r="F226" s="144" t="s">
        <v>2482</v>
      </c>
      <c r="G226" s="166" t="s">
        <v>2912</v>
      </c>
      <c r="H226" s="151">
        <v>1</v>
      </c>
      <c r="I226" s="160">
        <v>2.2000000000000002</v>
      </c>
      <c r="J226" s="159">
        <v>2.2000000000000002</v>
      </c>
      <c r="K226" s="161">
        <v>2.2000000000000002</v>
      </c>
      <c r="L226" s="159">
        <v>2.2000000000000002</v>
      </c>
      <c r="M226" s="160">
        <v>2.2000000000000002</v>
      </c>
      <c r="N226" s="145"/>
      <c r="O226" s="156" t="s">
        <v>166</v>
      </c>
      <c r="P226" s="144" t="s">
        <v>2480</v>
      </c>
      <c r="Q226" s="147"/>
      <c r="R226" s="146">
        <v>2100</v>
      </c>
      <c r="S226" s="157"/>
      <c r="T226" s="144" t="s">
        <v>25</v>
      </c>
      <c r="U226" s="150" t="s">
        <v>18</v>
      </c>
      <c r="V226" s="146">
        <v>1034</v>
      </c>
      <c r="W226" s="148"/>
      <c r="X226" s="149">
        <v>45566</v>
      </c>
      <c r="Y226" s="165" t="s">
        <v>2913</v>
      </c>
    </row>
    <row r="227" spans="1:25">
      <c r="A227" s="163" t="s">
        <v>7</v>
      </c>
      <c r="B227" s="144" t="s">
        <v>2463</v>
      </c>
      <c r="C227" s="164" t="s">
        <v>200</v>
      </c>
      <c r="D227" s="144" t="s">
        <v>201</v>
      </c>
      <c r="E227" s="150" t="s">
        <v>2466</v>
      </c>
      <c r="F227" s="144" t="s">
        <v>2467</v>
      </c>
      <c r="G227" s="166"/>
      <c r="H227" s="151">
        <v>1</v>
      </c>
      <c r="I227" s="160">
        <v>100</v>
      </c>
      <c r="J227" s="159">
        <v>100</v>
      </c>
      <c r="K227" s="161">
        <v>100</v>
      </c>
      <c r="L227" s="159">
        <v>100</v>
      </c>
      <c r="M227" s="160">
        <v>100</v>
      </c>
      <c r="N227" s="145">
        <v>200</v>
      </c>
      <c r="O227" s="156" t="s">
        <v>27</v>
      </c>
      <c r="P227" s="144" t="s">
        <v>2468</v>
      </c>
      <c r="Q227" s="147">
        <v>46419</v>
      </c>
      <c r="R227" s="146">
        <v>2052</v>
      </c>
      <c r="S227" s="157"/>
      <c r="T227" s="144" t="s">
        <v>27</v>
      </c>
      <c r="U227" s="150" t="s">
        <v>20</v>
      </c>
      <c r="V227" s="146">
        <v>2646</v>
      </c>
      <c r="W227" s="148" t="s">
        <v>2914</v>
      </c>
      <c r="X227" s="149">
        <v>45901</v>
      </c>
      <c r="Y227" s="165" t="s">
        <v>2578</v>
      </c>
    </row>
    <row r="228" spans="1:25">
      <c r="A228" s="163" t="s">
        <v>7</v>
      </c>
      <c r="B228" s="144" t="s">
        <v>2463</v>
      </c>
      <c r="C228" s="164" t="s">
        <v>203</v>
      </c>
      <c r="D228" s="144" t="s">
        <v>2915</v>
      </c>
      <c r="E228" s="150" t="s">
        <v>2466</v>
      </c>
      <c r="F228" s="144" t="s">
        <v>2467</v>
      </c>
      <c r="G228" s="166"/>
      <c r="H228" s="151">
        <v>1</v>
      </c>
      <c r="I228" s="160">
        <v>150</v>
      </c>
      <c r="J228" s="159">
        <v>150</v>
      </c>
      <c r="K228" s="161">
        <v>150</v>
      </c>
      <c r="L228" s="159">
        <v>150</v>
      </c>
      <c r="M228" s="160">
        <v>150</v>
      </c>
      <c r="N228" s="145">
        <v>300</v>
      </c>
      <c r="O228" s="156" t="s">
        <v>27</v>
      </c>
      <c r="P228" s="144" t="s">
        <v>2468</v>
      </c>
      <c r="Q228" s="147">
        <v>46478</v>
      </c>
      <c r="R228" s="146">
        <v>2052</v>
      </c>
      <c r="S228" s="157"/>
      <c r="T228" s="144" t="s">
        <v>27</v>
      </c>
      <c r="U228" s="150" t="s">
        <v>20</v>
      </c>
      <c r="V228" s="146">
        <v>2647</v>
      </c>
      <c r="W228" s="148" t="s">
        <v>2914</v>
      </c>
      <c r="X228" s="149">
        <v>45901</v>
      </c>
      <c r="Y228" s="165" t="s">
        <v>2578</v>
      </c>
    </row>
    <row r="229" spans="1:25">
      <c r="A229" s="163" t="s">
        <v>309</v>
      </c>
      <c r="B229" s="144" t="s">
        <v>163</v>
      </c>
      <c r="C229" s="164" t="s">
        <v>673</v>
      </c>
      <c r="D229" s="144" t="s">
        <v>674</v>
      </c>
      <c r="E229" s="150" t="s">
        <v>2639</v>
      </c>
      <c r="F229" s="144" t="s">
        <v>2640</v>
      </c>
      <c r="G229" s="166" t="s">
        <v>2916</v>
      </c>
      <c r="H229" s="151">
        <v>1</v>
      </c>
      <c r="I229" s="160"/>
      <c r="J229" s="159">
        <v>350</v>
      </c>
      <c r="K229" s="161"/>
      <c r="L229" s="159">
        <v>350</v>
      </c>
      <c r="M229" s="160">
        <v>350</v>
      </c>
      <c r="N229" s="145"/>
      <c r="O229" s="156" t="s">
        <v>166</v>
      </c>
      <c r="P229" s="144" t="s">
        <v>2468</v>
      </c>
      <c r="Q229" s="147"/>
      <c r="R229" s="146">
        <v>2031</v>
      </c>
      <c r="S229" s="157"/>
      <c r="T229" s="144" t="s">
        <v>25</v>
      </c>
      <c r="U229" s="150" t="s">
        <v>12</v>
      </c>
      <c r="V229" s="146">
        <v>1035</v>
      </c>
      <c r="W229" s="148"/>
      <c r="X229" s="149">
        <v>45689</v>
      </c>
      <c r="Y229" s="165" t="s">
        <v>2842</v>
      </c>
    </row>
    <row r="230" spans="1:25">
      <c r="A230" s="163" t="s">
        <v>309</v>
      </c>
      <c r="B230" s="144" t="s">
        <v>163</v>
      </c>
      <c r="C230" s="164" t="s">
        <v>673</v>
      </c>
      <c r="D230" s="144" t="s">
        <v>674</v>
      </c>
      <c r="E230" s="150" t="s">
        <v>2639</v>
      </c>
      <c r="F230" s="144" t="s">
        <v>2640</v>
      </c>
      <c r="G230" s="166" t="s">
        <v>2917</v>
      </c>
      <c r="H230" s="151">
        <v>1</v>
      </c>
      <c r="I230" s="160"/>
      <c r="J230" s="159">
        <v>350</v>
      </c>
      <c r="K230" s="161"/>
      <c r="L230" s="159">
        <v>350</v>
      </c>
      <c r="M230" s="160">
        <v>350</v>
      </c>
      <c r="N230" s="145"/>
      <c r="O230" s="156" t="s">
        <v>166</v>
      </c>
      <c r="P230" s="144" t="s">
        <v>2468</v>
      </c>
      <c r="Q230" s="147"/>
      <c r="R230" s="146">
        <v>2031</v>
      </c>
      <c r="S230" s="157"/>
      <c r="T230" s="144" t="s">
        <v>25</v>
      </c>
      <c r="U230" s="150" t="s">
        <v>12</v>
      </c>
      <c r="V230" s="146">
        <v>1035</v>
      </c>
      <c r="W230" s="148"/>
      <c r="X230" s="149">
        <v>45689</v>
      </c>
      <c r="Y230" s="165" t="s">
        <v>2842</v>
      </c>
    </row>
    <row r="231" spans="1:25">
      <c r="A231" s="163" t="s">
        <v>309</v>
      </c>
      <c r="B231" s="144" t="s">
        <v>163</v>
      </c>
      <c r="C231" s="164" t="s">
        <v>1295</v>
      </c>
      <c r="D231" s="144" t="s">
        <v>1296</v>
      </c>
      <c r="E231" s="150" t="s">
        <v>2918</v>
      </c>
      <c r="F231" s="144" t="s">
        <v>2640</v>
      </c>
      <c r="G231" s="166" t="s">
        <v>2919</v>
      </c>
      <c r="H231" s="151">
        <v>1</v>
      </c>
      <c r="I231" s="160"/>
      <c r="J231" s="159">
        <v>424</v>
      </c>
      <c r="K231" s="161"/>
      <c r="L231" s="159">
        <v>424</v>
      </c>
      <c r="M231" s="160">
        <v>424</v>
      </c>
      <c r="N231" s="145"/>
      <c r="O231" s="156" t="s">
        <v>166</v>
      </c>
      <c r="P231" s="144" t="s">
        <v>2468</v>
      </c>
      <c r="Q231" s="147">
        <v>45383</v>
      </c>
      <c r="R231" s="146"/>
      <c r="S231" s="157"/>
      <c r="T231" s="144" t="s">
        <v>25</v>
      </c>
      <c r="U231" s="150" t="s">
        <v>12</v>
      </c>
      <c r="V231" s="146">
        <v>1036</v>
      </c>
      <c r="W231" s="148"/>
      <c r="X231" s="149">
        <v>45689</v>
      </c>
      <c r="Y231" s="165" t="s">
        <v>2500</v>
      </c>
    </row>
    <row r="232" spans="1:25">
      <c r="A232" s="163" t="s">
        <v>309</v>
      </c>
      <c r="B232" s="144" t="s">
        <v>163</v>
      </c>
      <c r="C232" s="164" t="s">
        <v>1295</v>
      </c>
      <c r="D232" s="144" t="s">
        <v>1296</v>
      </c>
      <c r="E232" s="150" t="s">
        <v>2918</v>
      </c>
      <c r="F232" s="144" t="s">
        <v>2640</v>
      </c>
      <c r="G232" s="166" t="s">
        <v>2920</v>
      </c>
      <c r="H232" s="151">
        <v>1</v>
      </c>
      <c r="I232" s="160"/>
      <c r="J232" s="159">
        <v>420</v>
      </c>
      <c r="K232" s="161"/>
      <c r="L232" s="159">
        <v>420</v>
      </c>
      <c r="M232" s="160">
        <v>420</v>
      </c>
      <c r="N232" s="145"/>
      <c r="O232" s="156" t="s">
        <v>166</v>
      </c>
      <c r="P232" s="144" t="s">
        <v>2468</v>
      </c>
      <c r="Q232" s="147">
        <v>45748</v>
      </c>
      <c r="R232" s="146"/>
      <c r="S232" s="157"/>
      <c r="T232" s="144" t="s">
        <v>25</v>
      </c>
      <c r="U232" s="150" t="s">
        <v>12</v>
      </c>
      <c r="V232" s="146">
        <v>1036</v>
      </c>
      <c r="W232" s="148"/>
      <c r="X232" s="149">
        <v>45689</v>
      </c>
      <c r="Y232" s="165" t="s">
        <v>2500</v>
      </c>
    </row>
    <row r="233" spans="1:25">
      <c r="A233" s="163" t="s">
        <v>309</v>
      </c>
      <c r="B233" s="144" t="s">
        <v>2463</v>
      </c>
      <c r="C233" s="164" t="s">
        <v>2921</v>
      </c>
      <c r="D233" s="144" t="s">
        <v>2922</v>
      </c>
      <c r="E233" s="150" t="s">
        <v>2466</v>
      </c>
      <c r="F233" s="144" t="s">
        <v>2467</v>
      </c>
      <c r="G233" s="166"/>
      <c r="H233" s="151">
        <v>1</v>
      </c>
      <c r="I233" s="160">
        <v>200</v>
      </c>
      <c r="J233" s="159">
        <v>200</v>
      </c>
      <c r="K233" s="161">
        <v>200</v>
      </c>
      <c r="L233" s="159">
        <v>200</v>
      </c>
      <c r="M233" s="160">
        <v>200</v>
      </c>
      <c r="N233" s="145">
        <v>0</v>
      </c>
      <c r="O233" s="156" t="s">
        <v>135</v>
      </c>
      <c r="P233" s="144" t="s">
        <v>2468</v>
      </c>
      <c r="Q233" s="147"/>
      <c r="R233" s="146"/>
      <c r="S233" s="157"/>
      <c r="T233" s="144" t="s">
        <v>29</v>
      </c>
      <c r="U233" s="150" t="s">
        <v>20</v>
      </c>
      <c r="V233" s="146">
        <v>2870</v>
      </c>
      <c r="W233" s="148" t="s">
        <v>2923</v>
      </c>
      <c r="X233" s="149">
        <v>45901</v>
      </c>
      <c r="Y233" s="165" t="s">
        <v>2924</v>
      </c>
    </row>
    <row r="234" spans="1:25">
      <c r="A234" s="163" t="s">
        <v>309</v>
      </c>
      <c r="B234" s="144" t="s">
        <v>2463</v>
      </c>
      <c r="C234" s="164" t="s">
        <v>2925</v>
      </c>
      <c r="D234" s="144" t="s">
        <v>2813</v>
      </c>
      <c r="E234" s="150" t="s">
        <v>2926</v>
      </c>
      <c r="F234" s="144" t="s">
        <v>2467</v>
      </c>
      <c r="G234" s="166"/>
      <c r="H234" s="151">
        <v>1</v>
      </c>
      <c r="I234" s="160">
        <v>750</v>
      </c>
      <c r="J234" s="159">
        <v>750</v>
      </c>
      <c r="K234" s="161">
        <v>750</v>
      </c>
      <c r="L234" s="159">
        <v>750</v>
      </c>
      <c r="M234" s="160">
        <v>750</v>
      </c>
      <c r="N234" s="145"/>
      <c r="O234" s="156" t="s">
        <v>135</v>
      </c>
      <c r="P234" s="144" t="s">
        <v>2468</v>
      </c>
      <c r="Q234" s="147"/>
      <c r="R234" s="146"/>
      <c r="S234" s="157"/>
      <c r="T234" s="144" t="s">
        <v>29</v>
      </c>
      <c r="U234" s="150" t="s">
        <v>21</v>
      </c>
      <c r="V234" s="146">
        <v>2852</v>
      </c>
      <c r="W234" s="148" t="s">
        <v>2927</v>
      </c>
      <c r="X234" s="149">
        <v>45901</v>
      </c>
      <c r="Y234" s="165" t="s">
        <v>2928</v>
      </c>
    </row>
    <row r="235" spans="1:25">
      <c r="A235" s="163" t="s">
        <v>309</v>
      </c>
      <c r="B235" s="144" t="s">
        <v>2463</v>
      </c>
      <c r="C235" s="164" t="s">
        <v>2929</v>
      </c>
      <c r="D235" s="144" t="s">
        <v>540</v>
      </c>
      <c r="E235" s="150" t="s">
        <v>2476</v>
      </c>
      <c r="F235" s="144" t="s">
        <v>2477</v>
      </c>
      <c r="G235" s="166"/>
      <c r="H235" s="151">
        <v>1</v>
      </c>
      <c r="I235" s="160">
        <v>200</v>
      </c>
      <c r="J235" s="159">
        <v>200</v>
      </c>
      <c r="K235" s="161">
        <v>200</v>
      </c>
      <c r="L235" s="159">
        <v>200</v>
      </c>
      <c r="M235" s="160">
        <v>200</v>
      </c>
      <c r="N235" s="145"/>
      <c r="O235" s="156" t="s">
        <v>135</v>
      </c>
      <c r="P235" s="144" t="s">
        <v>2478</v>
      </c>
      <c r="Q235" s="147"/>
      <c r="R235" s="146"/>
      <c r="S235" s="157"/>
      <c r="T235" s="144" t="s">
        <v>29</v>
      </c>
      <c r="U235" s="150" t="s">
        <v>2479</v>
      </c>
      <c r="V235" s="146">
        <v>2501</v>
      </c>
      <c r="W235" s="148" t="s">
        <v>2930</v>
      </c>
      <c r="X235" s="149">
        <v>45689</v>
      </c>
      <c r="Y235" s="165" t="s">
        <v>2500</v>
      </c>
    </row>
    <row r="236" spans="1:25">
      <c r="A236" s="163" t="s">
        <v>309</v>
      </c>
      <c r="B236" s="144" t="s">
        <v>2463</v>
      </c>
      <c r="C236" s="164" t="s">
        <v>2931</v>
      </c>
      <c r="D236" s="144" t="s">
        <v>540</v>
      </c>
      <c r="E236" s="150" t="s">
        <v>2466</v>
      </c>
      <c r="F236" s="144" t="s">
        <v>2467</v>
      </c>
      <c r="G236" s="166"/>
      <c r="H236" s="151">
        <v>1</v>
      </c>
      <c r="I236" s="160">
        <v>210</v>
      </c>
      <c r="J236" s="159">
        <v>210</v>
      </c>
      <c r="K236" s="161">
        <v>210</v>
      </c>
      <c r="L236" s="159">
        <v>210</v>
      </c>
      <c r="M236" s="160">
        <v>210</v>
      </c>
      <c r="N236" s="145">
        <v>200</v>
      </c>
      <c r="O236" s="156" t="s">
        <v>135</v>
      </c>
      <c r="P236" s="144" t="s">
        <v>2468</v>
      </c>
      <c r="Q236" s="147"/>
      <c r="R236" s="146"/>
      <c r="S236" s="157"/>
      <c r="T236" s="144" t="s">
        <v>29</v>
      </c>
      <c r="U236" s="150" t="s">
        <v>20</v>
      </c>
      <c r="V236" s="146">
        <v>2667</v>
      </c>
      <c r="W236" s="148" t="s">
        <v>2932</v>
      </c>
      <c r="X236" s="149">
        <v>45689</v>
      </c>
      <c r="Y236" s="165" t="s">
        <v>2500</v>
      </c>
    </row>
    <row r="237" spans="1:25">
      <c r="A237" s="163" t="s">
        <v>309</v>
      </c>
      <c r="B237" s="144" t="s">
        <v>2463</v>
      </c>
      <c r="C237" s="164" t="s">
        <v>2933</v>
      </c>
      <c r="D237" s="144" t="s">
        <v>2934</v>
      </c>
      <c r="E237" s="150" t="s">
        <v>2485</v>
      </c>
      <c r="F237" s="144" t="s">
        <v>2486</v>
      </c>
      <c r="G237" s="166"/>
      <c r="H237" s="151">
        <v>68</v>
      </c>
      <c r="I237" s="160">
        <v>6.2</v>
      </c>
      <c r="J237" s="159">
        <v>6.2</v>
      </c>
      <c r="K237" s="161">
        <v>421.6</v>
      </c>
      <c r="L237" s="159">
        <v>421.6</v>
      </c>
      <c r="M237" s="160">
        <v>421.6</v>
      </c>
      <c r="N237" s="145"/>
      <c r="O237" s="156" t="s">
        <v>135</v>
      </c>
      <c r="P237" s="144" t="s">
        <v>2478</v>
      </c>
      <c r="Q237" s="147"/>
      <c r="R237" s="146">
        <v>2060</v>
      </c>
      <c r="S237" s="157"/>
      <c r="T237" s="144" t="s">
        <v>29</v>
      </c>
      <c r="U237" s="150" t="s">
        <v>17</v>
      </c>
      <c r="V237" s="146">
        <v>2628</v>
      </c>
      <c r="W237" s="148" t="s">
        <v>2935</v>
      </c>
      <c r="X237" s="149">
        <v>45778</v>
      </c>
      <c r="Y237" s="165" t="s">
        <v>2936</v>
      </c>
    </row>
    <row r="238" spans="1:25">
      <c r="A238" s="163" t="s">
        <v>309</v>
      </c>
      <c r="B238" s="144" t="s">
        <v>2463</v>
      </c>
      <c r="C238" s="164" t="s">
        <v>2937</v>
      </c>
      <c r="D238" s="144" t="s">
        <v>2938</v>
      </c>
      <c r="E238" s="150" t="s">
        <v>2467</v>
      </c>
      <c r="F238" s="144" t="s">
        <v>2467</v>
      </c>
      <c r="G238" s="166"/>
      <c r="H238" s="151">
        <v>1</v>
      </c>
      <c r="I238" s="160"/>
      <c r="J238" s="159">
        <v>300</v>
      </c>
      <c r="K238" s="161"/>
      <c r="L238" s="159">
        <v>300</v>
      </c>
      <c r="M238" s="160">
        <v>300</v>
      </c>
      <c r="N238" s="145"/>
      <c r="O238" s="156" t="s">
        <v>135</v>
      </c>
      <c r="P238" s="144" t="s">
        <v>2468</v>
      </c>
      <c r="Q238" s="147"/>
      <c r="R238" s="146"/>
      <c r="S238" s="157"/>
      <c r="T238" s="144" t="s">
        <v>29</v>
      </c>
      <c r="U238" s="150" t="s">
        <v>21</v>
      </c>
      <c r="V238" s="146">
        <v>2975</v>
      </c>
      <c r="W238" s="148"/>
      <c r="X238" s="149"/>
      <c r="Y238" s="165" t="s">
        <v>2538</v>
      </c>
    </row>
    <row r="239" spans="1:25">
      <c r="A239" s="163" t="s">
        <v>309</v>
      </c>
      <c r="B239" s="144" t="s">
        <v>2463</v>
      </c>
      <c r="C239" s="164" t="s">
        <v>2939</v>
      </c>
      <c r="D239" s="144" t="s">
        <v>2940</v>
      </c>
      <c r="E239" s="150" t="s">
        <v>2466</v>
      </c>
      <c r="F239" s="144" t="s">
        <v>2467</v>
      </c>
      <c r="G239" s="166"/>
      <c r="H239" s="151">
        <v>1</v>
      </c>
      <c r="I239" s="160">
        <v>450</v>
      </c>
      <c r="J239" s="159">
        <v>450</v>
      </c>
      <c r="K239" s="161">
        <v>450</v>
      </c>
      <c r="L239" s="159">
        <v>450</v>
      </c>
      <c r="M239" s="160">
        <v>450</v>
      </c>
      <c r="N239" s="145">
        <v>0</v>
      </c>
      <c r="O239" s="156" t="s">
        <v>135</v>
      </c>
      <c r="P239" s="144" t="s">
        <v>2468</v>
      </c>
      <c r="Q239" s="147"/>
      <c r="R239" s="146"/>
      <c r="S239" s="157"/>
      <c r="T239" s="144" t="s">
        <v>29</v>
      </c>
      <c r="U239" s="150" t="s">
        <v>20</v>
      </c>
      <c r="V239" s="146">
        <v>3078</v>
      </c>
      <c r="W239" s="148" t="s">
        <v>2941</v>
      </c>
      <c r="X239" s="149">
        <v>45901</v>
      </c>
      <c r="Y239" s="165" t="s">
        <v>2942</v>
      </c>
    </row>
    <row r="240" spans="1:25">
      <c r="A240" s="163" t="s">
        <v>423</v>
      </c>
      <c r="B240" s="144" t="s">
        <v>2463</v>
      </c>
      <c r="C240" s="164" t="s">
        <v>2943</v>
      </c>
      <c r="D240" s="144" t="s">
        <v>2944</v>
      </c>
      <c r="E240" s="150" t="s">
        <v>2491</v>
      </c>
      <c r="F240" s="144" t="s">
        <v>2477</v>
      </c>
      <c r="G240" s="166"/>
      <c r="H240" s="151">
        <v>1</v>
      </c>
      <c r="I240" s="160">
        <v>0</v>
      </c>
      <c r="J240" s="159">
        <v>205</v>
      </c>
      <c r="K240" s="161">
        <v>0</v>
      </c>
      <c r="L240" s="159">
        <v>205</v>
      </c>
      <c r="M240" s="160">
        <v>205</v>
      </c>
      <c r="N240" s="145">
        <v>0</v>
      </c>
      <c r="O240" s="156" t="s">
        <v>135</v>
      </c>
      <c r="P240" s="144" t="s">
        <v>2478</v>
      </c>
      <c r="Q240" s="147"/>
      <c r="R240" s="146">
        <v>2054</v>
      </c>
      <c r="S240" s="157"/>
      <c r="T240" s="144" t="s">
        <v>29</v>
      </c>
      <c r="U240" s="150" t="s">
        <v>2479</v>
      </c>
      <c r="V240" s="146">
        <v>1972</v>
      </c>
      <c r="W240" s="148"/>
      <c r="X240" s="149">
        <v>45901</v>
      </c>
      <c r="Y240" s="165" t="s">
        <v>2878</v>
      </c>
    </row>
    <row r="241" spans="1:25">
      <c r="A241" s="163" t="s">
        <v>423</v>
      </c>
      <c r="B241" s="144" t="s">
        <v>2463</v>
      </c>
      <c r="C241" s="164" t="s">
        <v>2945</v>
      </c>
      <c r="D241" s="144" t="s">
        <v>2946</v>
      </c>
      <c r="E241" s="150" t="s">
        <v>2466</v>
      </c>
      <c r="F241" s="144" t="s">
        <v>2467</v>
      </c>
      <c r="G241" s="166"/>
      <c r="H241" s="151">
        <v>1</v>
      </c>
      <c r="I241" s="160">
        <v>75</v>
      </c>
      <c r="J241" s="159">
        <v>75</v>
      </c>
      <c r="K241" s="161">
        <v>75</v>
      </c>
      <c r="L241" s="159">
        <v>75</v>
      </c>
      <c r="M241" s="160">
        <v>75</v>
      </c>
      <c r="N241" s="145">
        <v>150</v>
      </c>
      <c r="O241" s="156" t="s">
        <v>135</v>
      </c>
      <c r="P241" s="144" t="s">
        <v>2468</v>
      </c>
      <c r="Q241" s="147">
        <v>46357</v>
      </c>
      <c r="R241" s="146"/>
      <c r="S241" s="157"/>
      <c r="T241" s="144" t="s">
        <v>29</v>
      </c>
      <c r="U241" s="150" t="s">
        <v>20</v>
      </c>
      <c r="V241" s="146">
        <v>2880</v>
      </c>
      <c r="W241" s="148"/>
      <c r="X241" s="149">
        <v>45689</v>
      </c>
      <c r="Y241" s="165" t="s">
        <v>2574</v>
      </c>
    </row>
    <row r="242" spans="1:25">
      <c r="A242" s="163" t="s">
        <v>380</v>
      </c>
      <c r="B242" s="144" t="s">
        <v>163</v>
      </c>
      <c r="C242" s="164" t="s">
        <v>2947</v>
      </c>
      <c r="D242" s="144" t="s">
        <v>2948</v>
      </c>
      <c r="E242" s="150" t="s">
        <v>2485</v>
      </c>
      <c r="F242" s="144" t="s">
        <v>2486</v>
      </c>
      <c r="G242" s="166" t="s">
        <v>2949</v>
      </c>
      <c r="H242" s="151">
        <v>23</v>
      </c>
      <c r="I242" s="160">
        <v>2</v>
      </c>
      <c r="J242" s="159">
        <v>2</v>
      </c>
      <c r="K242" s="161">
        <v>46</v>
      </c>
      <c r="L242" s="159">
        <v>46</v>
      </c>
      <c r="M242" s="160">
        <v>46</v>
      </c>
      <c r="N242" s="145"/>
      <c r="O242" s="156" t="s">
        <v>166</v>
      </c>
      <c r="P242" s="144" t="s">
        <v>2478</v>
      </c>
      <c r="Q242" s="147"/>
      <c r="R242" s="146">
        <v>2035</v>
      </c>
      <c r="S242" s="157"/>
      <c r="T242" s="144" t="s">
        <v>25</v>
      </c>
      <c r="U242" s="150" t="s">
        <v>17</v>
      </c>
      <c r="V242" s="146">
        <v>1037</v>
      </c>
      <c r="W242" s="148"/>
      <c r="X242" s="149">
        <v>45689</v>
      </c>
      <c r="Y242" s="165" t="s">
        <v>2740</v>
      </c>
    </row>
    <row r="243" spans="1:25">
      <c r="A243" s="163" t="s">
        <v>7</v>
      </c>
      <c r="B243" s="144" t="s">
        <v>2463</v>
      </c>
      <c r="C243" s="164" t="s">
        <v>2950</v>
      </c>
      <c r="D243" s="144" t="s">
        <v>616</v>
      </c>
      <c r="E243" s="150" t="s">
        <v>2466</v>
      </c>
      <c r="F243" s="144" t="s">
        <v>2467</v>
      </c>
      <c r="G243" s="166"/>
      <c r="H243" s="151">
        <v>1</v>
      </c>
      <c r="I243" s="160">
        <v>300</v>
      </c>
      <c r="J243" s="159">
        <v>300</v>
      </c>
      <c r="K243" s="161">
        <v>300</v>
      </c>
      <c r="L243" s="159">
        <v>300</v>
      </c>
      <c r="M243" s="160">
        <v>300</v>
      </c>
      <c r="N243" s="145">
        <v>1200</v>
      </c>
      <c r="O243" s="156" t="s">
        <v>135</v>
      </c>
      <c r="P243" s="144" t="s">
        <v>2468</v>
      </c>
      <c r="Q243" s="147"/>
      <c r="R243" s="146"/>
      <c r="S243" s="157"/>
      <c r="T243" s="144" t="s">
        <v>29</v>
      </c>
      <c r="U243" s="150" t="s">
        <v>20</v>
      </c>
      <c r="V243" s="146">
        <v>2589</v>
      </c>
      <c r="W243" s="148" t="s">
        <v>2951</v>
      </c>
      <c r="X243" s="149">
        <v>45689</v>
      </c>
      <c r="Y243" s="165" t="s">
        <v>2538</v>
      </c>
    </row>
    <row r="244" spans="1:25">
      <c r="A244" s="163" t="s">
        <v>423</v>
      </c>
      <c r="B244" s="144" t="s">
        <v>2463</v>
      </c>
      <c r="C244" s="164" t="s">
        <v>2952</v>
      </c>
      <c r="D244" s="144" t="s">
        <v>2953</v>
      </c>
      <c r="E244" s="150" t="s">
        <v>2630</v>
      </c>
      <c r="F244" s="144" t="s">
        <v>2486</v>
      </c>
      <c r="G244" s="166"/>
      <c r="H244" s="151">
        <v>1</v>
      </c>
      <c r="I244" s="160">
        <v>1995</v>
      </c>
      <c r="J244" s="159">
        <v>1995</v>
      </c>
      <c r="K244" s="161">
        <v>1995</v>
      </c>
      <c r="L244" s="159">
        <v>1995</v>
      </c>
      <c r="M244" s="160">
        <v>1995</v>
      </c>
      <c r="N244" s="145"/>
      <c r="O244" s="156" t="s">
        <v>135</v>
      </c>
      <c r="P244" s="144" t="s">
        <v>2478</v>
      </c>
      <c r="Q244" s="147"/>
      <c r="R244" s="146"/>
      <c r="S244" s="157"/>
      <c r="T244" s="144" t="s">
        <v>29</v>
      </c>
      <c r="U244" s="150" t="s">
        <v>17</v>
      </c>
      <c r="V244" s="146">
        <v>2473</v>
      </c>
      <c r="W244" s="148" t="s">
        <v>2954</v>
      </c>
      <c r="X244" s="149">
        <v>45901</v>
      </c>
      <c r="Y244" s="165" t="s">
        <v>2738</v>
      </c>
    </row>
    <row r="245" spans="1:25">
      <c r="A245" s="163" t="s">
        <v>7</v>
      </c>
      <c r="B245" s="144" t="s">
        <v>2463</v>
      </c>
      <c r="C245" s="164" t="s">
        <v>2955</v>
      </c>
      <c r="D245" s="144" t="s">
        <v>2956</v>
      </c>
      <c r="E245" s="150" t="s">
        <v>2485</v>
      </c>
      <c r="F245" s="144" t="s">
        <v>2486</v>
      </c>
      <c r="G245" s="166"/>
      <c r="H245" s="151">
        <v>32</v>
      </c>
      <c r="I245" s="160">
        <v>2.2000000000000002</v>
      </c>
      <c r="J245" s="159">
        <v>4.2</v>
      </c>
      <c r="K245" s="161">
        <v>70.400000000000006</v>
      </c>
      <c r="L245" s="159">
        <v>134.4</v>
      </c>
      <c r="M245" s="160" t="s">
        <v>2957</v>
      </c>
      <c r="N245" s="145"/>
      <c r="O245" s="156" t="s">
        <v>135</v>
      </c>
      <c r="P245" s="144" t="s">
        <v>2478</v>
      </c>
      <c r="Q245" s="147"/>
      <c r="R245" s="146"/>
      <c r="S245" s="157"/>
      <c r="T245" s="144" t="s">
        <v>29</v>
      </c>
      <c r="U245" s="150" t="s">
        <v>17</v>
      </c>
      <c r="V245" s="146">
        <v>1278</v>
      </c>
      <c r="W245" s="148" t="s">
        <v>2958</v>
      </c>
      <c r="X245" s="149">
        <v>45689</v>
      </c>
      <c r="Y245" s="165" t="s">
        <v>2609</v>
      </c>
    </row>
    <row r="246" spans="1:25">
      <c r="A246" s="163" t="s">
        <v>7</v>
      </c>
      <c r="B246" s="211" t="s">
        <v>163</v>
      </c>
      <c r="C246" s="164" t="s">
        <v>273</v>
      </c>
      <c r="D246" s="144" t="s">
        <v>274</v>
      </c>
      <c r="E246" s="150" t="s">
        <v>2466</v>
      </c>
      <c r="F246" s="144" t="s">
        <v>2467</v>
      </c>
      <c r="G246" s="166" t="s">
        <v>275</v>
      </c>
      <c r="H246" s="151">
        <v>33</v>
      </c>
      <c r="I246" s="160">
        <v>0</v>
      </c>
      <c r="J246" s="159">
        <v>3.04</v>
      </c>
      <c r="K246" s="161">
        <v>0</v>
      </c>
      <c r="L246" s="159">
        <v>100.32</v>
      </c>
      <c r="M246" s="160">
        <v>100.32</v>
      </c>
      <c r="N246" s="145">
        <v>200</v>
      </c>
      <c r="O246" s="156" t="s">
        <v>166</v>
      </c>
      <c r="P246" s="144" t="s">
        <v>2468</v>
      </c>
      <c r="Q246" s="147">
        <v>45931</v>
      </c>
      <c r="R246" s="146">
        <v>2048</v>
      </c>
      <c r="S246" s="157"/>
      <c r="T246" s="210" t="s">
        <v>25</v>
      </c>
      <c r="U246" s="150" t="s">
        <v>20</v>
      </c>
      <c r="V246" s="146">
        <v>1890</v>
      </c>
      <c r="W246" s="148" t="s">
        <v>2959</v>
      </c>
      <c r="X246" s="149">
        <v>45901</v>
      </c>
      <c r="Y246" s="165" t="s">
        <v>2671</v>
      </c>
    </row>
    <row r="247" spans="1:25">
      <c r="A247" s="163" t="s">
        <v>7</v>
      </c>
      <c r="B247" s="144" t="s">
        <v>163</v>
      </c>
      <c r="C247" s="164" t="s">
        <v>2380</v>
      </c>
      <c r="D247" s="144" t="s">
        <v>2960</v>
      </c>
      <c r="E247" s="150" t="s">
        <v>2476</v>
      </c>
      <c r="F247" s="144" t="s">
        <v>2477</v>
      </c>
      <c r="G247" s="166" t="s">
        <v>2961</v>
      </c>
      <c r="H247" s="151">
        <v>4</v>
      </c>
      <c r="I247" s="160">
        <v>0.01</v>
      </c>
      <c r="J247" s="159">
        <v>0.5</v>
      </c>
      <c r="K247" s="161">
        <v>0.05</v>
      </c>
      <c r="L247" s="159">
        <v>2</v>
      </c>
      <c r="M247" s="160">
        <v>2</v>
      </c>
      <c r="N247" s="145"/>
      <c r="O247" s="156" t="s">
        <v>166</v>
      </c>
      <c r="P247" s="144" t="s">
        <v>2480</v>
      </c>
      <c r="Q247" s="147"/>
      <c r="R247" s="146">
        <v>2043</v>
      </c>
      <c r="S247" s="157"/>
      <c r="T247" s="144" t="s">
        <v>25</v>
      </c>
      <c r="U247" s="150" t="s">
        <v>2479</v>
      </c>
      <c r="V247" s="146">
        <v>1039</v>
      </c>
      <c r="W247" s="148"/>
      <c r="X247" s="149">
        <v>45566</v>
      </c>
      <c r="Y247" s="165" t="s">
        <v>2962</v>
      </c>
    </row>
    <row r="248" spans="1:25">
      <c r="A248" s="163" t="s">
        <v>7</v>
      </c>
      <c r="B248" s="144" t="s">
        <v>163</v>
      </c>
      <c r="C248" s="164" t="s">
        <v>2963</v>
      </c>
      <c r="D248" s="144" t="s">
        <v>2964</v>
      </c>
      <c r="E248" s="150" t="s">
        <v>2485</v>
      </c>
      <c r="F248" s="144" t="s">
        <v>2486</v>
      </c>
      <c r="G248" s="166" t="s">
        <v>2965</v>
      </c>
      <c r="H248" s="151">
        <v>67</v>
      </c>
      <c r="I248" s="160">
        <v>2.1</v>
      </c>
      <c r="J248" s="159">
        <v>2.1</v>
      </c>
      <c r="K248" s="161">
        <v>140.69999999999999</v>
      </c>
      <c r="L248" s="159">
        <v>140.69999999999999</v>
      </c>
      <c r="M248" s="160">
        <v>140.69999999999999</v>
      </c>
      <c r="N248" s="145"/>
      <c r="O248" s="156" t="s">
        <v>166</v>
      </c>
      <c r="P248" s="144" t="s">
        <v>2480</v>
      </c>
      <c r="Q248" s="147"/>
      <c r="R248" s="146">
        <v>2040</v>
      </c>
      <c r="S248" s="157"/>
      <c r="T248" s="144" t="s">
        <v>25</v>
      </c>
      <c r="U248" s="150" t="s">
        <v>17</v>
      </c>
      <c r="V248" s="146">
        <v>1038</v>
      </c>
      <c r="W248" s="148"/>
      <c r="X248" s="149">
        <v>45901</v>
      </c>
      <c r="Y248" s="165" t="s">
        <v>2820</v>
      </c>
    </row>
    <row r="249" spans="1:25">
      <c r="A249" s="163" t="s">
        <v>309</v>
      </c>
      <c r="B249" s="144" t="s">
        <v>2463</v>
      </c>
      <c r="C249" s="164" t="s">
        <v>2966</v>
      </c>
      <c r="D249" s="144" t="s">
        <v>2967</v>
      </c>
      <c r="E249" s="150" t="s">
        <v>2466</v>
      </c>
      <c r="F249" s="144" t="s">
        <v>2467</v>
      </c>
      <c r="G249" s="166"/>
      <c r="H249" s="151">
        <v>98</v>
      </c>
      <c r="I249" s="160"/>
      <c r="J249" s="159">
        <v>4.4000000000000004</v>
      </c>
      <c r="K249" s="161"/>
      <c r="L249" s="159">
        <v>431.2</v>
      </c>
      <c r="M249" s="160">
        <v>431.2</v>
      </c>
      <c r="N249" s="145">
        <v>1200</v>
      </c>
      <c r="O249" s="156" t="s">
        <v>135</v>
      </c>
      <c r="P249" s="144" t="s">
        <v>2468</v>
      </c>
      <c r="Q249" s="147">
        <v>47209</v>
      </c>
      <c r="R249" s="146"/>
      <c r="S249" s="157"/>
      <c r="T249" s="144" t="s">
        <v>29</v>
      </c>
      <c r="U249" s="150" t="s">
        <v>20</v>
      </c>
      <c r="V249" s="146">
        <v>2751</v>
      </c>
      <c r="W249" s="148" t="s">
        <v>2968</v>
      </c>
      <c r="X249" s="149">
        <v>45901</v>
      </c>
      <c r="Y249" s="165" t="s">
        <v>2660</v>
      </c>
    </row>
    <row r="250" spans="1:25">
      <c r="A250" s="163" t="s">
        <v>309</v>
      </c>
      <c r="B250" s="144" t="s">
        <v>2463</v>
      </c>
      <c r="C250" s="164" t="s">
        <v>2969</v>
      </c>
      <c r="D250" s="144" t="s">
        <v>2970</v>
      </c>
      <c r="E250" s="150" t="s">
        <v>2636</v>
      </c>
      <c r="F250" s="144" t="s">
        <v>2482</v>
      </c>
      <c r="G250" s="166"/>
      <c r="H250" s="151">
        <v>3</v>
      </c>
      <c r="I250" s="160">
        <v>250</v>
      </c>
      <c r="J250" s="159">
        <v>250</v>
      </c>
      <c r="K250" s="161">
        <v>750</v>
      </c>
      <c r="L250" s="159">
        <v>750</v>
      </c>
      <c r="M250" s="160">
        <v>750</v>
      </c>
      <c r="N250" s="145">
        <v>12000</v>
      </c>
      <c r="O250" s="156" t="s">
        <v>135</v>
      </c>
      <c r="P250" s="144" t="s">
        <v>2468</v>
      </c>
      <c r="Q250" s="147">
        <v>48183</v>
      </c>
      <c r="R250" s="146"/>
      <c r="S250" s="157"/>
      <c r="T250" s="144" t="s">
        <v>29</v>
      </c>
      <c r="U250" s="150" t="s">
        <v>18</v>
      </c>
      <c r="V250" s="146">
        <v>2593</v>
      </c>
      <c r="W250" s="148" t="s">
        <v>2971</v>
      </c>
      <c r="X250" s="149">
        <v>45901</v>
      </c>
      <c r="Y250" s="165" t="s">
        <v>2972</v>
      </c>
    </row>
    <row r="251" spans="1:25">
      <c r="A251" s="163" t="s">
        <v>309</v>
      </c>
      <c r="B251" s="144" t="s">
        <v>2463</v>
      </c>
      <c r="C251" s="164" t="s">
        <v>676</v>
      </c>
      <c r="D251" s="144" t="s">
        <v>677</v>
      </c>
      <c r="E251" s="150" t="s">
        <v>2485</v>
      </c>
      <c r="F251" s="144" t="s">
        <v>2486</v>
      </c>
      <c r="G251" s="166"/>
      <c r="H251" s="151">
        <v>35</v>
      </c>
      <c r="I251" s="160">
        <v>6.2</v>
      </c>
      <c r="J251" s="159">
        <v>6.2</v>
      </c>
      <c r="K251" s="161">
        <v>217</v>
      </c>
      <c r="L251" s="159">
        <v>217</v>
      </c>
      <c r="M251" s="160">
        <v>217</v>
      </c>
      <c r="N251" s="145"/>
      <c r="O251" s="156" t="s">
        <v>135</v>
      </c>
      <c r="P251" s="144" t="s">
        <v>2478</v>
      </c>
      <c r="Q251" s="147">
        <v>47453</v>
      </c>
      <c r="R251" s="146">
        <v>2059</v>
      </c>
      <c r="S251" s="157"/>
      <c r="T251" s="144" t="s">
        <v>29</v>
      </c>
      <c r="U251" s="150" t="s">
        <v>17</v>
      </c>
      <c r="V251" s="146">
        <v>2037</v>
      </c>
      <c r="W251" s="148" t="s">
        <v>2973</v>
      </c>
      <c r="X251" s="149">
        <v>45778</v>
      </c>
      <c r="Y251" s="165" t="s">
        <v>2558</v>
      </c>
    </row>
    <row r="252" spans="1:25">
      <c r="A252" s="163" t="s">
        <v>7</v>
      </c>
      <c r="B252" s="144" t="s">
        <v>2463</v>
      </c>
      <c r="C252" s="164" t="s">
        <v>2974</v>
      </c>
      <c r="D252" s="144" t="s">
        <v>526</v>
      </c>
      <c r="E252" s="150" t="s">
        <v>2476</v>
      </c>
      <c r="F252" s="144" t="s">
        <v>2477</v>
      </c>
      <c r="G252" s="166"/>
      <c r="H252" s="151">
        <v>4</v>
      </c>
      <c r="I252" s="160"/>
      <c r="J252" s="159">
        <v>4</v>
      </c>
      <c r="K252" s="161"/>
      <c r="L252" s="159">
        <v>16</v>
      </c>
      <c r="M252" s="160">
        <v>16</v>
      </c>
      <c r="N252" s="145"/>
      <c r="O252" s="156" t="s">
        <v>135</v>
      </c>
      <c r="P252" s="144" t="s">
        <v>2480</v>
      </c>
      <c r="Q252" s="147">
        <v>45717</v>
      </c>
      <c r="R252" s="146">
        <v>2053</v>
      </c>
      <c r="S252" s="157"/>
      <c r="T252" s="144" t="s">
        <v>29</v>
      </c>
      <c r="U252" s="150" t="s">
        <v>2479</v>
      </c>
      <c r="V252" s="146">
        <v>1910</v>
      </c>
      <c r="W252" s="148"/>
      <c r="X252" s="149"/>
      <c r="Y252" s="165" t="s">
        <v>2975</v>
      </c>
    </row>
    <row r="253" spans="1:25">
      <c r="A253" s="163" t="s">
        <v>380</v>
      </c>
      <c r="B253" s="144" t="s">
        <v>2463</v>
      </c>
      <c r="C253" s="164" t="s">
        <v>2976</v>
      </c>
      <c r="D253" s="144" t="s">
        <v>2977</v>
      </c>
      <c r="E253" s="150" t="s">
        <v>2466</v>
      </c>
      <c r="F253" s="144" t="s">
        <v>2467</v>
      </c>
      <c r="G253" s="166"/>
      <c r="H253" s="151">
        <v>128</v>
      </c>
      <c r="I253" s="160">
        <v>0.92</v>
      </c>
      <c r="J253" s="159">
        <v>0.92</v>
      </c>
      <c r="K253" s="161">
        <v>118.02</v>
      </c>
      <c r="L253" s="159">
        <v>118.02</v>
      </c>
      <c r="M253" s="160">
        <v>118.02</v>
      </c>
      <c r="N253" s="145">
        <v>240</v>
      </c>
      <c r="O253" s="156" t="s">
        <v>135</v>
      </c>
      <c r="P253" s="144" t="s">
        <v>2468</v>
      </c>
      <c r="Q253" s="147">
        <v>47300</v>
      </c>
      <c r="R253" s="146"/>
      <c r="S253" s="157"/>
      <c r="T253" s="144" t="s">
        <v>29</v>
      </c>
      <c r="U253" s="150" t="s">
        <v>20</v>
      </c>
      <c r="V253" s="146">
        <v>2649</v>
      </c>
      <c r="W253" s="148" t="s">
        <v>2978</v>
      </c>
      <c r="X253" s="149"/>
      <c r="Y253" s="165" t="s">
        <v>2470</v>
      </c>
    </row>
    <row r="254" spans="1:25">
      <c r="A254" s="163" t="s">
        <v>380</v>
      </c>
      <c r="B254" s="144" t="s">
        <v>2463</v>
      </c>
      <c r="C254" s="164" t="s">
        <v>2979</v>
      </c>
      <c r="D254" s="144" t="s">
        <v>2977</v>
      </c>
      <c r="E254" s="150" t="s">
        <v>2485</v>
      </c>
      <c r="F254" s="144" t="s">
        <v>2486</v>
      </c>
      <c r="G254" s="166"/>
      <c r="H254" s="151">
        <v>42</v>
      </c>
      <c r="I254" s="160">
        <v>5.88</v>
      </c>
      <c r="J254" s="159">
        <v>5.88</v>
      </c>
      <c r="K254" s="161">
        <v>247</v>
      </c>
      <c r="L254" s="159">
        <v>247</v>
      </c>
      <c r="M254" s="160">
        <v>247</v>
      </c>
      <c r="N254" s="145"/>
      <c r="O254" s="156" t="s">
        <v>135</v>
      </c>
      <c r="P254" s="144" t="s">
        <v>2478</v>
      </c>
      <c r="Q254" s="147">
        <v>47119</v>
      </c>
      <c r="R254" s="146"/>
      <c r="S254" s="157"/>
      <c r="T254" s="144" t="s">
        <v>29</v>
      </c>
      <c r="U254" s="150" t="s">
        <v>17</v>
      </c>
      <c r="V254" s="146">
        <v>1040</v>
      </c>
      <c r="W254" s="148" t="s">
        <v>2980</v>
      </c>
      <c r="X254" s="149">
        <v>45778</v>
      </c>
      <c r="Y254" s="165" t="s">
        <v>2981</v>
      </c>
    </row>
    <row r="255" spans="1:25">
      <c r="A255" s="163" t="s">
        <v>423</v>
      </c>
      <c r="B255" s="144" t="s">
        <v>2463</v>
      </c>
      <c r="C255" s="164" t="s">
        <v>2982</v>
      </c>
      <c r="D255" s="144" t="s">
        <v>517</v>
      </c>
      <c r="E255" s="150" t="s">
        <v>2466</v>
      </c>
      <c r="F255" s="144" t="s">
        <v>2467</v>
      </c>
      <c r="G255" s="166"/>
      <c r="H255" s="151">
        <v>1</v>
      </c>
      <c r="I255" s="160"/>
      <c r="J255" s="159">
        <v>30</v>
      </c>
      <c r="K255" s="161"/>
      <c r="L255" s="159">
        <v>30</v>
      </c>
      <c r="M255" s="160">
        <v>30</v>
      </c>
      <c r="N255" s="145">
        <v>0</v>
      </c>
      <c r="O255" s="156" t="s">
        <v>135</v>
      </c>
      <c r="P255" s="144" t="s">
        <v>2468</v>
      </c>
      <c r="Q255" s="147"/>
      <c r="R255" s="146"/>
      <c r="S255" s="157"/>
      <c r="T255" s="144" t="s">
        <v>29</v>
      </c>
      <c r="U255" s="150" t="s">
        <v>20</v>
      </c>
      <c r="V255" s="146">
        <v>1948</v>
      </c>
      <c r="W255" s="148" t="s">
        <v>2983</v>
      </c>
      <c r="X255" s="149">
        <v>45901</v>
      </c>
      <c r="Y255" s="165" t="s">
        <v>2984</v>
      </c>
    </row>
    <row r="256" spans="1:25">
      <c r="A256" s="163" t="s">
        <v>423</v>
      </c>
      <c r="B256" s="144" t="s">
        <v>2463</v>
      </c>
      <c r="C256" s="164" t="s">
        <v>2985</v>
      </c>
      <c r="D256" s="144" t="s">
        <v>2986</v>
      </c>
      <c r="E256" s="150" t="s">
        <v>2491</v>
      </c>
      <c r="F256" s="144" t="s">
        <v>2477</v>
      </c>
      <c r="G256" s="166"/>
      <c r="H256" s="151">
        <v>1</v>
      </c>
      <c r="I256" s="160">
        <v>150</v>
      </c>
      <c r="J256" s="159">
        <v>150</v>
      </c>
      <c r="K256" s="161">
        <v>150</v>
      </c>
      <c r="L256" s="159">
        <v>150</v>
      </c>
      <c r="M256" s="160">
        <v>150</v>
      </c>
      <c r="N256" s="145">
        <v>0</v>
      </c>
      <c r="O256" s="156" t="s">
        <v>135</v>
      </c>
      <c r="P256" s="144" t="s">
        <v>2478</v>
      </c>
      <c r="Q256" s="147"/>
      <c r="R256" s="146"/>
      <c r="S256" s="157"/>
      <c r="T256" s="144" t="s">
        <v>29</v>
      </c>
      <c r="U256" s="150" t="s">
        <v>2479</v>
      </c>
      <c r="V256" s="146">
        <v>1687</v>
      </c>
      <c r="W256" s="148"/>
      <c r="X256" s="149">
        <v>45901</v>
      </c>
      <c r="Y256" s="165" t="s">
        <v>2987</v>
      </c>
    </row>
    <row r="257" spans="1:25">
      <c r="A257" s="163" t="s">
        <v>423</v>
      </c>
      <c r="B257" s="144" t="s">
        <v>2463</v>
      </c>
      <c r="C257" s="164" t="s">
        <v>2988</v>
      </c>
      <c r="D257" s="144" t="s">
        <v>2986</v>
      </c>
      <c r="E257" s="150" t="s">
        <v>2491</v>
      </c>
      <c r="F257" s="144" t="s">
        <v>2477</v>
      </c>
      <c r="G257" s="166"/>
      <c r="H257" s="151">
        <v>1</v>
      </c>
      <c r="I257" s="160">
        <v>150</v>
      </c>
      <c r="J257" s="159">
        <v>150</v>
      </c>
      <c r="K257" s="161">
        <v>150</v>
      </c>
      <c r="L257" s="159">
        <v>150</v>
      </c>
      <c r="M257" s="160">
        <v>150</v>
      </c>
      <c r="N257" s="145">
        <v>0</v>
      </c>
      <c r="O257" s="156" t="s">
        <v>135</v>
      </c>
      <c r="P257" s="144" t="s">
        <v>2478</v>
      </c>
      <c r="Q257" s="147"/>
      <c r="R257" s="146"/>
      <c r="S257" s="157"/>
      <c r="T257" s="144" t="s">
        <v>29</v>
      </c>
      <c r="U257" s="150" t="s">
        <v>2479</v>
      </c>
      <c r="V257" s="146">
        <v>1688</v>
      </c>
      <c r="W257" s="148"/>
      <c r="X257" s="149">
        <v>45901</v>
      </c>
      <c r="Y257" s="165" t="s">
        <v>2987</v>
      </c>
    </row>
    <row r="258" spans="1:25">
      <c r="A258" s="163" t="s">
        <v>565</v>
      </c>
      <c r="B258" s="144" t="s">
        <v>163</v>
      </c>
      <c r="C258" s="164" t="s">
        <v>2989</v>
      </c>
      <c r="D258" s="144" t="s">
        <v>1137</v>
      </c>
      <c r="E258" s="150" t="s">
        <v>2593</v>
      </c>
      <c r="F258" s="144" t="s">
        <v>2482</v>
      </c>
      <c r="G258" s="166" t="s">
        <v>2990</v>
      </c>
      <c r="H258" s="151">
        <v>1</v>
      </c>
      <c r="I258" s="160">
        <v>24</v>
      </c>
      <c r="J258" s="159">
        <v>24</v>
      </c>
      <c r="K258" s="161">
        <v>24</v>
      </c>
      <c r="L258" s="159">
        <v>24</v>
      </c>
      <c r="M258" s="160">
        <v>24</v>
      </c>
      <c r="N258" s="145"/>
      <c r="O258" s="156" t="s">
        <v>166</v>
      </c>
      <c r="P258" s="144" t="s">
        <v>2468</v>
      </c>
      <c r="Q258" s="147"/>
      <c r="R258" s="146">
        <v>2100</v>
      </c>
      <c r="S258" s="157"/>
      <c r="T258" s="144" t="s">
        <v>25</v>
      </c>
      <c r="U258" s="150" t="s">
        <v>18</v>
      </c>
      <c r="V258" s="146">
        <v>1041</v>
      </c>
      <c r="W258" s="148"/>
      <c r="X258" s="149">
        <v>45689</v>
      </c>
      <c r="Y258" s="165" t="s">
        <v>2541</v>
      </c>
    </row>
    <row r="259" spans="1:25">
      <c r="A259" s="163" t="s">
        <v>565</v>
      </c>
      <c r="B259" s="144" t="s">
        <v>163</v>
      </c>
      <c r="C259" s="164" t="s">
        <v>2989</v>
      </c>
      <c r="D259" s="144" t="s">
        <v>1137</v>
      </c>
      <c r="E259" s="150" t="s">
        <v>2593</v>
      </c>
      <c r="F259" s="144" t="s">
        <v>2482</v>
      </c>
      <c r="G259" s="166" t="s">
        <v>2990</v>
      </c>
      <c r="H259" s="151">
        <v>1</v>
      </c>
      <c r="I259" s="160">
        <v>27</v>
      </c>
      <c r="J259" s="159">
        <v>27</v>
      </c>
      <c r="K259" s="161">
        <v>27</v>
      </c>
      <c r="L259" s="159">
        <v>27</v>
      </c>
      <c r="M259" s="160">
        <v>27</v>
      </c>
      <c r="N259" s="145"/>
      <c r="O259" s="156" t="s">
        <v>166</v>
      </c>
      <c r="P259" s="144" t="s">
        <v>2468</v>
      </c>
      <c r="Q259" s="147"/>
      <c r="R259" s="146">
        <v>2100</v>
      </c>
      <c r="S259" s="157"/>
      <c r="T259" s="144" t="s">
        <v>25</v>
      </c>
      <c r="U259" s="150" t="s">
        <v>18</v>
      </c>
      <c r="V259" s="146">
        <v>1041</v>
      </c>
      <c r="W259" s="148"/>
      <c r="X259" s="149">
        <v>45689</v>
      </c>
      <c r="Y259" s="165" t="s">
        <v>2541</v>
      </c>
    </row>
    <row r="260" spans="1:25">
      <c r="A260" s="163" t="s">
        <v>565</v>
      </c>
      <c r="B260" s="144" t="s">
        <v>163</v>
      </c>
      <c r="C260" s="164" t="s">
        <v>2989</v>
      </c>
      <c r="D260" s="144" t="s">
        <v>1137</v>
      </c>
      <c r="E260" s="150" t="s">
        <v>2593</v>
      </c>
      <c r="F260" s="144" t="s">
        <v>2482</v>
      </c>
      <c r="G260" s="166" t="s">
        <v>2990</v>
      </c>
      <c r="H260" s="151">
        <v>1</v>
      </c>
      <c r="I260" s="160">
        <v>31.5</v>
      </c>
      <c r="J260" s="159">
        <v>31.5</v>
      </c>
      <c r="K260" s="161">
        <v>31.5</v>
      </c>
      <c r="L260" s="159">
        <v>31.5</v>
      </c>
      <c r="M260" s="160">
        <v>31.5</v>
      </c>
      <c r="N260" s="145"/>
      <c r="O260" s="156" t="s">
        <v>166</v>
      </c>
      <c r="P260" s="144" t="s">
        <v>2468</v>
      </c>
      <c r="Q260" s="147"/>
      <c r="R260" s="146">
        <v>2100</v>
      </c>
      <c r="S260" s="157"/>
      <c r="T260" s="144" t="s">
        <v>25</v>
      </c>
      <c r="U260" s="150" t="s">
        <v>18</v>
      </c>
      <c r="V260" s="146">
        <v>1041</v>
      </c>
      <c r="W260" s="148"/>
      <c r="X260" s="149">
        <v>45689</v>
      </c>
      <c r="Y260" s="165" t="s">
        <v>2541</v>
      </c>
    </row>
    <row r="261" spans="1:25">
      <c r="A261" s="163" t="s">
        <v>565</v>
      </c>
      <c r="B261" s="144" t="s">
        <v>163</v>
      </c>
      <c r="C261" s="164" t="s">
        <v>2989</v>
      </c>
      <c r="D261" s="144" t="s">
        <v>1137</v>
      </c>
      <c r="E261" s="150" t="s">
        <v>2593</v>
      </c>
      <c r="F261" s="144" t="s">
        <v>2482</v>
      </c>
      <c r="G261" s="166" t="s">
        <v>2990</v>
      </c>
      <c r="H261" s="151">
        <v>2</v>
      </c>
      <c r="I261" s="160">
        <v>27.9</v>
      </c>
      <c r="J261" s="159">
        <v>27.9</v>
      </c>
      <c r="K261" s="161">
        <v>55.8</v>
      </c>
      <c r="L261" s="159">
        <v>55.8</v>
      </c>
      <c r="M261" s="160">
        <v>55.8</v>
      </c>
      <c r="N261" s="145"/>
      <c r="O261" s="156" t="s">
        <v>166</v>
      </c>
      <c r="P261" s="144" t="s">
        <v>2468</v>
      </c>
      <c r="Q261" s="147"/>
      <c r="R261" s="146">
        <v>2100</v>
      </c>
      <c r="S261" s="157"/>
      <c r="T261" s="144" t="s">
        <v>25</v>
      </c>
      <c r="U261" s="150" t="s">
        <v>18</v>
      </c>
      <c r="V261" s="146">
        <v>1041</v>
      </c>
      <c r="W261" s="148"/>
      <c r="X261" s="149">
        <v>45689</v>
      </c>
      <c r="Y261" s="165" t="s">
        <v>2541</v>
      </c>
    </row>
    <row r="262" spans="1:25">
      <c r="A262" s="163" t="s">
        <v>565</v>
      </c>
      <c r="B262" s="144" t="s">
        <v>163</v>
      </c>
      <c r="C262" s="164" t="s">
        <v>2989</v>
      </c>
      <c r="D262" s="144" t="s">
        <v>1137</v>
      </c>
      <c r="E262" s="150" t="s">
        <v>2593</v>
      </c>
      <c r="F262" s="144" t="s">
        <v>2482</v>
      </c>
      <c r="G262" s="166" t="s">
        <v>2990</v>
      </c>
      <c r="H262" s="151">
        <v>3</v>
      </c>
      <c r="I262" s="160">
        <v>12.8</v>
      </c>
      <c r="J262" s="159">
        <v>12.8</v>
      </c>
      <c r="K262" s="161">
        <v>38.4</v>
      </c>
      <c r="L262" s="159">
        <v>38.4</v>
      </c>
      <c r="M262" s="160">
        <v>38.4</v>
      </c>
      <c r="N262" s="145"/>
      <c r="O262" s="156" t="s">
        <v>166</v>
      </c>
      <c r="P262" s="144" t="s">
        <v>2468</v>
      </c>
      <c r="Q262" s="147"/>
      <c r="R262" s="146">
        <v>2100</v>
      </c>
      <c r="S262" s="157"/>
      <c r="T262" s="144" t="s">
        <v>25</v>
      </c>
      <c r="U262" s="150" t="s">
        <v>18</v>
      </c>
      <c r="V262" s="146">
        <v>1041</v>
      </c>
      <c r="W262" s="148"/>
      <c r="X262" s="149">
        <v>45689</v>
      </c>
      <c r="Y262" s="165" t="s">
        <v>2541</v>
      </c>
    </row>
    <row r="263" spans="1:25">
      <c r="A263" s="163" t="s">
        <v>380</v>
      </c>
      <c r="B263" s="144" t="s">
        <v>163</v>
      </c>
      <c r="C263" s="164" t="s">
        <v>2991</v>
      </c>
      <c r="D263" s="144" t="s">
        <v>2992</v>
      </c>
      <c r="E263" s="150" t="s">
        <v>2485</v>
      </c>
      <c r="F263" s="144" t="s">
        <v>2486</v>
      </c>
      <c r="G263" s="166" t="s">
        <v>2993</v>
      </c>
      <c r="H263" s="151">
        <v>31</v>
      </c>
      <c r="I263" s="160">
        <v>2</v>
      </c>
      <c r="J263" s="159">
        <v>2</v>
      </c>
      <c r="K263" s="161">
        <v>62</v>
      </c>
      <c r="L263" s="159">
        <v>62</v>
      </c>
      <c r="M263" s="160">
        <v>62</v>
      </c>
      <c r="N263" s="145"/>
      <c r="O263" s="156" t="s">
        <v>166</v>
      </c>
      <c r="P263" s="144" t="s">
        <v>2478</v>
      </c>
      <c r="Q263" s="147"/>
      <c r="R263" s="146">
        <v>2030</v>
      </c>
      <c r="S263" s="157"/>
      <c r="T263" s="144" t="s">
        <v>25</v>
      </c>
      <c r="U263" s="150" t="s">
        <v>17</v>
      </c>
      <c r="V263" s="146">
        <v>1042</v>
      </c>
      <c r="W263" s="148"/>
      <c r="X263" s="149">
        <v>45901</v>
      </c>
      <c r="Y263" s="165" t="s">
        <v>2589</v>
      </c>
    </row>
    <row r="264" spans="1:25">
      <c r="A264" s="163" t="s">
        <v>309</v>
      </c>
      <c r="B264" s="144" t="s">
        <v>2463</v>
      </c>
      <c r="C264" s="164" t="s">
        <v>2994</v>
      </c>
      <c r="D264" s="144" t="s">
        <v>643</v>
      </c>
      <c r="E264" s="150" t="s">
        <v>2466</v>
      </c>
      <c r="F264" s="144" t="s">
        <v>2467</v>
      </c>
      <c r="G264" s="166"/>
      <c r="H264" s="151">
        <v>1</v>
      </c>
      <c r="I264" s="160">
        <v>200</v>
      </c>
      <c r="J264" s="159">
        <v>200</v>
      </c>
      <c r="K264" s="161">
        <v>200</v>
      </c>
      <c r="L264" s="159">
        <v>200</v>
      </c>
      <c r="M264" s="160">
        <v>200</v>
      </c>
      <c r="N264" s="145">
        <v>0</v>
      </c>
      <c r="O264" s="156" t="s">
        <v>135</v>
      </c>
      <c r="P264" s="144" t="s">
        <v>2468</v>
      </c>
      <c r="Q264" s="147"/>
      <c r="R264" s="146"/>
      <c r="S264" s="157"/>
      <c r="T264" s="144" t="s">
        <v>29</v>
      </c>
      <c r="U264" s="150" t="s">
        <v>20</v>
      </c>
      <c r="V264" s="146">
        <v>2752</v>
      </c>
      <c r="W264" s="148" t="s">
        <v>2995</v>
      </c>
      <c r="X264" s="149">
        <v>45689</v>
      </c>
      <c r="Y264" s="165" t="s">
        <v>2622</v>
      </c>
    </row>
    <row r="265" spans="1:25">
      <c r="A265" s="163" t="s">
        <v>309</v>
      </c>
      <c r="B265" s="144" t="s">
        <v>2463</v>
      </c>
      <c r="C265" s="164" t="s">
        <v>2994</v>
      </c>
      <c r="D265" s="144" t="s">
        <v>643</v>
      </c>
      <c r="E265" s="150" t="s">
        <v>2485</v>
      </c>
      <c r="F265" s="144" t="s">
        <v>2486</v>
      </c>
      <c r="G265" s="166"/>
      <c r="H265" s="151">
        <v>140</v>
      </c>
      <c r="I265" s="160">
        <v>5.7</v>
      </c>
      <c r="J265" s="159">
        <v>5.7</v>
      </c>
      <c r="K265" s="161">
        <v>798</v>
      </c>
      <c r="L265" s="159">
        <v>798</v>
      </c>
      <c r="M265" s="160">
        <v>798</v>
      </c>
      <c r="N265" s="145"/>
      <c r="O265" s="156" t="s">
        <v>135</v>
      </c>
      <c r="P265" s="144" t="s">
        <v>2478</v>
      </c>
      <c r="Q265" s="147"/>
      <c r="R265" s="146"/>
      <c r="S265" s="157"/>
      <c r="T265" s="144" t="s">
        <v>29</v>
      </c>
      <c r="U265" s="150" t="s">
        <v>17</v>
      </c>
      <c r="V265" s="146">
        <v>2752</v>
      </c>
      <c r="W265" s="148" t="s">
        <v>2995</v>
      </c>
      <c r="X265" s="149">
        <v>45689</v>
      </c>
      <c r="Y265" s="165" t="s">
        <v>2622</v>
      </c>
    </row>
    <row r="266" spans="1:25">
      <c r="A266" s="163" t="s">
        <v>565</v>
      </c>
      <c r="B266" s="144" t="s">
        <v>163</v>
      </c>
      <c r="C266" s="164" t="s">
        <v>1687</v>
      </c>
      <c r="D266" s="144" t="s">
        <v>1688</v>
      </c>
      <c r="E266" s="150" t="s">
        <v>2485</v>
      </c>
      <c r="F266" s="144" t="s">
        <v>2486</v>
      </c>
      <c r="G266" s="166" t="s">
        <v>1689</v>
      </c>
      <c r="H266" s="151">
        <v>45</v>
      </c>
      <c r="I266" s="160"/>
      <c r="J266" s="159">
        <v>3.2</v>
      </c>
      <c r="K266" s="161"/>
      <c r="L266" s="159">
        <v>144</v>
      </c>
      <c r="M266" s="160">
        <v>144</v>
      </c>
      <c r="N266" s="145"/>
      <c r="O266" s="156" t="s">
        <v>166</v>
      </c>
      <c r="P266" s="144" t="s">
        <v>2478</v>
      </c>
      <c r="Q266" s="147">
        <v>44228</v>
      </c>
      <c r="R266" s="146">
        <v>2044</v>
      </c>
      <c r="S266" s="157"/>
      <c r="T266" s="144" t="s">
        <v>25</v>
      </c>
      <c r="U266" s="150" t="s">
        <v>17</v>
      </c>
      <c r="V266" s="146">
        <v>1260</v>
      </c>
      <c r="W266" s="148"/>
      <c r="X266" s="149">
        <v>45778</v>
      </c>
      <c r="Y266" s="165" t="s">
        <v>2730</v>
      </c>
    </row>
    <row r="267" spans="1:25">
      <c r="A267" s="163" t="s">
        <v>380</v>
      </c>
      <c r="B267" s="144" t="s">
        <v>2463</v>
      </c>
      <c r="C267" s="164" t="s">
        <v>2996</v>
      </c>
      <c r="D267" s="144" t="s">
        <v>2997</v>
      </c>
      <c r="E267" s="150" t="s">
        <v>2466</v>
      </c>
      <c r="F267" s="144" t="s">
        <v>2467</v>
      </c>
      <c r="G267" s="166"/>
      <c r="H267" s="151">
        <v>1</v>
      </c>
      <c r="I267" s="160"/>
      <c r="J267" s="159">
        <v>25</v>
      </c>
      <c r="K267" s="161"/>
      <c r="L267" s="159">
        <v>25</v>
      </c>
      <c r="M267" s="160">
        <v>25</v>
      </c>
      <c r="N267" s="145">
        <v>200</v>
      </c>
      <c r="O267" s="156" t="s">
        <v>135</v>
      </c>
      <c r="P267" s="144" t="s">
        <v>2468</v>
      </c>
      <c r="Q267" s="147"/>
      <c r="R267" s="146"/>
      <c r="S267" s="157"/>
      <c r="T267" s="144" t="s">
        <v>29</v>
      </c>
      <c r="U267" s="150" t="s">
        <v>20</v>
      </c>
      <c r="V267" s="146">
        <v>2968</v>
      </c>
      <c r="W267" s="148"/>
      <c r="X267" s="149"/>
      <c r="Y267" s="165" t="s">
        <v>2474</v>
      </c>
    </row>
    <row r="268" spans="1:25">
      <c r="A268" s="163" t="s">
        <v>380</v>
      </c>
      <c r="B268" s="144" t="s">
        <v>2463</v>
      </c>
      <c r="C268" s="164" t="s">
        <v>2998</v>
      </c>
      <c r="D268" s="144" t="s">
        <v>2997</v>
      </c>
      <c r="E268" s="150" t="s">
        <v>2476</v>
      </c>
      <c r="F268" s="144" t="s">
        <v>2477</v>
      </c>
      <c r="G268" s="166"/>
      <c r="H268" s="151">
        <v>1</v>
      </c>
      <c r="I268" s="160"/>
      <c r="J268" s="159">
        <v>200</v>
      </c>
      <c r="K268" s="161"/>
      <c r="L268" s="159">
        <v>200</v>
      </c>
      <c r="M268" s="160">
        <v>200</v>
      </c>
      <c r="N268" s="145"/>
      <c r="O268" s="156" t="s">
        <v>135</v>
      </c>
      <c r="P268" s="144" t="s">
        <v>2478</v>
      </c>
      <c r="Q268" s="147"/>
      <c r="R268" s="146"/>
      <c r="S268" s="157"/>
      <c r="T268" s="144" t="s">
        <v>29</v>
      </c>
      <c r="U268" s="150" t="s">
        <v>2479</v>
      </c>
      <c r="V268" s="146">
        <v>2969</v>
      </c>
      <c r="W268" s="148"/>
      <c r="X268" s="149"/>
      <c r="Y268" s="165" t="s">
        <v>2474</v>
      </c>
    </row>
    <row r="269" spans="1:25">
      <c r="A269" s="163" t="s">
        <v>380</v>
      </c>
      <c r="B269" s="144" t="s">
        <v>2463</v>
      </c>
      <c r="C269" s="164" t="s">
        <v>2999</v>
      </c>
      <c r="D269" s="144" t="s">
        <v>2997</v>
      </c>
      <c r="E269" s="150" t="s">
        <v>2485</v>
      </c>
      <c r="F269" s="144" t="s">
        <v>2486</v>
      </c>
      <c r="G269" s="166"/>
      <c r="H269" s="151">
        <v>1</v>
      </c>
      <c r="I269" s="160"/>
      <c r="J269" s="159">
        <v>400</v>
      </c>
      <c r="K269" s="161"/>
      <c r="L269" s="159">
        <v>400</v>
      </c>
      <c r="M269" s="160">
        <v>400</v>
      </c>
      <c r="N269" s="145"/>
      <c r="O269" s="156" t="s">
        <v>135</v>
      </c>
      <c r="P269" s="144" t="s">
        <v>2478</v>
      </c>
      <c r="Q269" s="147"/>
      <c r="R269" s="146"/>
      <c r="S269" s="157"/>
      <c r="T269" s="144" t="s">
        <v>29</v>
      </c>
      <c r="U269" s="150" t="s">
        <v>17</v>
      </c>
      <c r="V269" s="146">
        <v>2967</v>
      </c>
      <c r="W269" s="148"/>
      <c r="X269" s="149"/>
      <c r="Y269" s="165" t="s">
        <v>2474</v>
      </c>
    </row>
    <row r="270" spans="1:25">
      <c r="A270" s="163" t="s">
        <v>7</v>
      </c>
      <c r="B270" s="144" t="s">
        <v>2463</v>
      </c>
      <c r="C270" s="164" t="s">
        <v>3000</v>
      </c>
      <c r="D270" s="144" t="s">
        <v>3001</v>
      </c>
      <c r="E270" s="150" t="s">
        <v>2485</v>
      </c>
      <c r="F270" s="144" t="s">
        <v>2486</v>
      </c>
      <c r="G270" s="166"/>
      <c r="H270" s="151">
        <v>57</v>
      </c>
      <c r="I270" s="160">
        <v>7</v>
      </c>
      <c r="J270" s="159">
        <v>7</v>
      </c>
      <c r="K270" s="161">
        <v>399</v>
      </c>
      <c r="L270" s="159">
        <v>399</v>
      </c>
      <c r="M270" s="160">
        <v>399</v>
      </c>
      <c r="N270" s="145"/>
      <c r="O270" s="156" t="s">
        <v>135</v>
      </c>
      <c r="P270" s="144" t="s">
        <v>2478</v>
      </c>
      <c r="Q270" s="147"/>
      <c r="R270" s="146"/>
      <c r="S270" s="157"/>
      <c r="T270" s="144" t="s">
        <v>29</v>
      </c>
      <c r="U270" s="150" t="s">
        <v>17</v>
      </c>
      <c r="V270" s="146">
        <v>2821</v>
      </c>
      <c r="W270" s="148" t="s">
        <v>3002</v>
      </c>
      <c r="X270" s="149">
        <v>45901</v>
      </c>
      <c r="Y270" s="165" t="s">
        <v>3003</v>
      </c>
    </row>
    <row r="271" spans="1:25">
      <c r="A271" s="163" t="s">
        <v>309</v>
      </c>
      <c r="B271" s="144" t="s">
        <v>2463</v>
      </c>
      <c r="C271" s="164" t="s">
        <v>3004</v>
      </c>
      <c r="D271" s="144" t="s">
        <v>3005</v>
      </c>
      <c r="E271" s="150" t="s">
        <v>2466</v>
      </c>
      <c r="F271" s="144" t="s">
        <v>2467</v>
      </c>
      <c r="G271" s="166"/>
      <c r="H271" s="151">
        <v>1</v>
      </c>
      <c r="I271" s="160">
        <v>400</v>
      </c>
      <c r="J271" s="159">
        <v>400</v>
      </c>
      <c r="K271" s="161">
        <v>400</v>
      </c>
      <c r="L271" s="159">
        <v>400</v>
      </c>
      <c r="M271" s="160">
        <v>400</v>
      </c>
      <c r="N271" s="145">
        <v>1600</v>
      </c>
      <c r="O271" s="156" t="s">
        <v>135</v>
      </c>
      <c r="P271" s="144" t="s">
        <v>2468</v>
      </c>
      <c r="Q271" s="147"/>
      <c r="R271" s="146"/>
      <c r="S271" s="157"/>
      <c r="T271" s="144" t="s">
        <v>29</v>
      </c>
      <c r="U271" s="150" t="s">
        <v>20</v>
      </c>
      <c r="V271" s="146">
        <v>3092</v>
      </c>
      <c r="W271" s="148"/>
      <c r="X271" s="149">
        <v>45901</v>
      </c>
      <c r="Y271" s="165" t="s">
        <v>3006</v>
      </c>
    </row>
    <row r="272" spans="1:25">
      <c r="A272" s="163" t="s">
        <v>309</v>
      </c>
      <c r="B272" s="144" t="s">
        <v>2463</v>
      </c>
      <c r="C272" s="164" t="s">
        <v>3007</v>
      </c>
      <c r="D272" s="144" t="s">
        <v>3008</v>
      </c>
      <c r="E272" s="150" t="s">
        <v>3009</v>
      </c>
      <c r="F272" s="144" t="s">
        <v>2467</v>
      </c>
      <c r="G272" s="166"/>
      <c r="H272" s="151">
        <v>1</v>
      </c>
      <c r="I272" s="160">
        <v>200</v>
      </c>
      <c r="J272" s="159">
        <v>200</v>
      </c>
      <c r="K272" s="161">
        <v>200</v>
      </c>
      <c r="L272" s="159">
        <v>200</v>
      </c>
      <c r="M272" s="160">
        <v>200</v>
      </c>
      <c r="N272" s="145">
        <v>2400</v>
      </c>
      <c r="O272" s="156" t="s">
        <v>135</v>
      </c>
      <c r="P272" s="144" t="s">
        <v>2468</v>
      </c>
      <c r="Q272" s="147"/>
      <c r="R272" s="146"/>
      <c r="S272" s="157"/>
      <c r="T272" s="144" t="s">
        <v>29</v>
      </c>
      <c r="U272" s="150" t="s">
        <v>20</v>
      </c>
      <c r="V272" s="146">
        <v>3093</v>
      </c>
      <c r="W272" s="148"/>
      <c r="X272" s="149">
        <v>45901</v>
      </c>
      <c r="Y272" s="165" t="s">
        <v>3006</v>
      </c>
    </row>
    <row r="273" spans="1:25">
      <c r="A273" s="163" t="s">
        <v>565</v>
      </c>
      <c r="B273" s="144" t="s">
        <v>163</v>
      </c>
      <c r="C273" s="164" t="s">
        <v>3010</v>
      </c>
      <c r="D273" s="144" t="s">
        <v>1137</v>
      </c>
      <c r="E273" s="150" t="s">
        <v>2593</v>
      </c>
      <c r="F273" s="144" t="s">
        <v>2482</v>
      </c>
      <c r="G273" s="166" t="s">
        <v>3011</v>
      </c>
      <c r="H273" s="151">
        <v>1</v>
      </c>
      <c r="I273" s="160">
        <v>85</v>
      </c>
      <c r="J273" s="159">
        <v>85</v>
      </c>
      <c r="K273" s="161">
        <v>85</v>
      </c>
      <c r="L273" s="159">
        <v>85</v>
      </c>
      <c r="M273" s="160">
        <v>85</v>
      </c>
      <c r="N273" s="145"/>
      <c r="O273" s="156" t="s">
        <v>166</v>
      </c>
      <c r="P273" s="144" t="s">
        <v>2468</v>
      </c>
      <c r="Q273" s="147"/>
      <c r="R273" s="146">
        <v>2100</v>
      </c>
      <c r="S273" s="157"/>
      <c r="T273" s="144" t="s">
        <v>25</v>
      </c>
      <c r="U273" s="150" t="s">
        <v>18</v>
      </c>
      <c r="V273" s="146">
        <v>1043</v>
      </c>
      <c r="W273" s="148"/>
      <c r="X273" s="149">
        <v>45689</v>
      </c>
      <c r="Y273" s="165" t="s">
        <v>2541</v>
      </c>
    </row>
    <row r="274" spans="1:25">
      <c r="A274" s="163" t="s">
        <v>565</v>
      </c>
      <c r="B274" s="144" t="s">
        <v>2463</v>
      </c>
      <c r="C274" s="164" t="s">
        <v>3012</v>
      </c>
      <c r="D274" s="144" t="s">
        <v>1137</v>
      </c>
      <c r="E274" s="150" t="s">
        <v>2636</v>
      </c>
      <c r="F274" s="144" t="s">
        <v>2482</v>
      </c>
      <c r="G274" s="166"/>
      <c r="H274" s="151">
        <v>4</v>
      </c>
      <c r="I274" s="160"/>
      <c r="J274" s="159">
        <v>187.5</v>
      </c>
      <c r="K274" s="161"/>
      <c r="L274" s="159">
        <v>750</v>
      </c>
      <c r="M274" s="160">
        <v>750</v>
      </c>
      <c r="N274" s="145">
        <v>15000</v>
      </c>
      <c r="O274" s="156" t="s">
        <v>135</v>
      </c>
      <c r="P274" s="144" t="s">
        <v>2468</v>
      </c>
      <c r="Q274" s="147"/>
      <c r="R274" s="146"/>
      <c r="S274" s="157"/>
      <c r="T274" s="144" t="s">
        <v>29</v>
      </c>
      <c r="U274" s="150" t="s">
        <v>18</v>
      </c>
      <c r="V274" s="146">
        <v>2224</v>
      </c>
      <c r="W274" s="148" t="s">
        <v>3013</v>
      </c>
      <c r="X274" s="149">
        <v>45689</v>
      </c>
      <c r="Y274" s="165" t="s">
        <v>2637</v>
      </c>
    </row>
    <row r="275" spans="1:25">
      <c r="A275" s="163" t="s">
        <v>423</v>
      </c>
      <c r="B275" s="144" t="s">
        <v>163</v>
      </c>
      <c r="C275" s="164" t="s">
        <v>3014</v>
      </c>
      <c r="D275" s="144" t="s">
        <v>3015</v>
      </c>
      <c r="E275" s="150" t="s">
        <v>2485</v>
      </c>
      <c r="F275" s="144" t="s">
        <v>2486</v>
      </c>
      <c r="G275" s="166" t="s">
        <v>3016</v>
      </c>
      <c r="H275" s="151">
        <v>35</v>
      </c>
      <c r="I275" s="160">
        <v>1.5</v>
      </c>
      <c r="J275" s="159">
        <v>1.5</v>
      </c>
      <c r="K275" s="161">
        <v>52.5</v>
      </c>
      <c r="L275" s="159">
        <v>52.5</v>
      </c>
      <c r="M275" s="160">
        <v>52.5</v>
      </c>
      <c r="N275" s="145"/>
      <c r="O275" s="156" t="s">
        <v>166</v>
      </c>
      <c r="P275" s="144" t="s">
        <v>2480</v>
      </c>
      <c r="Q275" s="147"/>
      <c r="R275" s="146">
        <v>2030</v>
      </c>
      <c r="S275" s="157"/>
      <c r="T275" s="144" t="s">
        <v>25</v>
      </c>
      <c r="U275" s="150" t="s">
        <v>17</v>
      </c>
      <c r="V275" s="146">
        <v>1044</v>
      </c>
      <c r="W275" s="148"/>
      <c r="X275" s="149">
        <v>45901</v>
      </c>
      <c r="Y275" s="165" t="s">
        <v>2660</v>
      </c>
    </row>
    <row r="276" spans="1:25">
      <c r="A276" s="163" t="s">
        <v>309</v>
      </c>
      <c r="B276" s="144" t="s">
        <v>2463</v>
      </c>
      <c r="C276" s="164" t="s">
        <v>3017</v>
      </c>
      <c r="D276" s="144" t="s">
        <v>680</v>
      </c>
      <c r="E276" s="150" t="s">
        <v>2491</v>
      </c>
      <c r="F276" s="144" t="s">
        <v>2477</v>
      </c>
      <c r="G276" s="166"/>
      <c r="H276" s="151">
        <v>30</v>
      </c>
      <c r="I276" s="160">
        <v>3.27</v>
      </c>
      <c r="J276" s="159">
        <v>3.27</v>
      </c>
      <c r="K276" s="161">
        <v>98.01</v>
      </c>
      <c r="L276" s="159">
        <v>98.01</v>
      </c>
      <c r="M276" s="160">
        <v>98.01</v>
      </c>
      <c r="N276" s="145"/>
      <c r="O276" s="156" t="s">
        <v>135</v>
      </c>
      <c r="P276" s="144" t="s">
        <v>2478</v>
      </c>
      <c r="Q276" s="147"/>
      <c r="R276" s="146"/>
      <c r="S276" s="157"/>
      <c r="T276" s="144" t="s">
        <v>29</v>
      </c>
      <c r="U276" s="150" t="s">
        <v>2479</v>
      </c>
      <c r="V276" s="146">
        <v>1856</v>
      </c>
      <c r="W276" s="148"/>
      <c r="X276" s="149">
        <v>45689</v>
      </c>
      <c r="Y276" s="165" t="s">
        <v>3018</v>
      </c>
    </row>
    <row r="277" spans="1:25">
      <c r="A277" s="163" t="s">
        <v>423</v>
      </c>
      <c r="B277" s="144" t="s">
        <v>163</v>
      </c>
      <c r="C277" s="164" t="s">
        <v>3019</v>
      </c>
      <c r="D277" s="144" t="s">
        <v>3020</v>
      </c>
      <c r="E277" s="150" t="s">
        <v>2485</v>
      </c>
      <c r="F277" s="144" t="s">
        <v>2486</v>
      </c>
      <c r="G277" s="166" t="s">
        <v>3021</v>
      </c>
      <c r="H277" s="151">
        <v>3</v>
      </c>
      <c r="I277" s="160">
        <v>2.0499999999999998</v>
      </c>
      <c r="J277" s="159">
        <v>2.0499999999999998</v>
      </c>
      <c r="K277" s="161">
        <v>6.15</v>
      </c>
      <c r="L277" s="159">
        <v>6.15</v>
      </c>
      <c r="M277" s="160">
        <v>6.15</v>
      </c>
      <c r="N277" s="145"/>
      <c r="O277" s="156" t="s">
        <v>166</v>
      </c>
      <c r="P277" s="144" t="s">
        <v>2480</v>
      </c>
      <c r="Q277" s="147">
        <v>42064</v>
      </c>
      <c r="R277" s="146">
        <v>2039</v>
      </c>
      <c r="S277" s="157"/>
      <c r="T277" s="144" t="s">
        <v>25</v>
      </c>
      <c r="U277" s="150" t="s">
        <v>17</v>
      </c>
      <c r="V277" s="146">
        <v>1261</v>
      </c>
      <c r="W277" s="148"/>
      <c r="X277" s="149">
        <v>45566</v>
      </c>
      <c r="Y277" s="165" t="s">
        <v>3022</v>
      </c>
    </row>
    <row r="278" spans="1:25">
      <c r="A278" s="163" t="s">
        <v>423</v>
      </c>
      <c r="B278" s="144" t="s">
        <v>163</v>
      </c>
      <c r="C278" s="164" t="s">
        <v>1732</v>
      </c>
      <c r="D278" s="144" t="s">
        <v>1733</v>
      </c>
      <c r="E278" s="150" t="s">
        <v>2485</v>
      </c>
      <c r="F278" s="144" t="s">
        <v>2486</v>
      </c>
      <c r="G278" s="166" t="s">
        <v>1734</v>
      </c>
      <c r="H278" s="151">
        <v>16</v>
      </c>
      <c r="I278" s="160">
        <v>3.6</v>
      </c>
      <c r="J278" s="159">
        <v>3.6</v>
      </c>
      <c r="K278" s="161">
        <v>57.6</v>
      </c>
      <c r="L278" s="159">
        <v>57.6</v>
      </c>
      <c r="M278" s="160">
        <v>57.6</v>
      </c>
      <c r="N278" s="145"/>
      <c r="O278" s="156" t="s">
        <v>166</v>
      </c>
      <c r="P278" s="144" t="s">
        <v>2478</v>
      </c>
      <c r="Q278" s="147">
        <v>44013</v>
      </c>
      <c r="R278" s="146">
        <v>2050</v>
      </c>
      <c r="S278" s="157"/>
      <c r="T278" s="144" t="s">
        <v>25</v>
      </c>
      <c r="U278" s="150" t="s">
        <v>17</v>
      </c>
      <c r="V278" s="146">
        <v>1263</v>
      </c>
      <c r="W278" s="148"/>
      <c r="X278" s="149">
        <v>45689</v>
      </c>
      <c r="Y278" s="165" t="s">
        <v>2500</v>
      </c>
    </row>
    <row r="279" spans="1:25">
      <c r="A279" s="163" t="s">
        <v>309</v>
      </c>
      <c r="B279" s="144" t="s">
        <v>163</v>
      </c>
      <c r="C279" s="164" t="s">
        <v>1844</v>
      </c>
      <c r="D279" s="144" t="s">
        <v>3023</v>
      </c>
      <c r="E279" s="150" t="s">
        <v>2491</v>
      </c>
      <c r="F279" s="144" t="s">
        <v>2477</v>
      </c>
      <c r="G279" s="166" t="s">
        <v>1846</v>
      </c>
      <c r="H279" s="151">
        <v>37</v>
      </c>
      <c r="I279" s="160"/>
      <c r="J279" s="159">
        <v>1.74</v>
      </c>
      <c r="K279" s="161"/>
      <c r="L279" s="159">
        <v>64.38</v>
      </c>
      <c r="M279" s="160">
        <v>64.38</v>
      </c>
      <c r="N279" s="145"/>
      <c r="O279" s="156" t="s">
        <v>166</v>
      </c>
      <c r="P279" s="144" t="s">
        <v>2478</v>
      </c>
      <c r="Q279" s="147">
        <v>43617</v>
      </c>
      <c r="R279" s="146">
        <v>2049</v>
      </c>
      <c r="S279" s="157"/>
      <c r="T279" s="144" t="s">
        <v>25</v>
      </c>
      <c r="U279" s="150" t="s">
        <v>2479</v>
      </c>
      <c r="V279" s="146">
        <v>1441</v>
      </c>
      <c r="W279" s="148"/>
      <c r="X279" s="149">
        <v>45689</v>
      </c>
      <c r="Y279" s="165" t="s">
        <v>2500</v>
      </c>
    </row>
    <row r="280" spans="1:25">
      <c r="A280" s="163" t="s">
        <v>309</v>
      </c>
      <c r="B280" s="144" t="s">
        <v>163</v>
      </c>
      <c r="C280" s="164" t="s">
        <v>1184</v>
      </c>
      <c r="D280" s="144" t="s">
        <v>722</v>
      </c>
      <c r="E280" s="150" t="s">
        <v>2466</v>
      </c>
      <c r="F280" s="144" t="s">
        <v>2467</v>
      </c>
      <c r="G280" s="166" t="s">
        <v>3024</v>
      </c>
      <c r="H280" s="151">
        <v>1</v>
      </c>
      <c r="I280" s="160"/>
      <c r="J280" s="159">
        <v>100</v>
      </c>
      <c r="K280" s="161"/>
      <c r="L280" s="159">
        <v>100</v>
      </c>
      <c r="M280" s="160">
        <v>100</v>
      </c>
      <c r="N280" s="145">
        <v>200</v>
      </c>
      <c r="O280" s="156" t="s">
        <v>164</v>
      </c>
      <c r="P280" s="144" t="s">
        <v>2468</v>
      </c>
      <c r="Q280" s="147">
        <v>45474</v>
      </c>
      <c r="R280" s="146">
        <v>2038</v>
      </c>
      <c r="S280" s="157"/>
      <c r="T280" s="210" t="s">
        <v>25</v>
      </c>
      <c r="U280" s="150" t="s">
        <v>20</v>
      </c>
      <c r="V280" s="146">
        <v>2031</v>
      </c>
      <c r="W280" s="148" t="s">
        <v>3025</v>
      </c>
      <c r="X280" s="149">
        <v>45901</v>
      </c>
      <c r="Y280" s="165" t="s">
        <v>2671</v>
      </c>
    </row>
    <row r="281" spans="1:25">
      <c r="A281" s="163" t="s">
        <v>309</v>
      </c>
      <c r="B281" s="144" t="s">
        <v>2463</v>
      </c>
      <c r="C281" s="164" t="s">
        <v>3026</v>
      </c>
      <c r="D281" s="144" t="s">
        <v>3027</v>
      </c>
      <c r="E281" s="150" t="s">
        <v>2491</v>
      </c>
      <c r="F281" s="144" t="s">
        <v>2477</v>
      </c>
      <c r="G281" s="166"/>
      <c r="H281" s="151">
        <v>69</v>
      </c>
      <c r="I281" s="160">
        <v>1.64</v>
      </c>
      <c r="J281" s="159">
        <v>1.64</v>
      </c>
      <c r="K281" s="161">
        <v>113.16</v>
      </c>
      <c r="L281" s="159">
        <v>113.16</v>
      </c>
      <c r="M281" s="160">
        <v>113.16</v>
      </c>
      <c r="N281" s="145">
        <v>0</v>
      </c>
      <c r="O281" s="156" t="s">
        <v>135</v>
      </c>
      <c r="P281" s="144" t="s">
        <v>2478</v>
      </c>
      <c r="Q281" s="147"/>
      <c r="R281" s="146"/>
      <c r="S281" s="157"/>
      <c r="T281" s="144" t="s">
        <v>29</v>
      </c>
      <c r="U281" s="150" t="s">
        <v>2479</v>
      </c>
      <c r="V281" s="146">
        <v>1418</v>
      </c>
      <c r="W281" s="148"/>
      <c r="X281" s="149">
        <v>45901</v>
      </c>
      <c r="Y281" s="165" t="s">
        <v>3028</v>
      </c>
    </row>
    <row r="282" spans="1:25">
      <c r="A282" s="163" t="s">
        <v>7</v>
      </c>
      <c r="B282" s="144" t="s">
        <v>2463</v>
      </c>
      <c r="C282" s="164" t="s">
        <v>3029</v>
      </c>
      <c r="D282" s="144" t="s">
        <v>3030</v>
      </c>
      <c r="E282" s="150" t="s">
        <v>2639</v>
      </c>
      <c r="F282" s="144" t="s">
        <v>2467</v>
      </c>
      <c r="G282" s="166"/>
      <c r="H282" s="151">
        <v>1</v>
      </c>
      <c r="I282" s="160">
        <v>8</v>
      </c>
      <c r="J282" s="159">
        <v>8</v>
      </c>
      <c r="K282" s="161">
        <v>8</v>
      </c>
      <c r="L282" s="159">
        <v>8</v>
      </c>
      <c r="M282" s="160">
        <v>8</v>
      </c>
      <c r="N282" s="145"/>
      <c r="O282" s="156" t="s">
        <v>135</v>
      </c>
      <c r="P282" s="144" t="s">
        <v>2480</v>
      </c>
      <c r="Q282" s="147"/>
      <c r="R282" s="146"/>
      <c r="S282" s="157"/>
      <c r="T282" s="144" t="s">
        <v>29</v>
      </c>
      <c r="U282" s="150" t="s">
        <v>15</v>
      </c>
      <c r="V282" s="146">
        <v>1479</v>
      </c>
      <c r="W282" s="148"/>
      <c r="X282" s="149">
        <v>45566</v>
      </c>
      <c r="Y282" s="165" t="s">
        <v>3031</v>
      </c>
    </row>
    <row r="283" spans="1:25">
      <c r="A283" s="163" t="s">
        <v>380</v>
      </c>
      <c r="B283" s="144" t="s">
        <v>163</v>
      </c>
      <c r="C283" s="164" t="s">
        <v>399</v>
      </c>
      <c r="D283" s="144" t="s">
        <v>400</v>
      </c>
      <c r="E283" s="150" t="s">
        <v>2466</v>
      </c>
      <c r="F283" s="144" t="s">
        <v>2467</v>
      </c>
      <c r="G283" s="166" t="s">
        <v>401</v>
      </c>
      <c r="H283" s="151">
        <v>1</v>
      </c>
      <c r="I283" s="160"/>
      <c r="J283" s="159">
        <v>2.16</v>
      </c>
      <c r="K283" s="161"/>
      <c r="L283" s="159">
        <v>2.16</v>
      </c>
      <c r="M283" s="160">
        <v>2.16</v>
      </c>
      <c r="N283" s="145">
        <v>4.32</v>
      </c>
      <c r="O283" s="156" t="s">
        <v>166</v>
      </c>
      <c r="P283" s="144" t="s">
        <v>2468</v>
      </c>
      <c r="Q283" s="147">
        <v>44927</v>
      </c>
      <c r="R283" s="146">
        <v>2041</v>
      </c>
      <c r="S283" s="157"/>
      <c r="T283" s="210" t="s">
        <v>25</v>
      </c>
      <c r="U283" s="150" t="s">
        <v>20</v>
      </c>
      <c r="V283" s="146">
        <v>1845</v>
      </c>
      <c r="W283" s="148"/>
      <c r="X283" s="149">
        <v>45901</v>
      </c>
      <c r="Y283" s="165" t="s">
        <v>3032</v>
      </c>
    </row>
    <row r="284" spans="1:25">
      <c r="A284" s="163" t="s">
        <v>380</v>
      </c>
      <c r="B284" s="144" t="s">
        <v>163</v>
      </c>
      <c r="C284" s="164" t="s">
        <v>399</v>
      </c>
      <c r="D284" s="144" t="s">
        <v>400</v>
      </c>
      <c r="E284" s="150" t="s">
        <v>2491</v>
      </c>
      <c r="F284" s="144" t="s">
        <v>2477</v>
      </c>
      <c r="G284" s="166" t="s">
        <v>402</v>
      </c>
      <c r="H284" s="151">
        <v>1</v>
      </c>
      <c r="I284" s="160"/>
      <c r="J284" s="159">
        <v>3</v>
      </c>
      <c r="K284" s="161"/>
      <c r="L284" s="159">
        <v>3</v>
      </c>
      <c r="M284" s="160">
        <v>3</v>
      </c>
      <c r="N284" s="145"/>
      <c r="O284" s="156" t="s">
        <v>166</v>
      </c>
      <c r="P284" s="144" t="s">
        <v>2480</v>
      </c>
      <c r="Q284" s="147">
        <v>44835</v>
      </c>
      <c r="R284" s="146">
        <v>2041</v>
      </c>
      <c r="S284" s="157"/>
      <c r="T284" s="210" t="s">
        <v>25</v>
      </c>
      <c r="U284" s="150" t="s">
        <v>2479</v>
      </c>
      <c r="V284" s="146">
        <v>1845</v>
      </c>
      <c r="W284" s="148"/>
      <c r="X284" s="149">
        <v>45901</v>
      </c>
      <c r="Y284" s="165" t="s">
        <v>3032</v>
      </c>
    </row>
    <row r="285" spans="1:25">
      <c r="A285" s="163" t="s">
        <v>565</v>
      </c>
      <c r="B285" s="144" t="s">
        <v>2463</v>
      </c>
      <c r="C285" s="164" t="s">
        <v>3033</v>
      </c>
      <c r="D285" s="144" t="s">
        <v>3034</v>
      </c>
      <c r="E285" s="150" t="s">
        <v>2476</v>
      </c>
      <c r="F285" s="144" t="s">
        <v>2477</v>
      </c>
      <c r="G285" s="166"/>
      <c r="H285" s="151">
        <v>84</v>
      </c>
      <c r="I285" s="160">
        <v>3.43</v>
      </c>
      <c r="J285" s="159">
        <v>3.43</v>
      </c>
      <c r="K285" s="161">
        <v>288.12</v>
      </c>
      <c r="L285" s="159">
        <v>288.12</v>
      </c>
      <c r="M285" s="160">
        <v>288.12</v>
      </c>
      <c r="N285" s="145"/>
      <c r="O285" s="156" t="s">
        <v>135</v>
      </c>
      <c r="P285" s="144" t="s">
        <v>2478</v>
      </c>
      <c r="Q285" s="147"/>
      <c r="R285" s="146"/>
      <c r="S285" s="157"/>
      <c r="T285" s="144" t="s">
        <v>29</v>
      </c>
      <c r="U285" s="150" t="s">
        <v>2479</v>
      </c>
      <c r="V285" s="146">
        <v>2540</v>
      </c>
      <c r="W285" s="148" t="s">
        <v>3035</v>
      </c>
      <c r="X285" s="149">
        <v>45901</v>
      </c>
      <c r="Y285" s="165" t="s">
        <v>2722</v>
      </c>
    </row>
    <row r="286" spans="1:25">
      <c r="A286" s="163" t="s">
        <v>309</v>
      </c>
      <c r="B286" s="144" t="s">
        <v>163</v>
      </c>
      <c r="C286" s="164" t="s">
        <v>1866</v>
      </c>
      <c r="D286" s="144" t="s">
        <v>1867</v>
      </c>
      <c r="E286" s="150" t="s">
        <v>2491</v>
      </c>
      <c r="F286" s="144" t="s">
        <v>2477</v>
      </c>
      <c r="G286" s="166" t="s">
        <v>3036</v>
      </c>
      <c r="H286" s="151">
        <v>69</v>
      </c>
      <c r="I286" s="160">
        <v>1.45</v>
      </c>
      <c r="J286" s="159">
        <v>1.6</v>
      </c>
      <c r="K286" s="161">
        <v>99.98</v>
      </c>
      <c r="L286" s="159">
        <v>110.4</v>
      </c>
      <c r="M286" s="160">
        <v>110.4</v>
      </c>
      <c r="N286" s="145"/>
      <c r="O286" s="156" t="s">
        <v>166</v>
      </c>
      <c r="P286" s="144" t="s">
        <v>2478</v>
      </c>
      <c r="Q286" s="147"/>
      <c r="R286" s="146">
        <v>2047</v>
      </c>
      <c r="S286" s="157"/>
      <c r="T286" s="144" t="s">
        <v>25</v>
      </c>
      <c r="U286" s="150" t="s">
        <v>2479</v>
      </c>
      <c r="V286" s="146">
        <v>1383</v>
      </c>
      <c r="W286" s="148"/>
      <c r="X286" s="149">
        <v>45689</v>
      </c>
      <c r="Y286" s="165" t="s">
        <v>3037</v>
      </c>
    </row>
    <row r="287" spans="1:25">
      <c r="A287" s="163" t="s">
        <v>309</v>
      </c>
      <c r="B287" s="144" t="s">
        <v>2463</v>
      </c>
      <c r="C287" s="164" t="s">
        <v>3038</v>
      </c>
      <c r="D287" s="144" t="s">
        <v>3039</v>
      </c>
      <c r="E287" s="150" t="s">
        <v>2466</v>
      </c>
      <c r="F287" s="144" t="s">
        <v>2467</v>
      </c>
      <c r="G287" s="166"/>
      <c r="H287" s="151">
        <v>1</v>
      </c>
      <c r="I287" s="160"/>
      <c r="J287" s="159">
        <v>0</v>
      </c>
      <c r="K287" s="161"/>
      <c r="L287" s="159">
        <v>0</v>
      </c>
      <c r="M287" s="160" t="s">
        <v>3040</v>
      </c>
      <c r="N287" s="145">
        <v>0</v>
      </c>
      <c r="O287" s="156" t="s">
        <v>135</v>
      </c>
      <c r="P287" s="144" t="s">
        <v>2468</v>
      </c>
      <c r="Q287" s="147"/>
      <c r="R287" s="146"/>
      <c r="S287" s="157"/>
      <c r="T287" s="144" t="s">
        <v>29</v>
      </c>
      <c r="U287" s="150" t="s">
        <v>20</v>
      </c>
      <c r="V287" s="146">
        <v>2753</v>
      </c>
      <c r="W287" s="148" t="s">
        <v>3041</v>
      </c>
      <c r="X287" s="149">
        <v>45901</v>
      </c>
      <c r="Y287" s="165" t="s">
        <v>3042</v>
      </c>
    </row>
    <row r="288" spans="1:25">
      <c r="A288" s="163" t="s">
        <v>309</v>
      </c>
      <c r="B288" s="144" t="s">
        <v>163</v>
      </c>
      <c r="C288" s="164" t="s">
        <v>719</v>
      </c>
      <c r="D288" s="144" t="s">
        <v>690</v>
      </c>
      <c r="E288" s="150" t="s">
        <v>2485</v>
      </c>
      <c r="F288" s="144" t="s">
        <v>2486</v>
      </c>
      <c r="G288" s="166" t="s">
        <v>1514</v>
      </c>
      <c r="H288" s="151">
        <v>77</v>
      </c>
      <c r="I288" s="160">
        <v>0</v>
      </c>
      <c r="J288" s="159">
        <v>4.5</v>
      </c>
      <c r="K288" s="161">
        <v>0</v>
      </c>
      <c r="L288" s="159">
        <v>346.5</v>
      </c>
      <c r="M288" s="160">
        <v>346.5</v>
      </c>
      <c r="N288" s="145"/>
      <c r="O288" s="156" t="s">
        <v>164</v>
      </c>
      <c r="P288" s="144" t="s">
        <v>2478</v>
      </c>
      <c r="Q288" s="147">
        <v>45901</v>
      </c>
      <c r="R288" s="146">
        <v>2049</v>
      </c>
      <c r="S288" s="157"/>
      <c r="T288" s="210" t="s">
        <v>25</v>
      </c>
      <c r="U288" s="150" t="s">
        <v>17</v>
      </c>
      <c r="V288" s="146">
        <v>1988</v>
      </c>
      <c r="W288" s="148"/>
      <c r="X288" s="149">
        <v>45901</v>
      </c>
      <c r="Y288" s="165" t="s">
        <v>3006</v>
      </c>
    </row>
    <row r="289" spans="1:25">
      <c r="A289" s="163" t="s">
        <v>309</v>
      </c>
      <c r="B289" s="144" t="s">
        <v>163</v>
      </c>
      <c r="C289" s="164" t="s">
        <v>719</v>
      </c>
      <c r="D289" s="144" t="s">
        <v>690</v>
      </c>
      <c r="E289" s="150" t="s">
        <v>2485</v>
      </c>
      <c r="F289" s="144" t="s">
        <v>2486</v>
      </c>
      <c r="G289" s="166" t="s">
        <v>1515</v>
      </c>
      <c r="H289" s="151">
        <v>23</v>
      </c>
      <c r="I289" s="160">
        <v>0</v>
      </c>
      <c r="J289" s="159">
        <v>4.5</v>
      </c>
      <c r="K289" s="161">
        <v>0</v>
      </c>
      <c r="L289" s="159">
        <v>103.5</v>
      </c>
      <c r="M289" s="160">
        <v>103.5</v>
      </c>
      <c r="N289" s="145"/>
      <c r="O289" s="156" t="s">
        <v>164</v>
      </c>
      <c r="P289" s="144" t="s">
        <v>2478</v>
      </c>
      <c r="Q289" s="147">
        <v>45901</v>
      </c>
      <c r="R289" s="146">
        <v>2049</v>
      </c>
      <c r="S289" s="157"/>
      <c r="T289" s="210" t="s">
        <v>25</v>
      </c>
      <c r="U289" s="150" t="s">
        <v>17</v>
      </c>
      <c r="V289" s="146">
        <v>1988</v>
      </c>
      <c r="W289" s="148"/>
      <c r="X289" s="149">
        <v>45901</v>
      </c>
      <c r="Y289" s="165" t="s">
        <v>3006</v>
      </c>
    </row>
    <row r="290" spans="1:25">
      <c r="A290" s="163" t="s">
        <v>309</v>
      </c>
      <c r="B290" s="144" t="s">
        <v>2463</v>
      </c>
      <c r="C290" s="164" t="s">
        <v>3043</v>
      </c>
      <c r="D290" s="144" t="s">
        <v>690</v>
      </c>
      <c r="E290" s="150" t="s">
        <v>2485</v>
      </c>
      <c r="F290" s="144" t="s">
        <v>2486</v>
      </c>
      <c r="G290" s="166"/>
      <c r="H290" s="151">
        <v>87</v>
      </c>
      <c r="I290" s="160">
        <v>0</v>
      </c>
      <c r="J290" s="159">
        <v>8</v>
      </c>
      <c r="K290" s="161">
        <v>0</v>
      </c>
      <c r="L290" s="159">
        <v>696</v>
      </c>
      <c r="M290" s="160">
        <v>696</v>
      </c>
      <c r="N290" s="145"/>
      <c r="O290" s="156" t="s">
        <v>135</v>
      </c>
      <c r="P290" s="144" t="s">
        <v>2478</v>
      </c>
      <c r="Q290" s="147"/>
      <c r="R290" s="146"/>
      <c r="S290" s="157"/>
      <c r="T290" s="144" t="s">
        <v>29</v>
      </c>
      <c r="U290" s="150" t="s">
        <v>17</v>
      </c>
      <c r="V290" s="146">
        <v>2043</v>
      </c>
      <c r="W290" s="148" t="s">
        <v>3044</v>
      </c>
      <c r="X290" s="149">
        <v>45689</v>
      </c>
      <c r="Y290" s="165" t="s">
        <v>2500</v>
      </c>
    </row>
    <row r="291" spans="1:25">
      <c r="A291" s="163" t="s">
        <v>423</v>
      </c>
      <c r="B291" s="144" t="s">
        <v>163</v>
      </c>
      <c r="C291" s="164" t="s">
        <v>3045</v>
      </c>
      <c r="D291" s="144" t="s">
        <v>1000</v>
      </c>
      <c r="E291" s="150" t="s">
        <v>2506</v>
      </c>
      <c r="F291" s="144" t="s">
        <v>3046</v>
      </c>
      <c r="G291" s="166"/>
      <c r="H291" s="151">
        <v>12</v>
      </c>
      <c r="I291" s="160"/>
      <c r="J291" s="159">
        <v>1</v>
      </c>
      <c r="K291" s="161"/>
      <c r="L291" s="159">
        <v>12</v>
      </c>
      <c r="M291" s="160">
        <v>12</v>
      </c>
      <c r="N291" s="145"/>
      <c r="O291" s="156" t="s">
        <v>1650</v>
      </c>
      <c r="P291" s="144" t="s">
        <v>2480</v>
      </c>
      <c r="Q291" s="147"/>
      <c r="R291" s="146">
        <v>2025</v>
      </c>
      <c r="S291" s="157"/>
      <c r="T291" s="144" t="s">
        <v>30</v>
      </c>
      <c r="U291" s="150" t="s">
        <v>19</v>
      </c>
      <c r="V291" s="146">
        <v>1046</v>
      </c>
      <c r="W291" s="148"/>
      <c r="X291" s="149">
        <v>45566</v>
      </c>
      <c r="Y291" s="165" t="s">
        <v>2836</v>
      </c>
    </row>
    <row r="292" spans="1:25">
      <c r="A292" s="163" t="s">
        <v>380</v>
      </c>
      <c r="B292" s="144" t="s">
        <v>2463</v>
      </c>
      <c r="C292" s="164" t="s">
        <v>384</v>
      </c>
      <c r="D292" s="144" t="s">
        <v>385</v>
      </c>
      <c r="E292" s="150" t="s">
        <v>2466</v>
      </c>
      <c r="F292" s="144" t="s">
        <v>2467</v>
      </c>
      <c r="G292" s="166"/>
      <c r="H292" s="151">
        <v>1</v>
      </c>
      <c r="I292" s="160"/>
      <c r="J292" s="159">
        <v>60</v>
      </c>
      <c r="K292" s="161"/>
      <c r="L292" s="159">
        <v>60</v>
      </c>
      <c r="M292" s="160">
        <v>60</v>
      </c>
      <c r="N292" s="145">
        <v>120</v>
      </c>
      <c r="O292" s="156" t="s">
        <v>27</v>
      </c>
      <c r="P292" s="144" t="s">
        <v>2468</v>
      </c>
      <c r="Q292" s="147">
        <v>46143</v>
      </c>
      <c r="R292" s="146">
        <v>2046</v>
      </c>
      <c r="S292" s="157"/>
      <c r="T292" s="144" t="s">
        <v>27</v>
      </c>
      <c r="U292" s="150" t="s">
        <v>20</v>
      </c>
      <c r="V292" s="146">
        <v>1993</v>
      </c>
      <c r="W292" s="148" t="s">
        <v>3047</v>
      </c>
      <c r="X292" s="149">
        <v>45901</v>
      </c>
      <c r="Y292" s="165" t="s">
        <v>2490</v>
      </c>
    </row>
    <row r="293" spans="1:25">
      <c r="A293" s="163" t="s">
        <v>380</v>
      </c>
      <c r="B293" s="144" t="s">
        <v>163</v>
      </c>
      <c r="C293" s="164" t="s">
        <v>3048</v>
      </c>
      <c r="D293" s="144" t="s">
        <v>385</v>
      </c>
      <c r="E293" s="150" t="s">
        <v>2485</v>
      </c>
      <c r="F293" s="144" t="s">
        <v>2486</v>
      </c>
      <c r="G293" s="166" t="s">
        <v>3049</v>
      </c>
      <c r="H293" s="151">
        <v>27</v>
      </c>
      <c r="I293" s="160"/>
      <c r="J293" s="159">
        <v>2.1</v>
      </c>
      <c r="K293" s="161"/>
      <c r="L293" s="159">
        <v>56.7</v>
      </c>
      <c r="M293" s="160">
        <v>56.7</v>
      </c>
      <c r="N293" s="145"/>
      <c r="O293" s="156" t="s">
        <v>166</v>
      </c>
      <c r="P293" s="144" t="s">
        <v>2478</v>
      </c>
      <c r="Q293" s="147"/>
      <c r="R293" s="146">
        <v>2039</v>
      </c>
      <c r="S293" s="157"/>
      <c r="T293" s="144" t="s">
        <v>25</v>
      </c>
      <c r="U293" s="150" t="s">
        <v>17</v>
      </c>
      <c r="V293" s="146">
        <v>1047</v>
      </c>
      <c r="W293" s="148"/>
      <c r="X293" s="149">
        <v>45778</v>
      </c>
      <c r="Y293" s="165" t="s">
        <v>3050</v>
      </c>
    </row>
    <row r="294" spans="1:25">
      <c r="A294" s="163" t="s">
        <v>309</v>
      </c>
      <c r="B294" s="144" t="s">
        <v>163</v>
      </c>
      <c r="C294" s="164" t="s">
        <v>1847</v>
      </c>
      <c r="D294" s="144" t="s">
        <v>1848</v>
      </c>
      <c r="E294" s="150" t="s">
        <v>2491</v>
      </c>
      <c r="F294" s="144" t="s">
        <v>2477</v>
      </c>
      <c r="G294" s="166" t="s">
        <v>1849</v>
      </c>
      <c r="H294" s="151">
        <v>37</v>
      </c>
      <c r="I294" s="160">
        <v>2.0499999999999998</v>
      </c>
      <c r="J294" s="159">
        <v>2.5</v>
      </c>
      <c r="K294" s="161">
        <v>75.849999999999994</v>
      </c>
      <c r="L294" s="159">
        <v>92.5</v>
      </c>
      <c r="M294" s="160">
        <v>92.5</v>
      </c>
      <c r="N294" s="145"/>
      <c r="O294" s="156" t="s">
        <v>166</v>
      </c>
      <c r="P294" s="144" t="s">
        <v>2478</v>
      </c>
      <c r="Q294" s="147">
        <v>43525</v>
      </c>
      <c r="R294" s="146">
        <v>2049</v>
      </c>
      <c r="S294" s="157"/>
      <c r="T294" s="144" t="s">
        <v>25</v>
      </c>
      <c r="U294" s="150" t="s">
        <v>2479</v>
      </c>
      <c r="V294" s="146">
        <v>1562</v>
      </c>
      <c r="W294" s="148"/>
      <c r="X294" s="149">
        <v>45689</v>
      </c>
      <c r="Y294" s="165" t="s">
        <v>3051</v>
      </c>
    </row>
    <row r="295" spans="1:25">
      <c r="A295" s="163" t="s">
        <v>423</v>
      </c>
      <c r="B295" s="144" t="s">
        <v>163</v>
      </c>
      <c r="C295" s="164" t="s">
        <v>3052</v>
      </c>
      <c r="D295" s="144" t="s">
        <v>1511</v>
      </c>
      <c r="E295" s="150" t="s">
        <v>2593</v>
      </c>
      <c r="F295" s="144" t="s">
        <v>2482</v>
      </c>
      <c r="G295" s="166" t="s">
        <v>3053</v>
      </c>
      <c r="H295" s="151">
        <v>2</v>
      </c>
      <c r="I295" s="160">
        <v>0</v>
      </c>
      <c r="J295" s="159">
        <v>14.5</v>
      </c>
      <c r="K295" s="161">
        <v>0</v>
      </c>
      <c r="L295" s="159">
        <v>29</v>
      </c>
      <c r="M295" s="160">
        <v>29</v>
      </c>
      <c r="N295" s="145"/>
      <c r="O295" s="156" t="s">
        <v>166</v>
      </c>
      <c r="P295" s="144" t="s">
        <v>2480</v>
      </c>
      <c r="Q295" s="147"/>
      <c r="R295" s="146">
        <v>2057</v>
      </c>
      <c r="S295" s="157"/>
      <c r="T295" s="144" t="s">
        <v>25</v>
      </c>
      <c r="U295" s="150" t="s">
        <v>18</v>
      </c>
      <c r="V295" s="146">
        <v>1048</v>
      </c>
      <c r="W295" s="148"/>
      <c r="X295" s="149">
        <v>45566</v>
      </c>
      <c r="Y295" s="165" t="s">
        <v>2558</v>
      </c>
    </row>
    <row r="296" spans="1:25">
      <c r="A296" s="163" t="s">
        <v>565</v>
      </c>
      <c r="B296" s="144" t="s">
        <v>163</v>
      </c>
      <c r="C296" s="164" t="s">
        <v>3054</v>
      </c>
      <c r="D296" s="144" t="s">
        <v>1137</v>
      </c>
      <c r="E296" s="150" t="s">
        <v>2593</v>
      </c>
      <c r="F296" s="144" t="s">
        <v>2482</v>
      </c>
      <c r="G296" s="166" t="s">
        <v>3055</v>
      </c>
      <c r="H296" s="151">
        <v>1</v>
      </c>
      <c r="I296" s="160">
        <v>19</v>
      </c>
      <c r="J296" s="159">
        <v>19</v>
      </c>
      <c r="K296" s="161">
        <v>19</v>
      </c>
      <c r="L296" s="159">
        <v>19</v>
      </c>
      <c r="M296" s="160">
        <v>19</v>
      </c>
      <c r="N296" s="145"/>
      <c r="O296" s="156" t="s">
        <v>166</v>
      </c>
      <c r="P296" s="144" t="s">
        <v>2480</v>
      </c>
      <c r="Q296" s="147"/>
      <c r="R296" s="146">
        <v>2100</v>
      </c>
      <c r="S296" s="157"/>
      <c r="T296" s="144" t="s">
        <v>25</v>
      </c>
      <c r="U296" s="150" t="s">
        <v>18</v>
      </c>
      <c r="V296" s="146">
        <v>1050</v>
      </c>
      <c r="W296" s="148"/>
      <c r="X296" s="149">
        <v>45566</v>
      </c>
      <c r="Y296" s="165" t="s">
        <v>2913</v>
      </c>
    </row>
    <row r="297" spans="1:25">
      <c r="A297" s="163" t="s">
        <v>7</v>
      </c>
      <c r="B297" s="144" t="s">
        <v>2463</v>
      </c>
      <c r="C297" s="164" t="s">
        <v>3056</v>
      </c>
      <c r="D297" s="144" t="s">
        <v>1421</v>
      </c>
      <c r="E297" s="150" t="s">
        <v>2466</v>
      </c>
      <c r="F297" s="144" t="s">
        <v>2467</v>
      </c>
      <c r="G297" s="166"/>
      <c r="H297" s="151">
        <v>217</v>
      </c>
      <c r="I297" s="160">
        <v>2.4</v>
      </c>
      <c r="J297" s="159">
        <v>2.4</v>
      </c>
      <c r="K297" s="161">
        <v>520.79999999999995</v>
      </c>
      <c r="L297" s="159">
        <v>520.79999999999995</v>
      </c>
      <c r="M297" s="160">
        <v>520.79999999999995</v>
      </c>
      <c r="N297" s="145">
        <v>800</v>
      </c>
      <c r="O297" s="156" t="s">
        <v>135</v>
      </c>
      <c r="P297" s="144" t="s">
        <v>2468</v>
      </c>
      <c r="Q297" s="147"/>
      <c r="R297" s="146"/>
      <c r="S297" s="157"/>
      <c r="T297" s="144" t="s">
        <v>29</v>
      </c>
      <c r="U297" s="150" t="s">
        <v>20</v>
      </c>
      <c r="V297" s="146">
        <v>2795</v>
      </c>
      <c r="W297" s="148"/>
      <c r="X297" s="149">
        <v>45689</v>
      </c>
      <c r="Y297" s="165" t="s">
        <v>2474</v>
      </c>
    </row>
    <row r="298" spans="1:25">
      <c r="A298" s="163" t="s">
        <v>7</v>
      </c>
      <c r="B298" s="144" t="s">
        <v>2463</v>
      </c>
      <c r="C298" s="164" t="s">
        <v>3057</v>
      </c>
      <c r="D298" s="144" t="s">
        <v>3058</v>
      </c>
      <c r="E298" s="150" t="s">
        <v>2476</v>
      </c>
      <c r="F298" s="144" t="s">
        <v>2477</v>
      </c>
      <c r="G298" s="166"/>
      <c r="H298" s="151">
        <v>186</v>
      </c>
      <c r="I298" s="160">
        <v>4.4000000000000004</v>
      </c>
      <c r="J298" s="159">
        <v>4.4000000000000004</v>
      </c>
      <c r="K298" s="161">
        <v>818.4</v>
      </c>
      <c r="L298" s="159">
        <v>818.4</v>
      </c>
      <c r="M298" s="160">
        <v>818.4</v>
      </c>
      <c r="N298" s="145"/>
      <c r="O298" s="156" t="s">
        <v>135</v>
      </c>
      <c r="P298" s="144" t="s">
        <v>2478</v>
      </c>
      <c r="Q298" s="147"/>
      <c r="R298" s="146"/>
      <c r="S298" s="157"/>
      <c r="T298" s="144" t="s">
        <v>29</v>
      </c>
      <c r="U298" s="150" t="s">
        <v>2479</v>
      </c>
      <c r="V298" s="146">
        <v>2809</v>
      </c>
      <c r="W298" s="148"/>
      <c r="X298" s="149"/>
      <c r="Y298" s="165" t="s">
        <v>2474</v>
      </c>
    </row>
    <row r="299" spans="1:25">
      <c r="A299" s="163" t="s">
        <v>423</v>
      </c>
      <c r="B299" s="144" t="s">
        <v>2463</v>
      </c>
      <c r="C299" s="164" t="s">
        <v>3059</v>
      </c>
      <c r="D299" s="144" t="s">
        <v>3060</v>
      </c>
      <c r="E299" s="150" t="s">
        <v>2466</v>
      </c>
      <c r="F299" s="144" t="s">
        <v>2467</v>
      </c>
      <c r="G299" s="166"/>
      <c r="H299" s="151">
        <v>1</v>
      </c>
      <c r="I299" s="160">
        <v>60</v>
      </c>
      <c r="J299" s="159">
        <v>60</v>
      </c>
      <c r="K299" s="161">
        <v>60</v>
      </c>
      <c r="L299" s="159">
        <v>60</v>
      </c>
      <c r="M299" s="160">
        <v>60</v>
      </c>
      <c r="N299" s="145">
        <v>240</v>
      </c>
      <c r="O299" s="156" t="s">
        <v>135</v>
      </c>
      <c r="P299" s="144" t="s">
        <v>2468</v>
      </c>
      <c r="Q299" s="147">
        <v>45992</v>
      </c>
      <c r="R299" s="146"/>
      <c r="S299" s="157"/>
      <c r="T299" s="144" t="s">
        <v>29</v>
      </c>
      <c r="U299" s="150" t="s">
        <v>20</v>
      </c>
      <c r="V299" s="146">
        <v>2881</v>
      </c>
      <c r="W299" s="148"/>
      <c r="X299" s="149">
        <v>45689</v>
      </c>
      <c r="Y299" s="165" t="s">
        <v>2574</v>
      </c>
    </row>
    <row r="300" spans="1:25">
      <c r="A300" s="163" t="s">
        <v>423</v>
      </c>
      <c r="B300" s="144" t="s">
        <v>163</v>
      </c>
      <c r="C300" s="164" t="s">
        <v>3061</v>
      </c>
      <c r="D300" s="144" t="s">
        <v>3062</v>
      </c>
      <c r="E300" s="150" t="s">
        <v>2485</v>
      </c>
      <c r="F300" s="144" t="s">
        <v>2486</v>
      </c>
      <c r="G300" s="166" t="s">
        <v>3063</v>
      </c>
      <c r="H300" s="151">
        <v>14</v>
      </c>
      <c r="I300" s="160">
        <v>1.3</v>
      </c>
      <c r="J300" s="159">
        <v>1.3</v>
      </c>
      <c r="K300" s="161">
        <v>18.2</v>
      </c>
      <c r="L300" s="159">
        <v>18.2</v>
      </c>
      <c r="M300" s="160">
        <v>18.2</v>
      </c>
      <c r="N300" s="145"/>
      <c r="O300" s="156" t="s">
        <v>166</v>
      </c>
      <c r="P300" s="144" t="s">
        <v>2480</v>
      </c>
      <c r="Q300" s="147"/>
      <c r="R300" s="146">
        <v>2026</v>
      </c>
      <c r="S300" s="157"/>
      <c r="T300" s="144" t="s">
        <v>25</v>
      </c>
      <c r="U300" s="150" t="s">
        <v>17</v>
      </c>
      <c r="V300" s="146">
        <v>1051</v>
      </c>
      <c r="W300" s="148"/>
      <c r="X300" s="149">
        <v>45566</v>
      </c>
      <c r="Y300" s="165" t="s">
        <v>2730</v>
      </c>
    </row>
    <row r="301" spans="1:25">
      <c r="A301" s="163" t="s">
        <v>423</v>
      </c>
      <c r="B301" s="144" t="s">
        <v>163</v>
      </c>
      <c r="C301" s="164" t="s">
        <v>455</v>
      </c>
      <c r="D301" s="144" t="s">
        <v>456</v>
      </c>
      <c r="E301" s="150" t="s">
        <v>2491</v>
      </c>
      <c r="F301" s="144" t="s">
        <v>2477</v>
      </c>
      <c r="G301" s="166" t="s">
        <v>457</v>
      </c>
      <c r="H301" s="151">
        <v>19</v>
      </c>
      <c r="I301" s="160">
        <v>1.43</v>
      </c>
      <c r="J301" s="159">
        <v>1.64</v>
      </c>
      <c r="K301" s="161">
        <v>27.17</v>
      </c>
      <c r="L301" s="159">
        <v>31.16</v>
      </c>
      <c r="M301" s="160">
        <v>31.16</v>
      </c>
      <c r="N301" s="145"/>
      <c r="O301" s="156" t="s">
        <v>166</v>
      </c>
      <c r="P301" s="144" t="s">
        <v>2478</v>
      </c>
      <c r="Q301" s="147"/>
      <c r="R301" s="146">
        <v>2045</v>
      </c>
      <c r="S301" s="157"/>
      <c r="T301" s="144" t="s">
        <v>25</v>
      </c>
      <c r="U301" s="150" t="s">
        <v>2479</v>
      </c>
      <c r="V301" s="146">
        <v>1691</v>
      </c>
      <c r="W301" s="148"/>
      <c r="X301" s="149">
        <v>45901</v>
      </c>
      <c r="Y301" s="165" t="s">
        <v>2578</v>
      </c>
    </row>
    <row r="302" spans="1:25">
      <c r="A302" s="163" t="s">
        <v>7</v>
      </c>
      <c r="B302" s="144" t="s">
        <v>2463</v>
      </c>
      <c r="C302" s="164" t="s">
        <v>3064</v>
      </c>
      <c r="D302" s="144" t="s">
        <v>3065</v>
      </c>
      <c r="E302" s="150" t="s">
        <v>2466</v>
      </c>
      <c r="F302" s="144" t="s">
        <v>2467</v>
      </c>
      <c r="G302" s="166"/>
      <c r="H302" s="151">
        <v>1</v>
      </c>
      <c r="I302" s="160"/>
      <c r="J302" s="159">
        <v>100</v>
      </c>
      <c r="K302" s="161"/>
      <c r="L302" s="159">
        <v>100</v>
      </c>
      <c r="M302" s="160">
        <v>100</v>
      </c>
      <c r="N302" s="145">
        <v>400</v>
      </c>
      <c r="O302" s="156" t="s">
        <v>135</v>
      </c>
      <c r="P302" s="144" t="s">
        <v>2468</v>
      </c>
      <c r="Q302" s="147"/>
      <c r="R302" s="146"/>
      <c r="S302" s="157"/>
      <c r="T302" s="144" t="s">
        <v>29</v>
      </c>
      <c r="U302" s="150" t="s">
        <v>20</v>
      </c>
      <c r="V302" s="146">
        <v>1940</v>
      </c>
      <c r="W302" s="148" t="s">
        <v>3066</v>
      </c>
      <c r="X302" s="149">
        <v>45689</v>
      </c>
      <c r="Y302" s="165" t="s">
        <v>3067</v>
      </c>
    </row>
    <row r="303" spans="1:25">
      <c r="A303" s="163" t="s">
        <v>7</v>
      </c>
      <c r="B303" s="144" t="s">
        <v>163</v>
      </c>
      <c r="C303" s="164" t="s">
        <v>1817</v>
      </c>
      <c r="D303" s="144" t="s">
        <v>1818</v>
      </c>
      <c r="E303" s="150" t="s">
        <v>2491</v>
      </c>
      <c r="F303" s="144" t="s">
        <v>2477</v>
      </c>
      <c r="G303" s="166" t="s">
        <v>3068</v>
      </c>
      <c r="H303" s="151">
        <v>90</v>
      </c>
      <c r="I303" s="160">
        <v>0.02</v>
      </c>
      <c r="J303" s="159">
        <v>1.67</v>
      </c>
      <c r="K303" s="161">
        <v>1.8</v>
      </c>
      <c r="L303" s="159">
        <v>150.30000000000001</v>
      </c>
      <c r="M303" s="160">
        <v>150.30000000000001</v>
      </c>
      <c r="N303" s="145"/>
      <c r="O303" s="156" t="s">
        <v>166</v>
      </c>
      <c r="P303" s="144" t="s">
        <v>2478</v>
      </c>
      <c r="Q303" s="147"/>
      <c r="R303" s="146">
        <v>2043</v>
      </c>
      <c r="S303" s="157"/>
      <c r="T303" s="144" t="s">
        <v>25</v>
      </c>
      <c r="U303" s="150" t="s">
        <v>2479</v>
      </c>
      <c r="V303" s="146">
        <v>1420</v>
      </c>
      <c r="W303" s="148"/>
      <c r="X303" s="149">
        <v>45689</v>
      </c>
      <c r="Y303" s="165" t="s">
        <v>3069</v>
      </c>
    </row>
    <row r="304" spans="1:25">
      <c r="A304" s="163" t="s">
        <v>7</v>
      </c>
      <c r="B304" s="144" t="s">
        <v>163</v>
      </c>
      <c r="C304" s="164" t="s">
        <v>1610</v>
      </c>
      <c r="D304" s="144" t="s">
        <v>1100</v>
      </c>
      <c r="E304" s="150" t="s">
        <v>2485</v>
      </c>
      <c r="F304" s="144" t="s">
        <v>2486</v>
      </c>
      <c r="G304" s="166" t="s">
        <v>1611</v>
      </c>
      <c r="H304" s="151">
        <v>54</v>
      </c>
      <c r="I304" s="160">
        <v>4.2</v>
      </c>
      <c r="J304" s="159">
        <v>4.2</v>
      </c>
      <c r="K304" s="161">
        <v>226.8</v>
      </c>
      <c r="L304" s="159">
        <v>226.8</v>
      </c>
      <c r="M304" s="160">
        <v>226.8</v>
      </c>
      <c r="N304" s="145"/>
      <c r="O304" s="156" t="s">
        <v>166</v>
      </c>
      <c r="P304" s="144" t="s">
        <v>2478</v>
      </c>
      <c r="Q304" s="147">
        <v>44166</v>
      </c>
      <c r="R304" s="146">
        <v>2046</v>
      </c>
      <c r="S304" s="157"/>
      <c r="T304" s="144" t="s">
        <v>25</v>
      </c>
      <c r="U304" s="150" t="s">
        <v>17</v>
      </c>
      <c r="V304" s="146">
        <v>1052</v>
      </c>
      <c r="W304" s="148"/>
      <c r="X304" s="149">
        <v>45689</v>
      </c>
      <c r="Y304" s="165" t="s">
        <v>2558</v>
      </c>
    </row>
    <row r="305" spans="1:25">
      <c r="A305" s="163" t="s">
        <v>309</v>
      </c>
      <c r="B305" s="144" t="s">
        <v>2463</v>
      </c>
      <c r="C305" s="164" t="s">
        <v>3070</v>
      </c>
      <c r="D305" s="144" t="s">
        <v>3071</v>
      </c>
      <c r="E305" s="150" t="s">
        <v>2485</v>
      </c>
      <c r="F305" s="144" t="s">
        <v>2486</v>
      </c>
      <c r="G305" s="166"/>
      <c r="H305" s="151">
        <v>364</v>
      </c>
      <c r="I305" s="160"/>
      <c r="J305" s="159">
        <v>7.8</v>
      </c>
      <c r="K305" s="161"/>
      <c r="L305" s="159">
        <v>2839.2</v>
      </c>
      <c r="M305" s="160">
        <v>2839.2</v>
      </c>
      <c r="N305" s="145"/>
      <c r="O305" s="156" t="s">
        <v>135</v>
      </c>
      <c r="P305" s="144" t="s">
        <v>2478</v>
      </c>
      <c r="Q305" s="147"/>
      <c r="R305" s="146"/>
      <c r="S305" s="157"/>
      <c r="T305" s="144" t="s">
        <v>29</v>
      </c>
      <c r="U305" s="150" t="s">
        <v>17</v>
      </c>
      <c r="V305" s="146">
        <v>2520</v>
      </c>
      <c r="W305" s="148" t="s">
        <v>3072</v>
      </c>
      <c r="X305" s="149">
        <v>45689</v>
      </c>
      <c r="Y305" s="165" t="s">
        <v>2520</v>
      </c>
    </row>
    <row r="306" spans="1:25">
      <c r="A306" s="163" t="s">
        <v>309</v>
      </c>
      <c r="B306" s="144" t="s">
        <v>2463</v>
      </c>
      <c r="C306" s="164" t="s">
        <v>3073</v>
      </c>
      <c r="D306" s="144" t="s">
        <v>422</v>
      </c>
      <c r="E306" s="150" t="s">
        <v>2466</v>
      </c>
      <c r="F306" s="144" t="s">
        <v>2467</v>
      </c>
      <c r="G306" s="166"/>
      <c r="H306" s="151">
        <v>1</v>
      </c>
      <c r="I306" s="160">
        <v>100</v>
      </c>
      <c r="J306" s="159">
        <v>100</v>
      </c>
      <c r="K306" s="161">
        <v>100</v>
      </c>
      <c r="L306" s="159">
        <v>100</v>
      </c>
      <c r="M306" s="160">
        <v>100</v>
      </c>
      <c r="N306" s="145">
        <v>100</v>
      </c>
      <c r="O306" s="156" t="s">
        <v>135</v>
      </c>
      <c r="P306" s="144" t="s">
        <v>2468</v>
      </c>
      <c r="Q306" s="147">
        <v>46357</v>
      </c>
      <c r="R306" s="146"/>
      <c r="S306" s="157"/>
      <c r="T306" s="144" t="s">
        <v>29</v>
      </c>
      <c r="U306" s="150" t="s">
        <v>20</v>
      </c>
      <c r="V306" s="146">
        <v>1734</v>
      </c>
      <c r="W306" s="148"/>
      <c r="X306" s="149">
        <v>45689</v>
      </c>
      <c r="Y306" s="165" t="s">
        <v>3074</v>
      </c>
    </row>
    <row r="307" spans="1:25">
      <c r="A307" s="163" t="s">
        <v>309</v>
      </c>
      <c r="B307" s="144" t="s">
        <v>163</v>
      </c>
      <c r="C307" s="164" t="s">
        <v>1850</v>
      </c>
      <c r="D307" s="144" t="s">
        <v>1100</v>
      </c>
      <c r="E307" s="150" t="s">
        <v>2476</v>
      </c>
      <c r="F307" s="144" t="s">
        <v>2477</v>
      </c>
      <c r="G307" s="166" t="s">
        <v>3075</v>
      </c>
      <c r="H307" s="151">
        <v>17</v>
      </c>
      <c r="I307" s="160">
        <v>2.5</v>
      </c>
      <c r="J307" s="159">
        <v>2.5</v>
      </c>
      <c r="K307" s="161">
        <v>42.5</v>
      </c>
      <c r="L307" s="159">
        <v>42.5</v>
      </c>
      <c r="M307" s="160">
        <v>42.5</v>
      </c>
      <c r="N307" s="145"/>
      <c r="O307" s="156" t="s">
        <v>166</v>
      </c>
      <c r="P307" s="144" t="s">
        <v>2478</v>
      </c>
      <c r="Q307" s="147">
        <v>43313</v>
      </c>
      <c r="R307" s="146">
        <v>2044</v>
      </c>
      <c r="S307" s="157"/>
      <c r="T307" s="144" t="s">
        <v>25</v>
      </c>
      <c r="U307" s="150" t="s">
        <v>2479</v>
      </c>
      <c r="V307" s="146">
        <v>1349</v>
      </c>
      <c r="W307" s="148"/>
      <c r="X307" s="149">
        <v>45689</v>
      </c>
      <c r="Y307" s="165" t="s">
        <v>2558</v>
      </c>
    </row>
    <row r="308" spans="1:25">
      <c r="A308" s="163" t="s">
        <v>7</v>
      </c>
      <c r="B308" s="144" t="s">
        <v>163</v>
      </c>
      <c r="C308" s="164" t="s">
        <v>3076</v>
      </c>
      <c r="D308" s="144" t="s">
        <v>218</v>
      </c>
      <c r="E308" s="150" t="s">
        <v>2555</v>
      </c>
      <c r="F308" s="144" t="s">
        <v>2556</v>
      </c>
      <c r="G308" s="166" t="s">
        <v>3077</v>
      </c>
      <c r="H308" s="151">
        <v>1</v>
      </c>
      <c r="I308" s="160"/>
      <c r="J308" s="159">
        <v>181</v>
      </c>
      <c r="K308" s="161"/>
      <c r="L308" s="159">
        <v>181</v>
      </c>
      <c r="M308" s="160">
        <v>181</v>
      </c>
      <c r="N308" s="145"/>
      <c r="O308" s="156" t="s">
        <v>166</v>
      </c>
      <c r="P308" s="144" t="s">
        <v>2468</v>
      </c>
      <c r="Q308" s="147"/>
      <c r="R308" s="146">
        <v>2070</v>
      </c>
      <c r="S308" s="157"/>
      <c r="T308" s="144" t="s">
        <v>25</v>
      </c>
      <c r="U308" s="150" t="s">
        <v>14</v>
      </c>
      <c r="V308" s="146">
        <v>1053</v>
      </c>
      <c r="W308" s="148"/>
      <c r="X308" s="149">
        <v>45689</v>
      </c>
      <c r="Y308" s="165" t="s">
        <v>2500</v>
      </c>
    </row>
    <row r="309" spans="1:25">
      <c r="A309" s="163" t="s">
        <v>7</v>
      </c>
      <c r="B309" s="144" t="s">
        <v>163</v>
      </c>
      <c r="C309" s="164" t="s">
        <v>3076</v>
      </c>
      <c r="D309" s="144" t="s">
        <v>218</v>
      </c>
      <c r="E309" s="150" t="s">
        <v>2555</v>
      </c>
      <c r="F309" s="144" t="s">
        <v>2556</v>
      </c>
      <c r="G309" s="166" t="s">
        <v>3078</v>
      </c>
      <c r="H309" s="151">
        <v>1</v>
      </c>
      <c r="I309" s="160">
        <v>162</v>
      </c>
      <c r="J309" s="159">
        <v>181</v>
      </c>
      <c r="K309" s="161">
        <v>162</v>
      </c>
      <c r="L309" s="159">
        <v>181</v>
      </c>
      <c r="M309" s="160">
        <v>181</v>
      </c>
      <c r="N309" s="145"/>
      <c r="O309" s="156" t="s">
        <v>166</v>
      </c>
      <c r="P309" s="144" t="s">
        <v>2468</v>
      </c>
      <c r="Q309" s="147"/>
      <c r="R309" s="146">
        <v>2070</v>
      </c>
      <c r="S309" s="157"/>
      <c r="T309" s="144" t="s">
        <v>25</v>
      </c>
      <c r="U309" s="150" t="s">
        <v>14</v>
      </c>
      <c r="V309" s="146">
        <v>1053</v>
      </c>
      <c r="W309" s="148"/>
      <c r="X309" s="149">
        <v>45689</v>
      </c>
      <c r="Y309" s="165" t="s">
        <v>2500</v>
      </c>
    </row>
    <row r="310" spans="1:25">
      <c r="A310" s="163" t="s">
        <v>7</v>
      </c>
      <c r="B310" s="144" t="s">
        <v>163</v>
      </c>
      <c r="C310" s="164" t="s">
        <v>3076</v>
      </c>
      <c r="D310" s="144" t="s">
        <v>218</v>
      </c>
      <c r="E310" s="150" t="s">
        <v>2555</v>
      </c>
      <c r="F310" s="144" t="s">
        <v>2556</v>
      </c>
      <c r="G310" s="166" t="s">
        <v>3079</v>
      </c>
      <c r="H310" s="151">
        <v>1</v>
      </c>
      <c r="I310" s="160"/>
      <c r="J310" s="159">
        <v>181</v>
      </c>
      <c r="K310" s="161"/>
      <c r="L310" s="159">
        <v>181</v>
      </c>
      <c r="M310" s="160">
        <v>181</v>
      </c>
      <c r="N310" s="145"/>
      <c r="O310" s="156" t="s">
        <v>166</v>
      </c>
      <c r="P310" s="144" t="s">
        <v>2468</v>
      </c>
      <c r="Q310" s="147"/>
      <c r="R310" s="146">
        <v>2070</v>
      </c>
      <c r="S310" s="157"/>
      <c r="T310" s="144" t="s">
        <v>25</v>
      </c>
      <c r="U310" s="150" t="s">
        <v>14</v>
      </c>
      <c r="V310" s="146">
        <v>1053</v>
      </c>
      <c r="W310" s="148"/>
      <c r="X310" s="149">
        <v>45689</v>
      </c>
      <c r="Y310" s="165" t="s">
        <v>2500</v>
      </c>
    </row>
    <row r="311" spans="1:25">
      <c r="A311" s="163" t="s">
        <v>7</v>
      </c>
      <c r="B311" s="144" t="s">
        <v>163</v>
      </c>
      <c r="C311" s="164" t="s">
        <v>3076</v>
      </c>
      <c r="D311" s="144" t="s">
        <v>218</v>
      </c>
      <c r="E311" s="150" t="s">
        <v>2555</v>
      </c>
      <c r="F311" s="144" t="s">
        <v>2556</v>
      </c>
      <c r="G311" s="166" t="s">
        <v>3080</v>
      </c>
      <c r="H311" s="151">
        <v>1</v>
      </c>
      <c r="I311" s="160"/>
      <c r="J311" s="159">
        <v>181</v>
      </c>
      <c r="K311" s="161"/>
      <c r="L311" s="159">
        <v>181</v>
      </c>
      <c r="M311" s="160">
        <v>181</v>
      </c>
      <c r="N311" s="145"/>
      <c r="O311" s="156" t="s">
        <v>166</v>
      </c>
      <c r="P311" s="144" t="s">
        <v>2468</v>
      </c>
      <c r="Q311" s="147"/>
      <c r="R311" s="146">
        <v>2070</v>
      </c>
      <c r="S311" s="157"/>
      <c r="T311" s="144" t="s">
        <v>25</v>
      </c>
      <c r="U311" s="150" t="s">
        <v>14</v>
      </c>
      <c r="V311" s="146">
        <v>1053</v>
      </c>
      <c r="W311" s="148"/>
      <c r="X311" s="149">
        <v>45689</v>
      </c>
      <c r="Y311" s="165" t="s">
        <v>2500</v>
      </c>
    </row>
    <row r="312" spans="1:25">
      <c r="A312" s="163" t="s">
        <v>309</v>
      </c>
      <c r="B312" s="144" t="s">
        <v>2463</v>
      </c>
      <c r="C312" s="164" t="s">
        <v>3081</v>
      </c>
      <c r="D312" s="144" t="s">
        <v>1282</v>
      </c>
      <c r="E312" s="150" t="s">
        <v>2491</v>
      </c>
      <c r="F312" s="144" t="s">
        <v>2477</v>
      </c>
      <c r="G312" s="166"/>
      <c r="H312" s="151">
        <v>1</v>
      </c>
      <c r="I312" s="160">
        <v>400</v>
      </c>
      <c r="J312" s="159">
        <v>400</v>
      </c>
      <c r="K312" s="161">
        <v>400</v>
      </c>
      <c r="L312" s="159">
        <v>400</v>
      </c>
      <c r="M312" s="160">
        <v>400</v>
      </c>
      <c r="N312" s="145"/>
      <c r="O312" s="156" t="s">
        <v>135</v>
      </c>
      <c r="P312" s="144" t="s">
        <v>2478</v>
      </c>
      <c r="Q312" s="147">
        <v>46753</v>
      </c>
      <c r="R312" s="146"/>
      <c r="S312" s="157"/>
      <c r="T312" s="144" t="s">
        <v>29</v>
      </c>
      <c r="U312" s="150" t="s">
        <v>2479</v>
      </c>
      <c r="V312" s="146">
        <v>3062</v>
      </c>
      <c r="W312" s="148" t="s">
        <v>3082</v>
      </c>
      <c r="X312" s="149">
        <v>45901</v>
      </c>
      <c r="Y312" s="165" t="s">
        <v>2858</v>
      </c>
    </row>
    <row r="313" spans="1:25">
      <c r="A313" s="163" t="s">
        <v>309</v>
      </c>
      <c r="B313" s="144" t="s">
        <v>2463</v>
      </c>
      <c r="C313" s="164" t="s">
        <v>3083</v>
      </c>
      <c r="D313" s="144" t="s">
        <v>3084</v>
      </c>
      <c r="E313" s="150" t="s">
        <v>2466</v>
      </c>
      <c r="F313" s="144" t="s">
        <v>2467</v>
      </c>
      <c r="G313" s="166"/>
      <c r="H313" s="151">
        <v>1</v>
      </c>
      <c r="I313" s="160">
        <v>700</v>
      </c>
      <c r="J313" s="159">
        <v>700</v>
      </c>
      <c r="K313" s="161">
        <v>700</v>
      </c>
      <c r="L313" s="159">
        <v>700</v>
      </c>
      <c r="M313" s="160">
        <v>700</v>
      </c>
      <c r="N313" s="145">
        <v>0</v>
      </c>
      <c r="O313" s="156" t="s">
        <v>135</v>
      </c>
      <c r="P313" s="144" t="s">
        <v>2468</v>
      </c>
      <c r="Q313" s="147"/>
      <c r="R313" s="146"/>
      <c r="S313" s="157"/>
      <c r="T313" s="144" t="s">
        <v>29</v>
      </c>
      <c r="U313" s="150" t="s">
        <v>20</v>
      </c>
      <c r="V313" s="146">
        <v>2554</v>
      </c>
      <c r="W313" s="148" t="s">
        <v>3085</v>
      </c>
      <c r="X313" s="149">
        <v>45901</v>
      </c>
      <c r="Y313" s="165" t="s">
        <v>2722</v>
      </c>
    </row>
    <row r="314" spans="1:25">
      <c r="A314" s="163" t="s">
        <v>309</v>
      </c>
      <c r="B314" s="144" t="s">
        <v>2463</v>
      </c>
      <c r="C314" s="164" t="s">
        <v>3086</v>
      </c>
      <c r="D314" s="144" t="s">
        <v>3087</v>
      </c>
      <c r="E314" s="150" t="s">
        <v>2466</v>
      </c>
      <c r="F314" s="144" t="s">
        <v>2467</v>
      </c>
      <c r="G314" s="166"/>
      <c r="H314" s="151">
        <v>1</v>
      </c>
      <c r="I314" s="160">
        <v>0</v>
      </c>
      <c r="J314" s="159">
        <v>550</v>
      </c>
      <c r="K314" s="161">
        <v>0</v>
      </c>
      <c r="L314" s="159">
        <v>550</v>
      </c>
      <c r="M314" s="160">
        <v>550</v>
      </c>
      <c r="N314" s="145">
        <v>1703</v>
      </c>
      <c r="O314" s="156" t="s">
        <v>135</v>
      </c>
      <c r="P314" s="144" t="s">
        <v>2468</v>
      </c>
      <c r="Q314" s="147"/>
      <c r="R314" s="146"/>
      <c r="S314" s="157"/>
      <c r="T314" s="144" t="s">
        <v>29</v>
      </c>
      <c r="U314" s="150" t="s">
        <v>20</v>
      </c>
      <c r="V314" s="146">
        <v>2871</v>
      </c>
      <c r="W314" s="148" t="s">
        <v>3088</v>
      </c>
      <c r="X314" s="149"/>
      <c r="Y314" s="165"/>
    </row>
    <row r="315" spans="1:25">
      <c r="A315" s="163" t="s">
        <v>309</v>
      </c>
      <c r="B315" s="144" t="s">
        <v>163</v>
      </c>
      <c r="C315" s="164" t="s">
        <v>1256</v>
      </c>
      <c r="D315" s="144" t="s">
        <v>1257</v>
      </c>
      <c r="E315" s="150" t="s">
        <v>2491</v>
      </c>
      <c r="F315" s="144" t="s">
        <v>2477</v>
      </c>
      <c r="G315" s="166" t="s">
        <v>3089</v>
      </c>
      <c r="H315" s="151">
        <v>79</v>
      </c>
      <c r="I315" s="160">
        <v>2.75</v>
      </c>
      <c r="J315" s="159">
        <v>2.75</v>
      </c>
      <c r="K315" s="161">
        <v>217.25</v>
      </c>
      <c r="L315" s="159">
        <v>217.25</v>
      </c>
      <c r="M315" s="160">
        <v>217.25</v>
      </c>
      <c r="N315" s="145"/>
      <c r="O315" s="156" t="s">
        <v>166</v>
      </c>
      <c r="P315" s="144" t="s">
        <v>2478</v>
      </c>
      <c r="Q315" s="147">
        <v>45200</v>
      </c>
      <c r="R315" s="146">
        <v>2046</v>
      </c>
      <c r="S315" s="157"/>
      <c r="T315" s="144" t="s">
        <v>25</v>
      </c>
      <c r="U315" s="150" t="s">
        <v>2479</v>
      </c>
      <c r="V315" s="146">
        <v>1459</v>
      </c>
      <c r="W315" s="148" t="s">
        <v>3090</v>
      </c>
      <c r="X315" s="149">
        <v>45689</v>
      </c>
      <c r="Y315" s="165" t="s">
        <v>2558</v>
      </c>
    </row>
    <row r="316" spans="1:25">
      <c r="A316" s="163" t="s">
        <v>309</v>
      </c>
      <c r="B316" s="144" t="s">
        <v>2463</v>
      </c>
      <c r="C316" s="164" t="s">
        <v>3091</v>
      </c>
      <c r="D316" s="144" t="s">
        <v>3092</v>
      </c>
      <c r="E316" s="150" t="s">
        <v>2466</v>
      </c>
      <c r="F316" s="144" t="s">
        <v>2467</v>
      </c>
      <c r="G316" s="166"/>
      <c r="H316" s="151">
        <v>1</v>
      </c>
      <c r="I316" s="160"/>
      <c r="J316" s="159">
        <v>120</v>
      </c>
      <c r="K316" s="161"/>
      <c r="L316" s="159">
        <v>120</v>
      </c>
      <c r="M316" s="160">
        <v>120</v>
      </c>
      <c r="N316" s="145">
        <v>800</v>
      </c>
      <c r="O316" s="156" t="s">
        <v>135</v>
      </c>
      <c r="P316" s="144" t="s">
        <v>2468</v>
      </c>
      <c r="Q316" s="147"/>
      <c r="R316" s="146"/>
      <c r="S316" s="157"/>
      <c r="T316" s="144" t="s">
        <v>29</v>
      </c>
      <c r="U316" s="150" t="s">
        <v>20</v>
      </c>
      <c r="V316" s="146">
        <v>2749</v>
      </c>
      <c r="W316" s="148" t="s">
        <v>3093</v>
      </c>
      <c r="X316" s="149"/>
      <c r="Y316" s="165" t="s">
        <v>3094</v>
      </c>
    </row>
    <row r="317" spans="1:25">
      <c r="A317" s="163" t="s">
        <v>7</v>
      </c>
      <c r="B317" s="144" t="s">
        <v>2463</v>
      </c>
      <c r="C317" s="164" t="s">
        <v>3095</v>
      </c>
      <c r="D317" s="144" t="s">
        <v>3096</v>
      </c>
      <c r="E317" s="150" t="s">
        <v>2466</v>
      </c>
      <c r="F317" s="144" t="s">
        <v>2467</v>
      </c>
      <c r="G317" s="166"/>
      <c r="H317" s="151">
        <v>45</v>
      </c>
      <c r="I317" s="160">
        <v>0</v>
      </c>
      <c r="J317" s="159">
        <v>4.2</v>
      </c>
      <c r="K317" s="161">
        <v>0</v>
      </c>
      <c r="L317" s="159">
        <v>189</v>
      </c>
      <c r="M317" s="160">
        <v>189</v>
      </c>
      <c r="N317" s="145">
        <v>600</v>
      </c>
      <c r="O317" s="156" t="s">
        <v>135</v>
      </c>
      <c r="P317" s="144" t="s">
        <v>2468</v>
      </c>
      <c r="Q317" s="147"/>
      <c r="R317" s="146"/>
      <c r="S317" s="157"/>
      <c r="T317" s="144" t="s">
        <v>29</v>
      </c>
      <c r="U317" s="150" t="s">
        <v>20</v>
      </c>
      <c r="V317" s="146">
        <v>2754</v>
      </c>
      <c r="W317" s="148" t="s">
        <v>3097</v>
      </c>
      <c r="X317" s="149"/>
      <c r="Y317" s="165" t="s">
        <v>2474</v>
      </c>
    </row>
    <row r="318" spans="1:25">
      <c r="A318" s="163" t="s">
        <v>309</v>
      </c>
      <c r="B318" s="144" t="s">
        <v>163</v>
      </c>
      <c r="C318" s="164" t="s">
        <v>3098</v>
      </c>
      <c r="D318" s="144" t="s">
        <v>3099</v>
      </c>
      <c r="E318" s="150" t="s">
        <v>3100</v>
      </c>
      <c r="F318" s="144" t="s">
        <v>2786</v>
      </c>
      <c r="G318" s="166" t="s">
        <v>3101</v>
      </c>
      <c r="H318" s="151">
        <v>2</v>
      </c>
      <c r="I318" s="160"/>
      <c r="J318" s="159">
        <v>43.7</v>
      </c>
      <c r="K318" s="161"/>
      <c r="L318" s="159">
        <v>87.4</v>
      </c>
      <c r="M318" s="160">
        <v>87.4</v>
      </c>
      <c r="N318" s="145"/>
      <c r="O318" s="156" t="s">
        <v>166</v>
      </c>
      <c r="P318" s="144" t="s">
        <v>2468</v>
      </c>
      <c r="Q318" s="147"/>
      <c r="R318" s="146">
        <v>2039</v>
      </c>
      <c r="S318" s="157"/>
      <c r="T318" s="144" t="s">
        <v>25</v>
      </c>
      <c r="U318" s="150" t="s">
        <v>13</v>
      </c>
      <c r="V318" s="146">
        <v>1054</v>
      </c>
      <c r="W318" s="148"/>
      <c r="X318" s="149">
        <v>45689</v>
      </c>
      <c r="Y318" s="165" t="s">
        <v>3102</v>
      </c>
    </row>
    <row r="319" spans="1:25">
      <c r="A319" s="163" t="s">
        <v>309</v>
      </c>
      <c r="B319" s="144" t="s">
        <v>163</v>
      </c>
      <c r="C319" s="164" t="s">
        <v>3098</v>
      </c>
      <c r="D319" s="144" t="s">
        <v>3099</v>
      </c>
      <c r="E319" s="150" t="s">
        <v>2639</v>
      </c>
      <c r="F319" s="144" t="s">
        <v>2786</v>
      </c>
      <c r="G319" s="166" t="s">
        <v>3101</v>
      </c>
      <c r="H319" s="151">
        <v>1</v>
      </c>
      <c r="I319" s="160"/>
      <c r="J319" s="159">
        <v>57</v>
      </c>
      <c r="K319" s="161"/>
      <c r="L319" s="159">
        <v>57</v>
      </c>
      <c r="M319" s="160">
        <v>57</v>
      </c>
      <c r="N319" s="145"/>
      <c r="O319" s="156" t="s">
        <v>166</v>
      </c>
      <c r="P319" s="144" t="s">
        <v>2468</v>
      </c>
      <c r="Q319" s="147"/>
      <c r="R319" s="146">
        <v>2039</v>
      </c>
      <c r="S319" s="157"/>
      <c r="T319" s="144" t="s">
        <v>25</v>
      </c>
      <c r="U319" s="150" t="s">
        <v>15</v>
      </c>
      <c r="V319" s="146">
        <v>1054</v>
      </c>
      <c r="W319" s="148"/>
      <c r="X319" s="149">
        <v>45689</v>
      </c>
      <c r="Y319" s="165" t="s">
        <v>3102</v>
      </c>
    </row>
    <row r="320" spans="1:25">
      <c r="A320" s="163" t="s">
        <v>7</v>
      </c>
      <c r="B320" s="144" t="s">
        <v>163</v>
      </c>
      <c r="C320" s="164" t="s">
        <v>3103</v>
      </c>
      <c r="D320" s="144" t="s">
        <v>2822</v>
      </c>
      <c r="E320" s="150" t="s">
        <v>2639</v>
      </c>
      <c r="F320" s="144" t="s">
        <v>3104</v>
      </c>
      <c r="G320" s="166" t="s">
        <v>3105</v>
      </c>
      <c r="H320" s="151">
        <v>1</v>
      </c>
      <c r="I320" s="160">
        <v>30</v>
      </c>
      <c r="J320" s="159">
        <v>30</v>
      </c>
      <c r="K320" s="161">
        <v>30</v>
      </c>
      <c r="L320" s="159">
        <v>30</v>
      </c>
      <c r="M320" s="160">
        <v>30</v>
      </c>
      <c r="N320" s="145"/>
      <c r="O320" s="156" t="s">
        <v>166</v>
      </c>
      <c r="P320" s="144" t="s">
        <v>2480</v>
      </c>
      <c r="Q320" s="147"/>
      <c r="R320" s="146">
        <v>2038</v>
      </c>
      <c r="S320" s="157"/>
      <c r="T320" s="144" t="s">
        <v>25</v>
      </c>
      <c r="U320" s="150" t="s">
        <v>19</v>
      </c>
      <c r="V320" s="146">
        <v>1055</v>
      </c>
      <c r="W320" s="148"/>
      <c r="X320" s="149">
        <v>45778</v>
      </c>
      <c r="Y320" s="165" t="s">
        <v>2627</v>
      </c>
    </row>
    <row r="321" spans="1:25">
      <c r="A321" s="163" t="s">
        <v>423</v>
      </c>
      <c r="B321" s="144" t="s">
        <v>2463</v>
      </c>
      <c r="C321" s="164" t="s">
        <v>3106</v>
      </c>
      <c r="D321" s="144" t="s">
        <v>3107</v>
      </c>
      <c r="E321" s="150" t="s">
        <v>2466</v>
      </c>
      <c r="F321" s="144" t="s">
        <v>2467</v>
      </c>
      <c r="G321" s="166"/>
      <c r="H321" s="151">
        <v>232</v>
      </c>
      <c r="I321" s="160">
        <v>0</v>
      </c>
      <c r="J321" s="159">
        <v>4.74</v>
      </c>
      <c r="K321" s="161">
        <v>0</v>
      </c>
      <c r="L321" s="159">
        <v>1099.68</v>
      </c>
      <c r="M321" s="160">
        <v>1099.68</v>
      </c>
      <c r="N321" s="145">
        <v>4400</v>
      </c>
      <c r="O321" s="156" t="s">
        <v>135</v>
      </c>
      <c r="P321" s="144" t="s">
        <v>2468</v>
      </c>
      <c r="Q321" s="147"/>
      <c r="R321" s="146"/>
      <c r="S321" s="157"/>
      <c r="T321" s="144" t="s">
        <v>29</v>
      </c>
      <c r="U321" s="150" t="s">
        <v>20</v>
      </c>
      <c r="V321" s="146">
        <v>2841</v>
      </c>
      <c r="W321" s="148" t="s">
        <v>3108</v>
      </c>
      <c r="X321" s="149"/>
      <c r="Y321" s="165" t="s">
        <v>2474</v>
      </c>
    </row>
    <row r="322" spans="1:25">
      <c r="A322" s="163" t="s">
        <v>7</v>
      </c>
      <c r="B322" s="144" t="s">
        <v>2463</v>
      </c>
      <c r="C322" s="164" t="s">
        <v>3109</v>
      </c>
      <c r="D322" s="144" t="s">
        <v>3110</v>
      </c>
      <c r="E322" s="150" t="s">
        <v>2485</v>
      </c>
      <c r="F322" s="144" t="s">
        <v>2486</v>
      </c>
      <c r="G322" s="166"/>
      <c r="H322" s="151">
        <v>15</v>
      </c>
      <c r="I322" s="160"/>
      <c r="J322" s="159">
        <v>2</v>
      </c>
      <c r="K322" s="161"/>
      <c r="L322" s="159">
        <v>30</v>
      </c>
      <c r="M322" s="160">
        <v>30</v>
      </c>
      <c r="N322" s="145"/>
      <c r="O322" s="156" t="s">
        <v>135</v>
      </c>
      <c r="P322" s="144" t="s">
        <v>2478</v>
      </c>
      <c r="Q322" s="147"/>
      <c r="R322" s="146"/>
      <c r="S322" s="157"/>
      <c r="T322" s="144" t="s">
        <v>29</v>
      </c>
      <c r="U322" s="150" t="s">
        <v>17</v>
      </c>
      <c r="V322" s="146">
        <v>2755</v>
      </c>
      <c r="W322" s="148" t="s">
        <v>3111</v>
      </c>
      <c r="X322" s="149">
        <v>45901</v>
      </c>
      <c r="Y322" s="165" t="s">
        <v>3042</v>
      </c>
    </row>
    <row r="323" spans="1:25">
      <c r="A323" s="163" t="s">
        <v>423</v>
      </c>
      <c r="B323" s="144" t="s">
        <v>2463</v>
      </c>
      <c r="C323" s="164" t="s">
        <v>3112</v>
      </c>
      <c r="D323" s="144" t="s">
        <v>3113</v>
      </c>
      <c r="E323" s="150" t="s">
        <v>2491</v>
      </c>
      <c r="F323" s="144" t="s">
        <v>2477</v>
      </c>
      <c r="G323" s="166"/>
      <c r="H323" s="151">
        <v>76</v>
      </c>
      <c r="I323" s="160"/>
      <c r="J323" s="159">
        <v>4.2</v>
      </c>
      <c r="K323" s="161"/>
      <c r="L323" s="159">
        <v>319.2</v>
      </c>
      <c r="M323" s="160">
        <v>319.2</v>
      </c>
      <c r="N323" s="145"/>
      <c r="O323" s="156" t="s">
        <v>135</v>
      </c>
      <c r="P323" s="144" t="s">
        <v>2478</v>
      </c>
      <c r="Q323" s="147"/>
      <c r="R323" s="146">
        <v>2056</v>
      </c>
      <c r="S323" s="157"/>
      <c r="T323" s="144" t="s">
        <v>29</v>
      </c>
      <c r="U323" s="150" t="s">
        <v>2479</v>
      </c>
      <c r="V323" s="146">
        <v>2331</v>
      </c>
      <c r="W323" s="148" t="s">
        <v>3114</v>
      </c>
      <c r="X323" s="149">
        <v>45689</v>
      </c>
      <c r="Y323" s="165" t="s">
        <v>2520</v>
      </c>
    </row>
    <row r="324" spans="1:25">
      <c r="A324" s="163" t="s">
        <v>7</v>
      </c>
      <c r="B324" s="144" t="s">
        <v>2463</v>
      </c>
      <c r="C324" s="164" t="s">
        <v>3115</v>
      </c>
      <c r="D324" s="144" t="s">
        <v>846</v>
      </c>
      <c r="E324" s="150" t="s">
        <v>2476</v>
      </c>
      <c r="F324" s="144" t="s">
        <v>2477</v>
      </c>
      <c r="G324" s="166"/>
      <c r="H324" s="151">
        <v>1</v>
      </c>
      <c r="I324" s="160">
        <v>100</v>
      </c>
      <c r="J324" s="159">
        <v>100</v>
      </c>
      <c r="K324" s="161">
        <v>100</v>
      </c>
      <c r="L324" s="159">
        <v>100</v>
      </c>
      <c r="M324" s="160">
        <v>100</v>
      </c>
      <c r="N324" s="145"/>
      <c r="O324" s="156" t="s">
        <v>135</v>
      </c>
      <c r="P324" s="144" t="s">
        <v>2478</v>
      </c>
      <c r="Q324" s="147">
        <v>46813</v>
      </c>
      <c r="R324" s="146"/>
      <c r="S324" s="157"/>
      <c r="T324" s="144" t="s">
        <v>29</v>
      </c>
      <c r="U324" s="150" t="s">
        <v>2479</v>
      </c>
      <c r="V324" s="146">
        <v>2680</v>
      </c>
      <c r="W324" s="148" t="s">
        <v>3116</v>
      </c>
      <c r="X324" s="149">
        <v>45689</v>
      </c>
      <c r="Y324" s="165" t="s">
        <v>2470</v>
      </c>
    </row>
    <row r="325" spans="1:25">
      <c r="A325" s="163" t="s">
        <v>7</v>
      </c>
      <c r="B325" s="144" t="s">
        <v>2463</v>
      </c>
      <c r="C325" s="164" t="s">
        <v>3115</v>
      </c>
      <c r="D325" s="144" t="s">
        <v>846</v>
      </c>
      <c r="E325" s="150" t="s">
        <v>2466</v>
      </c>
      <c r="F325" s="144" t="s">
        <v>2467</v>
      </c>
      <c r="G325" s="166"/>
      <c r="H325" s="151">
        <v>1</v>
      </c>
      <c r="I325" s="160">
        <v>80</v>
      </c>
      <c r="J325" s="159">
        <v>80</v>
      </c>
      <c r="K325" s="161">
        <v>80</v>
      </c>
      <c r="L325" s="159">
        <v>80</v>
      </c>
      <c r="M325" s="160">
        <v>80</v>
      </c>
      <c r="N325" s="145">
        <v>160</v>
      </c>
      <c r="O325" s="156" t="s">
        <v>135</v>
      </c>
      <c r="P325" s="144" t="s">
        <v>2468</v>
      </c>
      <c r="Q325" s="147">
        <v>46935</v>
      </c>
      <c r="R325" s="146"/>
      <c r="S325" s="157"/>
      <c r="T325" s="144" t="s">
        <v>29</v>
      </c>
      <c r="U325" s="150" t="s">
        <v>20</v>
      </c>
      <c r="V325" s="146">
        <v>2680</v>
      </c>
      <c r="W325" s="148" t="s">
        <v>3116</v>
      </c>
      <c r="X325" s="149">
        <v>45689</v>
      </c>
      <c r="Y325" s="165" t="s">
        <v>2470</v>
      </c>
    </row>
    <row r="326" spans="1:25">
      <c r="A326" s="163" t="s">
        <v>7</v>
      </c>
      <c r="B326" s="144" t="s">
        <v>2463</v>
      </c>
      <c r="C326" s="164" t="s">
        <v>3117</v>
      </c>
      <c r="D326" s="144" t="s">
        <v>846</v>
      </c>
      <c r="E326" s="150" t="s">
        <v>2491</v>
      </c>
      <c r="F326" s="144" t="s">
        <v>2477</v>
      </c>
      <c r="G326" s="166"/>
      <c r="H326" s="151">
        <v>1</v>
      </c>
      <c r="I326" s="160"/>
      <c r="J326" s="159">
        <v>100</v>
      </c>
      <c r="K326" s="161"/>
      <c r="L326" s="159">
        <v>100</v>
      </c>
      <c r="M326" s="160">
        <v>100</v>
      </c>
      <c r="N326" s="145"/>
      <c r="O326" s="156" t="s">
        <v>135</v>
      </c>
      <c r="P326" s="144" t="s">
        <v>2478</v>
      </c>
      <c r="Q326" s="147"/>
      <c r="R326" s="146"/>
      <c r="S326" s="157"/>
      <c r="T326" s="144" t="s">
        <v>29</v>
      </c>
      <c r="U326" s="150" t="s">
        <v>2479</v>
      </c>
      <c r="V326" s="146">
        <v>2681</v>
      </c>
      <c r="W326" s="148" t="s">
        <v>3116</v>
      </c>
      <c r="X326" s="149">
        <v>45778</v>
      </c>
      <c r="Y326" s="165"/>
    </row>
    <row r="327" spans="1:25">
      <c r="A327" s="163" t="s">
        <v>7</v>
      </c>
      <c r="B327" s="144" t="s">
        <v>2463</v>
      </c>
      <c r="C327" s="164" t="s">
        <v>3117</v>
      </c>
      <c r="D327" s="144" t="s">
        <v>846</v>
      </c>
      <c r="E327" s="150" t="s">
        <v>2466</v>
      </c>
      <c r="F327" s="144" t="s">
        <v>2467</v>
      </c>
      <c r="G327" s="166"/>
      <c r="H327" s="151">
        <v>1</v>
      </c>
      <c r="I327" s="160">
        <v>80</v>
      </c>
      <c r="J327" s="159">
        <v>80</v>
      </c>
      <c r="K327" s="161">
        <v>80</v>
      </c>
      <c r="L327" s="159">
        <v>80</v>
      </c>
      <c r="M327" s="160">
        <v>80</v>
      </c>
      <c r="N327" s="145">
        <v>160</v>
      </c>
      <c r="O327" s="156" t="s">
        <v>135</v>
      </c>
      <c r="P327" s="144" t="s">
        <v>2468</v>
      </c>
      <c r="Q327" s="147"/>
      <c r="R327" s="146"/>
      <c r="S327" s="157"/>
      <c r="T327" s="144" t="s">
        <v>29</v>
      </c>
      <c r="U327" s="150" t="s">
        <v>20</v>
      </c>
      <c r="V327" s="146">
        <v>2681</v>
      </c>
      <c r="W327" s="148" t="s">
        <v>3116</v>
      </c>
      <c r="X327" s="149">
        <v>45778</v>
      </c>
      <c r="Y327" s="165"/>
    </row>
    <row r="328" spans="1:25">
      <c r="A328" s="163" t="s">
        <v>423</v>
      </c>
      <c r="B328" s="144" t="s">
        <v>163</v>
      </c>
      <c r="C328" s="164" t="s">
        <v>2248</v>
      </c>
      <c r="D328" s="144" t="s">
        <v>3118</v>
      </c>
      <c r="E328" s="150" t="s">
        <v>2485</v>
      </c>
      <c r="F328" s="144" t="s">
        <v>2486</v>
      </c>
      <c r="G328" s="166" t="s">
        <v>3119</v>
      </c>
      <c r="H328" s="151">
        <v>6</v>
      </c>
      <c r="I328" s="160">
        <v>3.3</v>
      </c>
      <c r="J328" s="159">
        <v>3.3</v>
      </c>
      <c r="K328" s="161">
        <v>19.8</v>
      </c>
      <c r="L328" s="159">
        <v>19.8</v>
      </c>
      <c r="M328" s="160">
        <v>19.8</v>
      </c>
      <c r="N328" s="145"/>
      <c r="O328" s="156" t="s">
        <v>166</v>
      </c>
      <c r="P328" s="144" t="s">
        <v>2480</v>
      </c>
      <c r="Q328" s="147"/>
      <c r="R328" s="146">
        <v>2036</v>
      </c>
      <c r="S328" s="157"/>
      <c r="T328" s="144" t="s">
        <v>25</v>
      </c>
      <c r="U328" s="150" t="s">
        <v>17</v>
      </c>
      <c r="V328" s="146">
        <v>1333</v>
      </c>
      <c r="W328" s="148"/>
      <c r="X328" s="149">
        <v>45566</v>
      </c>
      <c r="Y328" s="165" t="s">
        <v>2520</v>
      </c>
    </row>
    <row r="329" spans="1:25">
      <c r="A329" s="163" t="s">
        <v>309</v>
      </c>
      <c r="B329" s="144" t="s">
        <v>163</v>
      </c>
      <c r="C329" s="164" t="s">
        <v>1387</v>
      </c>
      <c r="D329" s="144" t="s">
        <v>1388</v>
      </c>
      <c r="E329" s="150" t="s">
        <v>2485</v>
      </c>
      <c r="F329" s="144" t="s">
        <v>2486</v>
      </c>
      <c r="G329" s="166" t="s">
        <v>1389</v>
      </c>
      <c r="H329" s="151">
        <v>32</v>
      </c>
      <c r="I329" s="160"/>
      <c r="J329" s="159">
        <v>3.83</v>
      </c>
      <c r="K329" s="161"/>
      <c r="L329" s="159">
        <v>122.56</v>
      </c>
      <c r="M329" s="160">
        <v>122.56</v>
      </c>
      <c r="N329" s="145"/>
      <c r="O329" s="156" t="s">
        <v>166</v>
      </c>
      <c r="P329" s="144" t="s">
        <v>2478</v>
      </c>
      <c r="Q329" s="147">
        <v>44652</v>
      </c>
      <c r="R329" s="146">
        <v>2044</v>
      </c>
      <c r="S329" s="157"/>
      <c r="T329" s="144" t="s">
        <v>25</v>
      </c>
      <c r="U329" s="150" t="s">
        <v>17</v>
      </c>
      <c r="V329" s="146">
        <v>1057</v>
      </c>
      <c r="W329" s="148"/>
      <c r="X329" s="149">
        <v>45689</v>
      </c>
      <c r="Y329" s="165" t="s">
        <v>2609</v>
      </c>
    </row>
    <row r="330" spans="1:25">
      <c r="A330" s="163" t="s">
        <v>309</v>
      </c>
      <c r="B330" s="144" t="s">
        <v>163</v>
      </c>
      <c r="C330" s="164" t="s">
        <v>1387</v>
      </c>
      <c r="D330" s="144" t="s">
        <v>1388</v>
      </c>
      <c r="E330" s="150" t="s">
        <v>2485</v>
      </c>
      <c r="F330" s="144" t="s">
        <v>2486</v>
      </c>
      <c r="G330" s="166" t="s">
        <v>1389</v>
      </c>
      <c r="H330" s="151">
        <v>91</v>
      </c>
      <c r="I330" s="160"/>
      <c r="J330" s="159">
        <v>3.63</v>
      </c>
      <c r="K330" s="161"/>
      <c r="L330" s="159">
        <v>330.33</v>
      </c>
      <c r="M330" s="160">
        <v>330.33</v>
      </c>
      <c r="N330" s="145"/>
      <c r="O330" s="156" t="s">
        <v>166</v>
      </c>
      <c r="P330" s="144" t="s">
        <v>2478</v>
      </c>
      <c r="Q330" s="147">
        <v>44652</v>
      </c>
      <c r="R330" s="146">
        <v>2044</v>
      </c>
      <c r="S330" s="157"/>
      <c r="T330" s="144" t="s">
        <v>25</v>
      </c>
      <c r="U330" s="150" t="s">
        <v>17</v>
      </c>
      <c r="V330" s="146">
        <v>1057</v>
      </c>
      <c r="W330" s="148"/>
      <c r="X330" s="149">
        <v>45689</v>
      </c>
      <c r="Y330" s="165" t="s">
        <v>2609</v>
      </c>
    </row>
    <row r="331" spans="1:25">
      <c r="A331" s="163" t="s">
        <v>309</v>
      </c>
      <c r="B331" s="144" t="s">
        <v>2463</v>
      </c>
      <c r="C331" s="164" t="s">
        <v>3120</v>
      </c>
      <c r="D331" s="144" t="s">
        <v>3121</v>
      </c>
      <c r="E331" s="150" t="s">
        <v>2466</v>
      </c>
      <c r="F331" s="144" t="s">
        <v>2477</v>
      </c>
      <c r="G331" s="166"/>
      <c r="H331" s="151">
        <v>1</v>
      </c>
      <c r="I331" s="160"/>
      <c r="J331" s="159">
        <v>100</v>
      </c>
      <c r="K331" s="161"/>
      <c r="L331" s="159">
        <v>100</v>
      </c>
      <c r="M331" s="160">
        <v>100</v>
      </c>
      <c r="N331" s="145">
        <v>400</v>
      </c>
      <c r="O331" s="156" t="s">
        <v>135</v>
      </c>
      <c r="P331" s="144" t="s">
        <v>2468</v>
      </c>
      <c r="Q331" s="147"/>
      <c r="R331" s="146"/>
      <c r="S331" s="157"/>
      <c r="T331" s="144" t="s">
        <v>29</v>
      </c>
      <c r="U331" s="150" t="s">
        <v>20</v>
      </c>
      <c r="V331" s="146">
        <v>2632</v>
      </c>
      <c r="W331" s="148"/>
      <c r="X331" s="149">
        <v>45778</v>
      </c>
      <c r="Y331" s="165"/>
    </row>
    <row r="332" spans="1:25">
      <c r="A332" s="163" t="s">
        <v>7</v>
      </c>
      <c r="B332" s="144" t="s">
        <v>163</v>
      </c>
      <c r="C332" s="164" t="s">
        <v>3122</v>
      </c>
      <c r="D332" s="144" t="s">
        <v>296</v>
      </c>
      <c r="E332" s="150" t="s">
        <v>2593</v>
      </c>
      <c r="F332" s="144" t="s">
        <v>2482</v>
      </c>
      <c r="G332" s="166" t="s">
        <v>3123</v>
      </c>
      <c r="H332" s="151">
        <v>1</v>
      </c>
      <c r="I332" s="160">
        <v>20</v>
      </c>
      <c r="J332" s="159">
        <v>20</v>
      </c>
      <c r="K332" s="161">
        <v>20</v>
      </c>
      <c r="L332" s="159">
        <v>20</v>
      </c>
      <c r="M332" s="160">
        <v>20</v>
      </c>
      <c r="N332" s="145"/>
      <c r="O332" s="156" t="s">
        <v>166</v>
      </c>
      <c r="P332" s="144" t="s">
        <v>2480</v>
      </c>
      <c r="Q332" s="147"/>
      <c r="R332" s="146"/>
      <c r="S332" s="157"/>
      <c r="T332" s="144" t="s">
        <v>25</v>
      </c>
      <c r="U332" s="150" t="s">
        <v>18</v>
      </c>
      <c r="V332" s="146">
        <v>1058</v>
      </c>
      <c r="W332" s="148"/>
      <c r="X332" s="149">
        <v>45566</v>
      </c>
      <c r="Y332" s="165" t="s">
        <v>2558</v>
      </c>
    </row>
    <row r="333" spans="1:25">
      <c r="A333" s="163" t="s">
        <v>7</v>
      </c>
      <c r="B333" s="144" t="s">
        <v>2463</v>
      </c>
      <c r="C333" s="164" t="s">
        <v>834</v>
      </c>
      <c r="D333" s="144" t="s">
        <v>835</v>
      </c>
      <c r="E333" s="150" t="s">
        <v>2485</v>
      </c>
      <c r="F333" s="144" t="s">
        <v>2486</v>
      </c>
      <c r="G333" s="166"/>
      <c r="H333" s="151">
        <v>69</v>
      </c>
      <c r="I333" s="160">
        <v>4.2</v>
      </c>
      <c r="J333" s="159">
        <v>4.2</v>
      </c>
      <c r="K333" s="161">
        <v>289.8</v>
      </c>
      <c r="L333" s="159">
        <v>289.8</v>
      </c>
      <c r="M333" s="160">
        <v>289.8</v>
      </c>
      <c r="N333" s="145"/>
      <c r="O333" s="156" t="s">
        <v>28</v>
      </c>
      <c r="P333" s="144" t="s">
        <v>2478</v>
      </c>
      <c r="Q333" s="147">
        <v>46631</v>
      </c>
      <c r="R333" s="146">
        <v>2057</v>
      </c>
      <c r="S333" s="157"/>
      <c r="T333" s="144" t="s">
        <v>28</v>
      </c>
      <c r="U333" s="150" t="s">
        <v>17</v>
      </c>
      <c r="V333" s="146">
        <v>1581</v>
      </c>
      <c r="W333" s="148" t="s">
        <v>3124</v>
      </c>
      <c r="X333" s="149">
        <v>45901</v>
      </c>
      <c r="Y333" s="165" t="s">
        <v>2671</v>
      </c>
    </row>
    <row r="334" spans="1:25">
      <c r="A334" s="163" t="s">
        <v>423</v>
      </c>
      <c r="B334" s="144" t="s">
        <v>2463</v>
      </c>
      <c r="C334" s="164" t="s">
        <v>3125</v>
      </c>
      <c r="D334" s="144" t="s">
        <v>3126</v>
      </c>
      <c r="E334" s="150" t="s">
        <v>2466</v>
      </c>
      <c r="F334" s="144" t="s">
        <v>2467</v>
      </c>
      <c r="G334" s="166"/>
      <c r="H334" s="151">
        <v>1</v>
      </c>
      <c r="I334" s="160">
        <v>400</v>
      </c>
      <c r="J334" s="159">
        <v>400</v>
      </c>
      <c r="K334" s="161">
        <v>400</v>
      </c>
      <c r="L334" s="159">
        <v>400</v>
      </c>
      <c r="M334" s="160">
        <v>400</v>
      </c>
      <c r="N334" s="145">
        <v>0</v>
      </c>
      <c r="O334" s="156" t="s">
        <v>135</v>
      </c>
      <c r="P334" s="144" t="s">
        <v>2468</v>
      </c>
      <c r="Q334" s="147"/>
      <c r="R334" s="146"/>
      <c r="S334" s="157"/>
      <c r="T334" s="144" t="s">
        <v>29</v>
      </c>
      <c r="U334" s="150" t="s">
        <v>20</v>
      </c>
      <c r="V334" s="146">
        <v>2616</v>
      </c>
      <c r="W334" s="148" t="s">
        <v>3127</v>
      </c>
      <c r="X334" s="149">
        <v>45901</v>
      </c>
      <c r="Y334" s="165" t="s">
        <v>3128</v>
      </c>
    </row>
    <row r="335" spans="1:25">
      <c r="A335" s="163" t="s">
        <v>423</v>
      </c>
      <c r="B335" s="144" t="s">
        <v>2463</v>
      </c>
      <c r="C335" s="164" t="s">
        <v>3129</v>
      </c>
      <c r="D335" s="144" t="s">
        <v>3126</v>
      </c>
      <c r="E335" s="150" t="s">
        <v>2476</v>
      </c>
      <c r="F335" s="144" t="s">
        <v>2477</v>
      </c>
      <c r="G335" s="166"/>
      <c r="H335" s="151">
        <v>1</v>
      </c>
      <c r="I335" s="160">
        <v>400</v>
      </c>
      <c r="J335" s="159">
        <v>400</v>
      </c>
      <c r="K335" s="161">
        <v>400</v>
      </c>
      <c r="L335" s="159">
        <v>400</v>
      </c>
      <c r="M335" s="160">
        <v>400</v>
      </c>
      <c r="N335" s="145"/>
      <c r="O335" s="156" t="s">
        <v>135</v>
      </c>
      <c r="P335" s="144" t="s">
        <v>2478</v>
      </c>
      <c r="Q335" s="147"/>
      <c r="R335" s="146"/>
      <c r="S335" s="157"/>
      <c r="T335" s="144" t="s">
        <v>29</v>
      </c>
      <c r="U335" s="150" t="s">
        <v>2479</v>
      </c>
      <c r="V335" s="146">
        <v>2615</v>
      </c>
      <c r="W335" s="148" t="s">
        <v>3127</v>
      </c>
      <c r="X335" s="149">
        <v>45901</v>
      </c>
      <c r="Y335" s="165" t="s">
        <v>3128</v>
      </c>
    </row>
    <row r="336" spans="1:25">
      <c r="A336" s="163" t="s">
        <v>7</v>
      </c>
      <c r="B336" s="144" t="s">
        <v>163</v>
      </c>
      <c r="C336" s="164" t="s">
        <v>837</v>
      </c>
      <c r="D336" s="144" t="s">
        <v>838</v>
      </c>
      <c r="E336" s="150" t="s">
        <v>2491</v>
      </c>
      <c r="F336" s="144" t="s">
        <v>2477</v>
      </c>
      <c r="G336" s="166" t="s">
        <v>839</v>
      </c>
      <c r="H336" s="151">
        <v>22</v>
      </c>
      <c r="I336" s="160">
        <v>1.64</v>
      </c>
      <c r="J336" s="159">
        <v>1.64</v>
      </c>
      <c r="K336" s="161">
        <v>36.01</v>
      </c>
      <c r="L336" s="159">
        <v>36.01</v>
      </c>
      <c r="M336" s="160">
        <v>36.01</v>
      </c>
      <c r="N336" s="145"/>
      <c r="O336" s="156" t="s">
        <v>166</v>
      </c>
      <c r="P336" s="144" t="s">
        <v>2478</v>
      </c>
      <c r="Q336" s="147">
        <v>44440</v>
      </c>
      <c r="R336" s="146">
        <v>2051</v>
      </c>
      <c r="S336" s="157"/>
      <c r="T336" s="144" t="s">
        <v>25</v>
      </c>
      <c r="U336" s="150" t="s">
        <v>2479</v>
      </c>
      <c r="V336" s="146">
        <v>1520</v>
      </c>
      <c r="W336" s="148"/>
      <c r="X336" s="149">
        <v>45689</v>
      </c>
      <c r="Y336" s="165" t="s">
        <v>2474</v>
      </c>
    </row>
    <row r="337" spans="1:25">
      <c r="A337" s="163" t="s">
        <v>423</v>
      </c>
      <c r="B337" s="144" t="s">
        <v>2463</v>
      </c>
      <c r="C337" s="164" t="s">
        <v>3130</v>
      </c>
      <c r="D337" s="144" t="s">
        <v>3131</v>
      </c>
      <c r="E337" s="150" t="s">
        <v>2466</v>
      </c>
      <c r="F337" s="144" t="s">
        <v>2467</v>
      </c>
      <c r="G337" s="166"/>
      <c r="H337" s="151">
        <v>1</v>
      </c>
      <c r="I337" s="160">
        <v>150</v>
      </c>
      <c r="J337" s="159">
        <v>150</v>
      </c>
      <c r="K337" s="161">
        <v>150</v>
      </c>
      <c r="L337" s="159">
        <v>150</v>
      </c>
      <c r="M337" s="160">
        <v>150</v>
      </c>
      <c r="N337" s="145">
        <v>0</v>
      </c>
      <c r="O337" s="156" t="s">
        <v>135</v>
      </c>
      <c r="P337" s="144" t="s">
        <v>2468</v>
      </c>
      <c r="Q337" s="147"/>
      <c r="R337" s="146"/>
      <c r="S337" s="157"/>
      <c r="T337" s="144" t="s">
        <v>29</v>
      </c>
      <c r="U337" s="150" t="s">
        <v>20</v>
      </c>
      <c r="V337" s="146">
        <v>2332</v>
      </c>
      <c r="W337" s="148" t="s">
        <v>3132</v>
      </c>
      <c r="X337" s="149">
        <v>45901</v>
      </c>
      <c r="Y337" s="165" t="s">
        <v>3133</v>
      </c>
    </row>
    <row r="338" spans="1:25">
      <c r="A338" s="163" t="s">
        <v>7</v>
      </c>
      <c r="B338" s="144" t="s">
        <v>163</v>
      </c>
      <c r="C338" s="164" t="s">
        <v>1821</v>
      </c>
      <c r="D338" s="144" t="s">
        <v>1822</v>
      </c>
      <c r="E338" s="150" t="s">
        <v>2485</v>
      </c>
      <c r="F338" s="144" t="s">
        <v>2486</v>
      </c>
      <c r="G338" s="166" t="s">
        <v>3134</v>
      </c>
      <c r="H338" s="151">
        <v>28</v>
      </c>
      <c r="I338" s="160">
        <v>3.43</v>
      </c>
      <c r="J338" s="159">
        <v>3.43</v>
      </c>
      <c r="K338" s="161">
        <v>96.04</v>
      </c>
      <c r="L338" s="159">
        <v>96.04</v>
      </c>
      <c r="M338" s="160">
        <v>96.04</v>
      </c>
      <c r="N338" s="145"/>
      <c r="O338" s="156" t="s">
        <v>166</v>
      </c>
      <c r="P338" s="144" t="s">
        <v>2478</v>
      </c>
      <c r="Q338" s="147">
        <v>43344</v>
      </c>
      <c r="R338" s="146">
        <v>2043</v>
      </c>
      <c r="S338" s="157"/>
      <c r="T338" s="144" t="s">
        <v>25</v>
      </c>
      <c r="U338" s="150" t="s">
        <v>17</v>
      </c>
      <c r="V338" s="146">
        <v>1061</v>
      </c>
      <c r="W338" s="148"/>
      <c r="X338" s="149">
        <v>45901</v>
      </c>
      <c r="Y338" s="165" t="s">
        <v>3006</v>
      </c>
    </row>
    <row r="339" spans="1:25">
      <c r="A339" s="163" t="s">
        <v>7</v>
      </c>
      <c r="B339" s="144" t="s">
        <v>163</v>
      </c>
      <c r="C339" s="164" t="s">
        <v>277</v>
      </c>
      <c r="D339" s="144" t="s">
        <v>278</v>
      </c>
      <c r="E339" s="150" t="s">
        <v>2485</v>
      </c>
      <c r="F339" s="144" t="s">
        <v>2486</v>
      </c>
      <c r="G339" s="166" t="s">
        <v>279</v>
      </c>
      <c r="H339" s="151">
        <v>16</v>
      </c>
      <c r="I339" s="160"/>
      <c r="J339" s="159">
        <v>3.6</v>
      </c>
      <c r="K339" s="161"/>
      <c r="L339" s="159">
        <v>57.6</v>
      </c>
      <c r="M339" s="160">
        <v>57.6</v>
      </c>
      <c r="N339" s="145"/>
      <c r="O339" s="156" t="s">
        <v>166</v>
      </c>
      <c r="P339" s="144" t="s">
        <v>2478</v>
      </c>
      <c r="Q339" s="147">
        <v>45597</v>
      </c>
      <c r="R339" s="146">
        <v>2054</v>
      </c>
      <c r="S339" s="157"/>
      <c r="T339" s="144" t="s">
        <v>25</v>
      </c>
      <c r="U339" s="150" t="s">
        <v>17</v>
      </c>
      <c r="V339" s="146">
        <v>1062</v>
      </c>
      <c r="W339" s="148" t="s">
        <v>3135</v>
      </c>
      <c r="X339" s="149">
        <v>45901</v>
      </c>
      <c r="Y339" s="165" t="s">
        <v>3006</v>
      </c>
    </row>
    <row r="340" spans="1:25">
      <c r="A340" s="163" t="s">
        <v>309</v>
      </c>
      <c r="B340" s="144" t="s">
        <v>2463</v>
      </c>
      <c r="C340" s="164" t="s">
        <v>3136</v>
      </c>
      <c r="D340" s="144" t="s">
        <v>3137</v>
      </c>
      <c r="E340" s="150" t="s">
        <v>2476</v>
      </c>
      <c r="F340" s="144" t="s">
        <v>2477</v>
      </c>
      <c r="G340" s="166"/>
      <c r="H340" s="151">
        <v>1</v>
      </c>
      <c r="I340" s="160">
        <v>650</v>
      </c>
      <c r="J340" s="159">
        <v>650</v>
      </c>
      <c r="K340" s="161">
        <v>650</v>
      </c>
      <c r="L340" s="159">
        <v>650</v>
      </c>
      <c r="M340" s="160">
        <v>650</v>
      </c>
      <c r="N340" s="145"/>
      <c r="O340" s="156" t="s">
        <v>135</v>
      </c>
      <c r="P340" s="144" t="s">
        <v>2478</v>
      </c>
      <c r="Q340" s="147"/>
      <c r="R340" s="146"/>
      <c r="S340" s="157"/>
      <c r="T340" s="144" t="s">
        <v>29</v>
      </c>
      <c r="U340" s="150" t="s">
        <v>2479</v>
      </c>
      <c r="V340" s="146">
        <v>2273</v>
      </c>
      <c r="W340" s="148" t="s">
        <v>3138</v>
      </c>
      <c r="X340" s="149">
        <v>45901</v>
      </c>
      <c r="Y340" s="165" t="s">
        <v>3139</v>
      </c>
    </row>
    <row r="341" spans="1:25">
      <c r="A341" s="163" t="s">
        <v>423</v>
      </c>
      <c r="B341" s="144" t="s">
        <v>163</v>
      </c>
      <c r="C341" s="164" t="s">
        <v>1060</v>
      </c>
      <c r="D341" s="144" t="s">
        <v>1061</v>
      </c>
      <c r="E341" s="150" t="s">
        <v>2485</v>
      </c>
      <c r="F341" s="144" t="s">
        <v>2486</v>
      </c>
      <c r="G341" s="166" t="s">
        <v>1062</v>
      </c>
      <c r="H341" s="151">
        <v>39</v>
      </c>
      <c r="I341" s="160"/>
      <c r="J341" s="159">
        <v>2.0499999999999998</v>
      </c>
      <c r="K341" s="161"/>
      <c r="L341" s="159">
        <v>79.95</v>
      </c>
      <c r="M341" s="160">
        <v>79.95</v>
      </c>
      <c r="N341" s="145"/>
      <c r="O341" s="156" t="s">
        <v>166</v>
      </c>
      <c r="P341" s="144" t="s">
        <v>2478</v>
      </c>
      <c r="Q341" s="147"/>
      <c r="R341" s="146">
        <v>2044</v>
      </c>
      <c r="S341" s="157"/>
      <c r="T341" s="144" t="s">
        <v>25</v>
      </c>
      <c r="U341" s="150" t="s">
        <v>17</v>
      </c>
      <c r="V341" s="146">
        <v>1566</v>
      </c>
      <c r="W341" s="148"/>
      <c r="X341" s="149">
        <v>45778</v>
      </c>
      <c r="Y341" s="165" t="s">
        <v>2637</v>
      </c>
    </row>
    <row r="342" spans="1:25">
      <c r="A342" s="163" t="s">
        <v>309</v>
      </c>
      <c r="B342" s="144" t="s">
        <v>2463</v>
      </c>
      <c r="C342" s="164" t="s">
        <v>3140</v>
      </c>
      <c r="D342" s="144" t="s">
        <v>473</v>
      </c>
      <c r="E342" s="150" t="s">
        <v>2476</v>
      </c>
      <c r="F342" s="144" t="s">
        <v>2477</v>
      </c>
      <c r="G342" s="166"/>
      <c r="H342" s="151">
        <v>1</v>
      </c>
      <c r="I342" s="160">
        <v>500</v>
      </c>
      <c r="J342" s="159">
        <v>500</v>
      </c>
      <c r="K342" s="161">
        <v>500</v>
      </c>
      <c r="L342" s="159">
        <v>500</v>
      </c>
      <c r="M342" s="160">
        <v>500</v>
      </c>
      <c r="N342" s="145"/>
      <c r="O342" s="156" t="s">
        <v>135</v>
      </c>
      <c r="P342" s="144" t="s">
        <v>2478</v>
      </c>
      <c r="Q342" s="147"/>
      <c r="R342" s="146"/>
      <c r="S342" s="157"/>
      <c r="T342" s="144" t="s">
        <v>29</v>
      </c>
      <c r="U342" s="150" t="s">
        <v>2479</v>
      </c>
      <c r="V342" s="146">
        <v>3064</v>
      </c>
      <c r="W342" s="148" t="s">
        <v>3141</v>
      </c>
      <c r="X342" s="149">
        <v>45901</v>
      </c>
      <c r="Y342" s="165" t="s">
        <v>3142</v>
      </c>
    </row>
    <row r="343" spans="1:25">
      <c r="A343" s="163" t="s">
        <v>309</v>
      </c>
      <c r="B343" s="144" t="s">
        <v>2463</v>
      </c>
      <c r="C343" s="164" t="s">
        <v>3140</v>
      </c>
      <c r="D343" s="144" t="s">
        <v>473</v>
      </c>
      <c r="E343" s="150" t="s">
        <v>2466</v>
      </c>
      <c r="F343" s="144" t="s">
        <v>2477</v>
      </c>
      <c r="G343" s="166"/>
      <c r="H343" s="151">
        <v>1</v>
      </c>
      <c r="I343" s="160">
        <v>500</v>
      </c>
      <c r="J343" s="159">
        <v>500</v>
      </c>
      <c r="K343" s="161">
        <v>500</v>
      </c>
      <c r="L343" s="159">
        <v>500</v>
      </c>
      <c r="M343" s="160">
        <v>500</v>
      </c>
      <c r="N343" s="145">
        <v>0</v>
      </c>
      <c r="O343" s="156" t="s">
        <v>135</v>
      </c>
      <c r="P343" s="144" t="s">
        <v>2468</v>
      </c>
      <c r="Q343" s="147"/>
      <c r="R343" s="146"/>
      <c r="S343" s="157"/>
      <c r="T343" s="144" t="s">
        <v>29</v>
      </c>
      <c r="U343" s="150" t="s">
        <v>20</v>
      </c>
      <c r="V343" s="146">
        <v>3064</v>
      </c>
      <c r="W343" s="148" t="s">
        <v>3141</v>
      </c>
      <c r="X343" s="149">
        <v>45901</v>
      </c>
      <c r="Y343" s="165" t="s">
        <v>3142</v>
      </c>
    </row>
    <row r="344" spans="1:25">
      <c r="A344" s="163" t="s">
        <v>7</v>
      </c>
      <c r="B344" s="144" t="s">
        <v>163</v>
      </c>
      <c r="C344" s="164" t="s">
        <v>1584</v>
      </c>
      <c r="D344" s="144" t="s">
        <v>1585</v>
      </c>
      <c r="E344" s="150" t="s">
        <v>2485</v>
      </c>
      <c r="F344" s="144" t="s">
        <v>2486</v>
      </c>
      <c r="G344" s="166" t="s">
        <v>1586</v>
      </c>
      <c r="H344" s="151">
        <v>37</v>
      </c>
      <c r="I344" s="160">
        <v>3.6</v>
      </c>
      <c r="J344" s="159">
        <v>3.83</v>
      </c>
      <c r="K344" s="161">
        <v>133.19999999999999</v>
      </c>
      <c r="L344" s="159">
        <v>141.71</v>
      </c>
      <c r="M344" s="160">
        <v>141.71</v>
      </c>
      <c r="N344" s="145"/>
      <c r="O344" s="156" t="s">
        <v>166</v>
      </c>
      <c r="P344" s="144" t="s">
        <v>2478</v>
      </c>
      <c r="Q344" s="147">
        <v>44713</v>
      </c>
      <c r="R344" s="146">
        <v>2041</v>
      </c>
      <c r="S344" s="157"/>
      <c r="T344" s="144" t="s">
        <v>25</v>
      </c>
      <c r="U344" s="150" t="s">
        <v>17</v>
      </c>
      <c r="V344" s="146">
        <v>1281</v>
      </c>
      <c r="W344" s="148"/>
      <c r="X344" s="149">
        <v>45689</v>
      </c>
      <c r="Y344" s="165" t="s">
        <v>2590</v>
      </c>
    </row>
    <row r="345" spans="1:25">
      <c r="A345" s="163" t="s">
        <v>7</v>
      </c>
      <c r="B345" s="144" t="s">
        <v>163</v>
      </c>
      <c r="C345" s="164" t="s">
        <v>494</v>
      </c>
      <c r="D345" s="144" t="s">
        <v>495</v>
      </c>
      <c r="E345" s="150" t="s">
        <v>2491</v>
      </c>
      <c r="F345" s="144" t="s">
        <v>2477</v>
      </c>
      <c r="G345" s="166" t="s">
        <v>496</v>
      </c>
      <c r="H345" s="151">
        <v>111</v>
      </c>
      <c r="I345" s="160">
        <v>0</v>
      </c>
      <c r="J345" s="159">
        <v>3.15</v>
      </c>
      <c r="K345" s="161">
        <v>0.22</v>
      </c>
      <c r="L345" s="159">
        <v>349.98</v>
      </c>
      <c r="M345" s="160" t="s">
        <v>3143</v>
      </c>
      <c r="N345" s="145"/>
      <c r="O345" s="156" t="s">
        <v>164</v>
      </c>
      <c r="P345" s="144" t="s">
        <v>2478</v>
      </c>
      <c r="Q345" s="147">
        <v>45870</v>
      </c>
      <c r="R345" s="146">
        <v>2060</v>
      </c>
      <c r="S345" s="157"/>
      <c r="T345" s="144" t="s">
        <v>25</v>
      </c>
      <c r="U345" s="150" t="s">
        <v>2479</v>
      </c>
      <c r="V345" s="146">
        <v>2630</v>
      </c>
      <c r="W345" s="148"/>
      <c r="X345" s="149">
        <v>45901</v>
      </c>
      <c r="Y345" s="165" t="s">
        <v>2578</v>
      </c>
    </row>
    <row r="346" spans="1:25">
      <c r="A346" s="163" t="s">
        <v>7</v>
      </c>
      <c r="B346" s="144" t="s">
        <v>163</v>
      </c>
      <c r="C346" s="164" t="s">
        <v>3144</v>
      </c>
      <c r="D346" s="144" t="s">
        <v>3145</v>
      </c>
      <c r="E346" s="150" t="s">
        <v>2485</v>
      </c>
      <c r="F346" s="144" t="s">
        <v>2486</v>
      </c>
      <c r="G346" s="166" t="s">
        <v>3146</v>
      </c>
      <c r="H346" s="151">
        <v>15</v>
      </c>
      <c r="I346" s="160">
        <v>2</v>
      </c>
      <c r="J346" s="159">
        <v>2</v>
      </c>
      <c r="K346" s="161">
        <v>30</v>
      </c>
      <c r="L346" s="159">
        <v>30</v>
      </c>
      <c r="M346" s="160">
        <v>30</v>
      </c>
      <c r="N346" s="145"/>
      <c r="O346" s="156" t="s">
        <v>166</v>
      </c>
      <c r="P346" s="144" t="s">
        <v>2480</v>
      </c>
      <c r="Q346" s="147"/>
      <c r="R346" s="146">
        <v>2038</v>
      </c>
      <c r="S346" s="157"/>
      <c r="T346" s="144" t="s">
        <v>25</v>
      </c>
      <c r="U346" s="150" t="s">
        <v>17</v>
      </c>
      <c r="V346" s="146">
        <v>1064</v>
      </c>
      <c r="W346" s="148"/>
      <c r="X346" s="149">
        <v>45901</v>
      </c>
      <c r="Y346" s="165" t="s">
        <v>2490</v>
      </c>
    </row>
    <row r="347" spans="1:25">
      <c r="A347" s="163" t="s">
        <v>380</v>
      </c>
      <c r="B347" s="144" t="s">
        <v>2463</v>
      </c>
      <c r="C347" s="164" t="s">
        <v>876</v>
      </c>
      <c r="D347" s="144" t="s">
        <v>877</v>
      </c>
      <c r="E347" s="150" t="s">
        <v>2491</v>
      </c>
      <c r="F347" s="144" t="s">
        <v>2477</v>
      </c>
      <c r="G347" s="166"/>
      <c r="H347" s="151">
        <v>104</v>
      </c>
      <c r="I347" s="160">
        <v>0</v>
      </c>
      <c r="J347" s="159">
        <v>3.44</v>
      </c>
      <c r="K347" s="161">
        <v>0</v>
      </c>
      <c r="L347" s="159">
        <v>357.45</v>
      </c>
      <c r="M347" s="160">
        <v>357.45</v>
      </c>
      <c r="N347" s="145"/>
      <c r="O347" s="156" t="s">
        <v>135</v>
      </c>
      <c r="P347" s="144" t="s">
        <v>2478</v>
      </c>
      <c r="Q347" s="147">
        <v>47453</v>
      </c>
      <c r="R347" s="146">
        <v>2055</v>
      </c>
      <c r="S347" s="157"/>
      <c r="T347" s="144" t="s">
        <v>29</v>
      </c>
      <c r="U347" s="150" t="s">
        <v>2479</v>
      </c>
      <c r="V347" s="146">
        <v>1886</v>
      </c>
      <c r="W347" s="148"/>
      <c r="X347" s="149">
        <v>45689</v>
      </c>
      <c r="Y347" s="165" t="s">
        <v>2787</v>
      </c>
    </row>
    <row r="348" spans="1:25">
      <c r="A348" s="163" t="s">
        <v>309</v>
      </c>
      <c r="B348" s="144" t="s">
        <v>2463</v>
      </c>
      <c r="C348" s="164" t="s">
        <v>3147</v>
      </c>
      <c r="D348" s="144" t="s">
        <v>3148</v>
      </c>
      <c r="E348" s="150" t="s">
        <v>2476</v>
      </c>
      <c r="F348" s="144" t="s">
        <v>2477</v>
      </c>
      <c r="G348" s="166"/>
      <c r="H348" s="151">
        <v>1</v>
      </c>
      <c r="I348" s="160">
        <v>4.9400000000000004</v>
      </c>
      <c r="J348" s="159">
        <v>4.9400000000000004</v>
      </c>
      <c r="K348" s="161">
        <v>4.9400000000000004</v>
      </c>
      <c r="L348" s="159">
        <v>4.9400000000000004</v>
      </c>
      <c r="M348" s="160">
        <v>4.9400000000000004</v>
      </c>
      <c r="N348" s="145"/>
      <c r="O348" s="156" t="s">
        <v>135</v>
      </c>
      <c r="P348" s="144" t="s">
        <v>2480</v>
      </c>
      <c r="Q348" s="147"/>
      <c r="R348" s="146">
        <v>2042</v>
      </c>
      <c r="S348" s="157"/>
      <c r="T348" s="144" t="s">
        <v>29</v>
      </c>
      <c r="U348" s="150" t="s">
        <v>2479</v>
      </c>
      <c r="V348" s="146">
        <v>1412</v>
      </c>
      <c r="W348" s="148"/>
      <c r="X348" s="149">
        <v>44805</v>
      </c>
      <c r="Y348" s="165" t="s">
        <v>3149</v>
      </c>
    </row>
    <row r="349" spans="1:25">
      <c r="A349" s="163" t="s">
        <v>380</v>
      </c>
      <c r="B349" s="144" t="s">
        <v>163</v>
      </c>
      <c r="C349" s="164" t="s">
        <v>3150</v>
      </c>
      <c r="D349" s="144" t="s">
        <v>3151</v>
      </c>
      <c r="E349" s="150" t="s">
        <v>2466</v>
      </c>
      <c r="F349" s="144" t="s">
        <v>2467</v>
      </c>
      <c r="G349" s="166" t="s">
        <v>3152</v>
      </c>
      <c r="H349" s="151">
        <v>12</v>
      </c>
      <c r="I349" s="160"/>
      <c r="J349" s="159">
        <v>2.5</v>
      </c>
      <c r="K349" s="161"/>
      <c r="L349" s="159">
        <v>30</v>
      </c>
      <c r="M349" s="160">
        <v>30</v>
      </c>
      <c r="N349" s="145">
        <v>9</v>
      </c>
      <c r="O349" s="156" t="s">
        <v>166</v>
      </c>
      <c r="P349" s="144" t="s">
        <v>2468</v>
      </c>
      <c r="Q349" s="147"/>
      <c r="R349" s="146">
        <v>2030</v>
      </c>
      <c r="S349" s="157"/>
      <c r="T349" s="144" t="s">
        <v>25</v>
      </c>
      <c r="U349" s="150" t="s">
        <v>20</v>
      </c>
      <c r="V349" s="146">
        <v>1553</v>
      </c>
      <c r="W349" s="148"/>
      <c r="X349" s="149">
        <v>45689</v>
      </c>
      <c r="Y349" s="165" t="s">
        <v>2558</v>
      </c>
    </row>
    <row r="350" spans="1:25">
      <c r="A350" s="163" t="s">
        <v>423</v>
      </c>
      <c r="B350" s="144" t="s">
        <v>2463</v>
      </c>
      <c r="C350" s="164" t="s">
        <v>3153</v>
      </c>
      <c r="D350" s="144" t="s">
        <v>236</v>
      </c>
      <c r="E350" s="150" t="s">
        <v>2466</v>
      </c>
      <c r="F350" s="144" t="s">
        <v>2467</v>
      </c>
      <c r="G350" s="166"/>
      <c r="H350" s="151">
        <v>1</v>
      </c>
      <c r="I350" s="160"/>
      <c r="J350" s="159">
        <v>250</v>
      </c>
      <c r="K350" s="161"/>
      <c r="L350" s="159">
        <v>250</v>
      </c>
      <c r="M350" s="160">
        <v>250</v>
      </c>
      <c r="N350" s="145">
        <v>500</v>
      </c>
      <c r="O350" s="156" t="s">
        <v>135</v>
      </c>
      <c r="P350" s="144" t="s">
        <v>2468</v>
      </c>
      <c r="Q350" s="147"/>
      <c r="R350" s="146"/>
      <c r="S350" s="157"/>
      <c r="T350" s="144" t="s">
        <v>29</v>
      </c>
      <c r="U350" s="150" t="s">
        <v>20</v>
      </c>
      <c r="V350" s="146">
        <v>1931</v>
      </c>
      <c r="W350" s="148" t="s">
        <v>3154</v>
      </c>
      <c r="X350" s="149">
        <v>45689</v>
      </c>
      <c r="Y350" s="165" t="s">
        <v>2538</v>
      </c>
    </row>
    <row r="351" spans="1:25">
      <c r="A351" s="163" t="s">
        <v>7</v>
      </c>
      <c r="B351" s="144" t="s">
        <v>2463</v>
      </c>
      <c r="C351" s="164" t="s">
        <v>3155</v>
      </c>
      <c r="D351" s="144" t="s">
        <v>450</v>
      </c>
      <c r="E351" s="150" t="s">
        <v>2491</v>
      </c>
      <c r="F351" s="144" t="s">
        <v>2477</v>
      </c>
      <c r="G351" s="166"/>
      <c r="H351" s="151">
        <v>1</v>
      </c>
      <c r="I351" s="160"/>
      <c r="J351" s="159">
        <v>4.2</v>
      </c>
      <c r="K351" s="161"/>
      <c r="L351" s="159">
        <v>4.2</v>
      </c>
      <c r="M351" s="160">
        <v>4.2</v>
      </c>
      <c r="N351" s="145"/>
      <c r="O351" s="156" t="s">
        <v>135</v>
      </c>
      <c r="P351" s="144" t="s">
        <v>2478</v>
      </c>
      <c r="Q351" s="147"/>
      <c r="R351" s="146"/>
      <c r="S351" s="157"/>
      <c r="T351" s="144" t="s">
        <v>29</v>
      </c>
      <c r="U351" s="150" t="s">
        <v>2479</v>
      </c>
      <c r="V351" s="146">
        <v>2747</v>
      </c>
      <c r="W351" s="148"/>
      <c r="X351" s="149">
        <v>45778</v>
      </c>
      <c r="Y351" s="165" t="s">
        <v>3156</v>
      </c>
    </row>
    <row r="352" spans="1:25">
      <c r="A352" s="163" t="s">
        <v>309</v>
      </c>
      <c r="B352" s="144" t="s">
        <v>163</v>
      </c>
      <c r="C352" s="164" t="s">
        <v>3157</v>
      </c>
      <c r="D352" s="144" t="s">
        <v>1759</v>
      </c>
      <c r="E352" s="150" t="s">
        <v>3100</v>
      </c>
      <c r="F352" s="144" t="s">
        <v>2786</v>
      </c>
      <c r="G352" s="166" t="s">
        <v>3158</v>
      </c>
      <c r="H352" s="151">
        <v>1</v>
      </c>
      <c r="I352" s="160"/>
      <c r="J352" s="159">
        <v>280</v>
      </c>
      <c r="K352" s="161"/>
      <c r="L352" s="159">
        <v>280</v>
      </c>
      <c r="M352" s="160">
        <v>280</v>
      </c>
      <c r="N352" s="145"/>
      <c r="O352" s="156" t="s">
        <v>166</v>
      </c>
      <c r="P352" s="144" t="s">
        <v>2468</v>
      </c>
      <c r="Q352" s="147"/>
      <c r="R352" s="146">
        <v>2045</v>
      </c>
      <c r="S352" s="157"/>
      <c r="T352" s="144" t="s">
        <v>25</v>
      </c>
      <c r="U352" s="150" t="s">
        <v>13</v>
      </c>
      <c r="V352" s="146">
        <v>1066</v>
      </c>
      <c r="W352" s="148"/>
      <c r="X352" s="149">
        <v>45689</v>
      </c>
      <c r="Y352" s="165" t="s">
        <v>2500</v>
      </c>
    </row>
    <row r="353" spans="1:25">
      <c r="A353" s="163" t="s">
        <v>309</v>
      </c>
      <c r="B353" s="144" t="s">
        <v>163</v>
      </c>
      <c r="C353" s="164" t="s">
        <v>3157</v>
      </c>
      <c r="D353" s="144" t="s">
        <v>1759</v>
      </c>
      <c r="E353" s="150" t="s">
        <v>3100</v>
      </c>
      <c r="F353" s="144" t="s">
        <v>2786</v>
      </c>
      <c r="G353" s="166" t="s">
        <v>3158</v>
      </c>
      <c r="H353" s="151">
        <v>3</v>
      </c>
      <c r="I353" s="160"/>
      <c r="J353" s="159">
        <v>121.5</v>
      </c>
      <c r="K353" s="161"/>
      <c r="L353" s="159">
        <v>364.5</v>
      </c>
      <c r="M353" s="160">
        <v>364.5</v>
      </c>
      <c r="N353" s="145"/>
      <c r="O353" s="156" t="s">
        <v>166</v>
      </c>
      <c r="P353" s="144" t="s">
        <v>2468</v>
      </c>
      <c r="Q353" s="147"/>
      <c r="R353" s="146">
        <v>2045</v>
      </c>
      <c r="S353" s="157"/>
      <c r="T353" s="144" t="s">
        <v>25</v>
      </c>
      <c r="U353" s="150" t="s">
        <v>13</v>
      </c>
      <c r="V353" s="146">
        <v>1066</v>
      </c>
      <c r="W353" s="148"/>
      <c r="X353" s="149">
        <v>45689</v>
      </c>
      <c r="Y353" s="165" t="s">
        <v>2500</v>
      </c>
    </row>
    <row r="354" spans="1:25">
      <c r="A354" s="163" t="s">
        <v>309</v>
      </c>
      <c r="B354" s="144" t="s">
        <v>2463</v>
      </c>
      <c r="C354" s="164" t="s">
        <v>3159</v>
      </c>
      <c r="D354" s="144" t="s">
        <v>450</v>
      </c>
      <c r="E354" s="150" t="s">
        <v>2466</v>
      </c>
      <c r="F354" s="144" t="s">
        <v>2467</v>
      </c>
      <c r="G354" s="166"/>
      <c r="H354" s="151">
        <v>1</v>
      </c>
      <c r="I354" s="160"/>
      <c r="J354" s="159">
        <v>250</v>
      </c>
      <c r="K354" s="161"/>
      <c r="L354" s="159">
        <v>250</v>
      </c>
      <c r="M354" s="160">
        <v>250</v>
      </c>
      <c r="N354" s="145">
        <v>500</v>
      </c>
      <c r="O354" s="156" t="s">
        <v>135</v>
      </c>
      <c r="P354" s="144" t="s">
        <v>2468</v>
      </c>
      <c r="Q354" s="147">
        <v>46357</v>
      </c>
      <c r="R354" s="146"/>
      <c r="S354" s="157"/>
      <c r="T354" s="144" t="s">
        <v>29</v>
      </c>
      <c r="U354" s="150" t="s">
        <v>20</v>
      </c>
      <c r="V354" s="146">
        <v>1883</v>
      </c>
      <c r="W354" s="148" t="s">
        <v>3160</v>
      </c>
      <c r="X354" s="149">
        <v>45778</v>
      </c>
      <c r="Y354" s="165" t="s">
        <v>3161</v>
      </c>
    </row>
    <row r="355" spans="1:25">
      <c r="A355" s="163" t="s">
        <v>309</v>
      </c>
      <c r="B355" s="144" t="s">
        <v>2463</v>
      </c>
      <c r="C355" s="164" t="s">
        <v>3159</v>
      </c>
      <c r="D355" s="144" t="s">
        <v>450</v>
      </c>
      <c r="E355" s="150" t="s">
        <v>2466</v>
      </c>
      <c r="F355" s="144" t="s">
        <v>2467</v>
      </c>
      <c r="G355" s="166"/>
      <c r="H355" s="151">
        <v>1</v>
      </c>
      <c r="I355" s="160"/>
      <c r="J355" s="159">
        <v>250</v>
      </c>
      <c r="K355" s="161"/>
      <c r="L355" s="159">
        <v>250</v>
      </c>
      <c r="M355" s="160">
        <v>250</v>
      </c>
      <c r="N355" s="145">
        <v>1500</v>
      </c>
      <c r="O355" s="156" t="s">
        <v>135</v>
      </c>
      <c r="P355" s="144" t="s">
        <v>2468</v>
      </c>
      <c r="Q355" s="147"/>
      <c r="R355" s="146"/>
      <c r="S355" s="157"/>
      <c r="T355" s="144" t="s">
        <v>29</v>
      </c>
      <c r="U355" s="150" t="s">
        <v>20</v>
      </c>
      <c r="V355" s="146">
        <v>1883</v>
      </c>
      <c r="W355" s="148" t="s">
        <v>3160</v>
      </c>
      <c r="X355" s="149">
        <v>45778</v>
      </c>
      <c r="Y355" s="165" t="s">
        <v>3161</v>
      </c>
    </row>
    <row r="356" spans="1:25">
      <c r="A356" s="163" t="s">
        <v>309</v>
      </c>
      <c r="B356" s="144" t="s">
        <v>2463</v>
      </c>
      <c r="C356" s="164" t="s">
        <v>3162</v>
      </c>
      <c r="D356" s="144" t="s">
        <v>348</v>
      </c>
      <c r="E356" s="150" t="s">
        <v>2466</v>
      </c>
      <c r="F356" s="144" t="s">
        <v>2467</v>
      </c>
      <c r="G356" s="166"/>
      <c r="H356" s="151">
        <v>1</v>
      </c>
      <c r="I356" s="160"/>
      <c r="J356" s="159">
        <v>100</v>
      </c>
      <c r="K356" s="161"/>
      <c r="L356" s="159">
        <v>100</v>
      </c>
      <c r="M356" s="160">
        <v>100</v>
      </c>
      <c r="N356" s="145">
        <v>100</v>
      </c>
      <c r="O356" s="156" t="s">
        <v>135</v>
      </c>
      <c r="P356" s="144" t="s">
        <v>2468</v>
      </c>
      <c r="Q356" s="147"/>
      <c r="R356" s="146"/>
      <c r="S356" s="157"/>
      <c r="T356" s="144" t="s">
        <v>29</v>
      </c>
      <c r="U356" s="150" t="s">
        <v>20</v>
      </c>
      <c r="V356" s="146">
        <v>2663</v>
      </c>
      <c r="W356" s="148" t="s">
        <v>3163</v>
      </c>
      <c r="X356" s="149">
        <v>45901</v>
      </c>
      <c r="Y356" s="165" t="s">
        <v>2660</v>
      </c>
    </row>
    <row r="357" spans="1:25">
      <c r="A357" s="163" t="s">
        <v>309</v>
      </c>
      <c r="B357" s="144" t="s">
        <v>2463</v>
      </c>
      <c r="C357" s="164" t="s">
        <v>3164</v>
      </c>
      <c r="D357" s="144" t="s">
        <v>1002</v>
      </c>
      <c r="E357" s="150" t="s">
        <v>2555</v>
      </c>
      <c r="F357" s="144" t="s">
        <v>3165</v>
      </c>
      <c r="G357" s="166"/>
      <c r="H357" s="151">
        <v>1</v>
      </c>
      <c r="I357" s="160">
        <v>500</v>
      </c>
      <c r="J357" s="159">
        <v>500</v>
      </c>
      <c r="K357" s="161">
        <v>500</v>
      </c>
      <c r="L357" s="159">
        <v>500</v>
      </c>
      <c r="M357" s="160">
        <v>500</v>
      </c>
      <c r="N357" s="145"/>
      <c r="O357" s="156" t="s">
        <v>135</v>
      </c>
      <c r="P357" s="144" t="s">
        <v>2468</v>
      </c>
      <c r="Q357" s="147"/>
      <c r="R357" s="146"/>
      <c r="S357" s="157"/>
      <c r="T357" s="144" t="s">
        <v>29</v>
      </c>
      <c r="U357" s="150" t="s">
        <v>14</v>
      </c>
      <c r="V357" s="146">
        <v>3073</v>
      </c>
      <c r="W357" s="148" t="s">
        <v>3166</v>
      </c>
      <c r="X357" s="149">
        <v>45901</v>
      </c>
      <c r="Y357" s="165" t="s">
        <v>3142</v>
      </c>
    </row>
    <row r="358" spans="1:25">
      <c r="A358" s="163" t="s">
        <v>309</v>
      </c>
      <c r="B358" s="144" t="s">
        <v>163</v>
      </c>
      <c r="C358" s="164" t="s">
        <v>1870</v>
      </c>
      <c r="D358" s="144" t="s">
        <v>1871</v>
      </c>
      <c r="E358" s="150" t="s">
        <v>2476</v>
      </c>
      <c r="F358" s="144" t="s">
        <v>2477</v>
      </c>
      <c r="G358" s="166" t="s">
        <v>3167</v>
      </c>
      <c r="H358" s="151">
        <v>44</v>
      </c>
      <c r="I358" s="160">
        <v>2.4700000000000002</v>
      </c>
      <c r="J358" s="159">
        <v>2.75</v>
      </c>
      <c r="K358" s="161">
        <v>108.5</v>
      </c>
      <c r="L358" s="159">
        <v>121</v>
      </c>
      <c r="M358" s="160">
        <v>121</v>
      </c>
      <c r="N358" s="145"/>
      <c r="O358" s="156" t="s">
        <v>166</v>
      </c>
      <c r="P358" s="144" t="s">
        <v>2478</v>
      </c>
      <c r="Q358" s="147"/>
      <c r="R358" s="146">
        <v>2036</v>
      </c>
      <c r="S358" s="157"/>
      <c r="T358" s="144" t="s">
        <v>25</v>
      </c>
      <c r="U358" s="150" t="s">
        <v>2479</v>
      </c>
      <c r="V358" s="146">
        <v>1545</v>
      </c>
      <c r="W358" s="148"/>
      <c r="X358" s="149">
        <v>45689</v>
      </c>
      <c r="Y358" s="165" t="s">
        <v>2558</v>
      </c>
    </row>
    <row r="359" spans="1:25">
      <c r="A359" s="163" t="s">
        <v>7</v>
      </c>
      <c r="B359" s="144" t="s">
        <v>163</v>
      </c>
      <c r="C359" s="164" t="s">
        <v>1220</v>
      </c>
      <c r="D359" s="144" t="s">
        <v>1221</v>
      </c>
      <c r="E359" s="150" t="s">
        <v>2466</v>
      </c>
      <c r="F359" s="144" t="s">
        <v>2467</v>
      </c>
      <c r="G359" s="166" t="s">
        <v>3168</v>
      </c>
      <c r="H359" s="151">
        <v>1</v>
      </c>
      <c r="I359" s="160"/>
      <c r="J359" s="159">
        <v>25</v>
      </c>
      <c r="K359" s="161"/>
      <c r="L359" s="159">
        <v>25</v>
      </c>
      <c r="M359" s="160">
        <v>25</v>
      </c>
      <c r="N359" s="145">
        <v>50</v>
      </c>
      <c r="O359" s="156" t="s">
        <v>166</v>
      </c>
      <c r="P359" s="144" t="s">
        <v>2468</v>
      </c>
      <c r="Q359" s="147">
        <v>45139</v>
      </c>
      <c r="R359" s="146">
        <v>2051</v>
      </c>
      <c r="S359" s="157"/>
      <c r="T359" s="144" t="s">
        <v>25</v>
      </c>
      <c r="U359" s="150" t="s">
        <v>20</v>
      </c>
      <c r="V359" s="146">
        <v>2019</v>
      </c>
      <c r="W359" s="148"/>
      <c r="X359" s="149">
        <v>45689</v>
      </c>
      <c r="Y359" s="165" t="s">
        <v>2558</v>
      </c>
    </row>
    <row r="360" spans="1:25">
      <c r="A360" s="163" t="s">
        <v>7</v>
      </c>
      <c r="B360" s="144" t="s">
        <v>163</v>
      </c>
      <c r="C360" s="164" t="s">
        <v>1670</v>
      </c>
      <c r="D360" s="144" t="s">
        <v>1671</v>
      </c>
      <c r="E360" s="150" t="s">
        <v>2491</v>
      </c>
      <c r="F360" s="144" t="s">
        <v>2477</v>
      </c>
      <c r="G360" s="166" t="s">
        <v>1707</v>
      </c>
      <c r="H360" s="151">
        <v>108</v>
      </c>
      <c r="I360" s="160"/>
      <c r="J360" s="159">
        <v>2.5499999999999998</v>
      </c>
      <c r="K360" s="161"/>
      <c r="L360" s="159">
        <v>274.97000000000003</v>
      </c>
      <c r="M360" s="160">
        <v>274.97000000000003</v>
      </c>
      <c r="N360" s="145"/>
      <c r="O360" s="156" t="s">
        <v>166</v>
      </c>
      <c r="P360" s="144" t="s">
        <v>2478</v>
      </c>
      <c r="Q360" s="147">
        <v>44287</v>
      </c>
      <c r="R360" s="146">
        <v>2055</v>
      </c>
      <c r="S360" s="157"/>
      <c r="T360" s="144" t="s">
        <v>25</v>
      </c>
      <c r="U360" s="150" t="s">
        <v>2479</v>
      </c>
      <c r="V360" s="146">
        <v>1518</v>
      </c>
      <c r="W360" s="148"/>
      <c r="X360" s="149">
        <v>45689</v>
      </c>
      <c r="Y360" s="165" t="s">
        <v>2470</v>
      </c>
    </row>
    <row r="361" spans="1:25">
      <c r="A361" s="163" t="s">
        <v>423</v>
      </c>
      <c r="B361" s="144" t="s">
        <v>2463</v>
      </c>
      <c r="C361" s="164" t="s">
        <v>3169</v>
      </c>
      <c r="D361" s="144" t="s">
        <v>3170</v>
      </c>
      <c r="E361" s="150" t="s">
        <v>2485</v>
      </c>
      <c r="F361" s="144" t="s">
        <v>2486</v>
      </c>
      <c r="G361" s="166"/>
      <c r="H361" s="151">
        <v>45</v>
      </c>
      <c r="I361" s="160"/>
      <c r="J361" s="159">
        <v>7.2</v>
      </c>
      <c r="K361" s="161"/>
      <c r="L361" s="159">
        <v>324</v>
      </c>
      <c r="M361" s="160">
        <v>324</v>
      </c>
      <c r="N361" s="145"/>
      <c r="O361" s="156" t="s">
        <v>135</v>
      </c>
      <c r="P361" s="144" t="s">
        <v>2478</v>
      </c>
      <c r="Q361" s="147"/>
      <c r="R361" s="146">
        <v>2057</v>
      </c>
      <c r="S361" s="157"/>
      <c r="T361" s="144" t="s">
        <v>29</v>
      </c>
      <c r="U361" s="150" t="s">
        <v>17</v>
      </c>
      <c r="V361" s="146">
        <v>2464</v>
      </c>
      <c r="W361" s="148"/>
      <c r="X361" s="149">
        <v>45689</v>
      </c>
      <c r="Y361" s="165" t="s">
        <v>2825</v>
      </c>
    </row>
    <row r="362" spans="1:25">
      <c r="A362" s="163" t="s">
        <v>423</v>
      </c>
      <c r="B362" s="144" t="s">
        <v>2463</v>
      </c>
      <c r="C362" s="164" t="s">
        <v>3171</v>
      </c>
      <c r="D362" s="144" t="s">
        <v>3172</v>
      </c>
      <c r="E362" s="150" t="s">
        <v>2466</v>
      </c>
      <c r="F362" s="144" t="s">
        <v>2467</v>
      </c>
      <c r="G362" s="166"/>
      <c r="H362" s="151">
        <v>240</v>
      </c>
      <c r="I362" s="160">
        <v>0</v>
      </c>
      <c r="J362" s="159">
        <v>1</v>
      </c>
      <c r="K362" s="161">
        <v>0</v>
      </c>
      <c r="L362" s="159">
        <v>240</v>
      </c>
      <c r="M362" s="160">
        <v>240</v>
      </c>
      <c r="N362" s="145">
        <v>800</v>
      </c>
      <c r="O362" s="156" t="s">
        <v>135</v>
      </c>
      <c r="P362" s="144" t="s">
        <v>2468</v>
      </c>
      <c r="Q362" s="147"/>
      <c r="R362" s="146"/>
      <c r="S362" s="157"/>
      <c r="T362" s="144" t="s">
        <v>29</v>
      </c>
      <c r="U362" s="150" t="s">
        <v>20</v>
      </c>
      <c r="V362" s="146">
        <v>3029</v>
      </c>
      <c r="W362" s="148"/>
      <c r="X362" s="149"/>
      <c r="Y362" s="165"/>
    </row>
    <row r="363" spans="1:25">
      <c r="A363" s="163" t="s">
        <v>7</v>
      </c>
      <c r="B363" s="144" t="s">
        <v>2463</v>
      </c>
      <c r="C363" s="164" t="s">
        <v>3173</v>
      </c>
      <c r="D363" s="144" t="s">
        <v>3174</v>
      </c>
      <c r="E363" s="150" t="s">
        <v>2491</v>
      </c>
      <c r="F363" s="144" t="s">
        <v>2477</v>
      </c>
      <c r="G363" s="166"/>
      <c r="H363" s="151">
        <v>1</v>
      </c>
      <c r="I363" s="160"/>
      <c r="J363" s="159">
        <v>100</v>
      </c>
      <c r="K363" s="161"/>
      <c r="L363" s="159">
        <v>100</v>
      </c>
      <c r="M363" s="160">
        <v>100</v>
      </c>
      <c r="N363" s="145"/>
      <c r="O363" s="156" t="s">
        <v>135</v>
      </c>
      <c r="P363" s="144" t="s">
        <v>2478</v>
      </c>
      <c r="Q363" s="147"/>
      <c r="R363" s="146"/>
      <c r="S363" s="157"/>
      <c r="T363" s="144" t="s">
        <v>29</v>
      </c>
      <c r="U363" s="150" t="s">
        <v>2479</v>
      </c>
      <c r="V363" s="146">
        <v>1570</v>
      </c>
      <c r="W363" s="148"/>
      <c r="X363" s="149">
        <v>45689</v>
      </c>
      <c r="Y363" s="165" t="s">
        <v>2474</v>
      </c>
    </row>
    <row r="364" spans="1:25">
      <c r="A364" s="163" t="s">
        <v>423</v>
      </c>
      <c r="B364" s="144" t="s">
        <v>163</v>
      </c>
      <c r="C364" s="164" t="s">
        <v>3175</v>
      </c>
      <c r="D364" s="144" t="s">
        <v>1511</v>
      </c>
      <c r="E364" s="150" t="s">
        <v>2593</v>
      </c>
      <c r="F364" s="144" t="s">
        <v>2482</v>
      </c>
      <c r="G364" s="166" t="s">
        <v>3176</v>
      </c>
      <c r="H364" s="151">
        <v>1</v>
      </c>
      <c r="I364" s="160"/>
      <c r="J364" s="159">
        <v>185</v>
      </c>
      <c r="K364" s="161"/>
      <c r="L364" s="159">
        <v>185</v>
      </c>
      <c r="M364" s="160">
        <v>185</v>
      </c>
      <c r="N364" s="145"/>
      <c r="O364" s="156" t="s">
        <v>166</v>
      </c>
      <c r="P364" s="144" t="s">
        <v>2468</v>
      </c>
      <c r="Q364" s="147"/>
      <c r="R364" s="146">
        <v>2057</v>
      </c>
      <c r="S364" s="157"/>
      <c r="T364" s="144" t="s">
        <v>25</v>
      </c>
      <c r="U364" s="150" t="s">
        <v>18</v>
      </c>
      <c r="V364" s="146">
        <v>1068</v>
      </c>
      <c r="W364" s="148"/>
      <c r="X364" s="149">
        <v>45689</v>
      </c>
      <c r="Y364" s="165" t="s">
        <v>2558</v>
      </c>
    </row>
    <row r="365" spans="1:25">
      <c r="A365" s="163" t="s">
        <v>380</v>
      </c>
      <c r="B365" s="144" t="s">
        <v>2463</v>
      </c>
      <c r="C365" s="164" t="s">
        <v>3177</v>
      </c>
      <c r="D365" s="144" t="s">
        <v>3178</v>
      </c>
      <c r="E365" s="150" t="s">
        <v>2466</v>
      </c>
      <c r="F365" s="144" t="s">
        <v>2467</v>
      </c>
      <c r="G365" s="166"/>
      <c r="H365" s="151">
        <v>1</v>
      </c>
      <c r="I365" s="160">
        <v>270</v>
      </c>
      <c r="J365" s="159">
        <v>270</v>
      </c>
      <c r="K365" s="161">
        <v>270</v>
      </c>
      <c r="L365" s="159">
        <v>270</v>
      </c>
      <c r="M365" s="160">
        <v>270</v>
      </c>
      <c r="N365" s="145">
        <v>540</v>
      </c>
      <c r="O365" s="156" t="s">
        <v>135</v>
      </c>
      <c r="P365" s="144" t="s">
        <v>2468</v>
      </c>
      <c r="Q365" s="147"/>
      <c r="R365" s="146"/>
      <c r="S365" s="157"/>
      <c r="T365" s="144" t="s">
        <v>29</v>
      </c>
      <c r="U365" s="150" t="s">
        <v>20</v>
      </c>
      <c r="V365" s="146">
        <v>2600</v>
      </c>
      <c r="W365" s="148" t="s">
        <v>3179</v>
      </c>
      <c r="X365" s="149">
        <v>45689</v>
      </c>
      <c r="Y365" s="165" t="s">
        <v>2470</v>
      </c>
    </row>
    <row r="366" spans="1:25">
      <c r="A366" s="163" t="s">
        <v>309</v>
      </c>
      <c r="B366" s="144" t="s">
        <v>2463</v>
      </c>
      <c r="C366" s="164" t="s">
        <v>3180</v>
      </c>
      <c r="D366" s="144" t="s">
        <v>3181</v>
      </c>
      <c r="E366" s="150" t="s">
        <v>2485</v>
      </c>
      <c r="F366" s="144" t="s">
        <v>2486</v>
      </c>
      <c r="G366" s="166"/>
      <c r="H366" s="151">
        <v>1</v>
      </c>
      <c r="I366" s="160">
        <v>560</v>
      </c>
      <c r="J366" s="159">
        <v>560</v>
      </c>
      <c r="K366" s="161">
        <v>560</v>
      </c>
      <c r="L366" s="159">
        <v>560</v>
      </c>
      <c r="M366" s="160">
        <v>560</v>
      </c>
      <c r="N366" s="145"/>
      <c r="O366" s="156" t="s">
        <v>135</v>
      </c>
      <c r="P366" s="144" t="s">
        <v>2478</v>
      </c>
      <c r="Q366" s="147"/>
      <c r="R366" s="146"/>
      <c r="S366" s="157"/>
      <c r="T366" s="144" t="s">
        <v>29</v>
      </c>
      <c r="U366" s="150" t="s">
        <v>17</v>
      </c>
      <c r="V366" s="146">
        <v>2983</v>
      </c>
      <c r="W366" s="148" t="s">
        <v>3182</v>
      </c>
      <c r="X366" s="149">
        <v>45901</v>
      </c>
      <c r="Y366" s="165" t="s">
        <v>2800</v>
      </c>
    </row>
    <row r="367" spans="1:25">
      <c r="A367" s="163" t="s">
        <v>309</v>
      </c>
      <c r="B367" s="144" t="s">
        <v>163</v>
      </c>
      <c r="C367" s="164" t="s">
        <v>1852</v>
      </c>
      <c r="D367" s="144" t="s">
        <v>1853</v>
      </c>
      <c r="E367" s="150" t="s">
        <v>2491</v>
      </c>
      <c r="F367" s="144" t="s">
        <v>2477</v>
      </c>
      <c r="G367" s="166" t="s">
        <v>3183</v>
      </c>
      <c r="H367" s="151">
        <v>61</v>
      </c>
      <c r="I367" s="160"/>
      <c r="J367" s="159">
        <v>2.75</v>
      </c>
      <c r="K367" s="161"/>
      <c r="L367" s="159">
        <v>167.75</v>
      </c>
      <c r="M367" s="160">
        <v>167.75</v>
      </c>
      <c r="N367" s="145"/>
      <c r="O367" s="156" t="s">
        <v>166</v>
      </c>
      <c r="P367" s="144" t="s">
        <v>2478</v>
      </c>
      <c r="Q367" s="147"/>
      <c r="R367" s="146">
        <v>2048</v>
      </c>
      <c r="S367" s="157"/>
      <c r="T367" s="144" t="s">
        <v>25</v>
      </c>
      <c r="U367" s="150" t="s">
        <v>2479</v>
      </c>
      <c r="V367" s="146">
        <v>1516</v>
      </c>
      <c r="W367" s="148"/>
      <c r="X367" s="149">
        <v>45689</v>
      </c>
      <c r="Y367" s="165" t="s">
        <v>2470</v>
      </c>
    </row>
    <row r="368" spans="1:25">
      <c r="A368" s="163" t="s">
        <v>423</v>
      </c>
      <c r="B368" s="144" t="s">
        <v>2463</v>
      </c>
      <c r="C368" s="164" t="s">
        <v>3184</v>
      </c>
      <c r="D368" s="144" t="s">
        <v>3185</v>
      </c>
      <c r="E368" s="150" t="s">
        <v>2630</v>
      </c>
      <c r="F368" s="144" t="s">
        <v>2486</v>
      </c>
      <c r="G368" s="166"/>
      <c r="H368" s="151">
        <v>165</v>
      </c>
      <c r="I368" s="160">
        <v>18</v>
      </c>
      <c r="J368" s="159">
        <v>18</v>
      </c>
      <c r="K368" s="161">
        <v>2970</v>
      </c>
      <c r="L368" s="159">
        <v>2970</v>
      </c>
      <c r="M368" s="160">
        <v>2970</v>
      </c>
      <c r="N368" s="145"/>
      <c r="O368" s="156" t="s">
        <v>135</v>
      </c>
      <c r="P368" s="144" t="s">
        <v>2478</v>
      </c>
      <c r="Q368" s="147"/>
      <c r="R368" s="146">
        <v>2067</v>
      </c>
      <c r="S368" s="157"/>
      <c r="T368" s="144" t="s">
        <v>29</v>
      </c>
      <c r="U368" s="150" t="s">
        <v>17</v>
      </c>
      <c r="V368" s="146">
        <v>2546</v>
      </c>
      <c r="W368" s="148" t="s">
        <v>3186</v>
      </c>
      <c r="X368" s="149">
        <v>45689</v>
      </c>
      <c r="Y368" s="165" t="s">
        <v>3187</v>
      </c>
    </row>
    <row r="369" spans="1:25">
      <c r="A369" s="163" t="s">
        <v>423</v>
      </c>
      <c r="B369" s="144" t="s">
        <v>2463</v>
      </c>
      <c r="C369" s="164" t="s">
        <v>3188</v>
      </c>
      <c r="D369" s="144" t="s">
        <v>3189</v>
      </c>
      <c r="E369" s="150" t="s">
        <v>2630</v>
      </c>
      <c r="F369" s="144" t="s">
        <v>2486</v>
      </c>
      <c r="G369" s="166"/>
      <c r="H369" s="151">
        <v>212</v>
      </c>
      <c r="I369" s="160">
        <v>14</v>
      </c>
      <c r="J369" s="159">
        <v>14</v>
      </c>
      <c r="K369" s="161">
        <v>2968</v>
      </c>
      <c r="L369" s="159">
        <v>2968</v>
      </c>
      <c r="M369" s="160">
        <v>2968</v>
      </c>
      <c r="N369" s="145"/>
      <c r="O369" s="156" t="s">
        <v>135</v>
      </c>
      <c r="P369" s="144" t="s">
        <v>2478</v>
      </c>
      <c r="Q369" s="147"/>
      <c r="R369" s="146">
        <v>2067</v>
      </c>
      <c r="S369" s="157"/>
      <c r="T369" s="144" t="s">
        <v>29</v>
      </c>
      <c r="U369" s="150" t="s">
        <v>17</v>
      </c>
      <c r="V369" s="146">
        <v>2547</v>
      </c>
      <c r="W369" s="148" t="s">
        <v>3190</v>
      </c>
      <c r="X369" s="149">
        <v>45689</v>
      </c>
      <c r="Y369" s="165" t="s">
        <v>3187</v>
      </c>
    </row>
    <row r="370" spans="1:25">
      <c r="A370" s="163" t="s">
        <v>7</v>
      </c>
      <c r="B370" s="144" t="s">
        <v>2463</v>
      </c>
      <c r="C370" s="164" t="s">
        <v>3191</v>
      </c>
      <c r="D370" s="144" t="s">
        <v>854</v>
      </c>
      <c r="E370" s="150" t="s">
        <v>2491</v>
      </c>
      <c r="F370" s="144" t="s">
        <v>2477</v>
      </c>
      <c r="G370" s="166"/>
      <c r="H370" s="151">
        <v>1</v>
      </c>
      <c r="I370" s="160"/>
      <c r="J370" s="159">
        <v>320</v>
      </c>
      <c r="K370" s="161"/>
      <c r="L370" s="159">
        <v>320</v>
      </c>
      <c r="M370" s="160">
        <v>320</v>
      </c>
      <c r="N370" s="145"/>
      <c r="O370" s="156" t="s">
        <v>135</v>
      </c>
      <c r="P370" s="144" t="s">
        <v>2478</v>
      </c>
      <c r="Q370" s="147"/>
      <c r="R370" s="146"/>
      <c r="S370" s="157"/>
      <c r="T370" s="144" t="s">
        <v>29</v>
      </c>
      <c r="U370" s="150" t="s">
        <v>2479</v>
      </c>
      <c r="V370" s="146">
        <v>3014</v>
      </c>
      <c r="W370" s="148"/>
      <c r="X370" s="149">
        <v>45778</v>
      </c>
      <c r="Y370" s="165"/>
    </row>
    <row r="371" spans="1:25">
      <c r="A371" s="163" t="s">
        <v>7</v>
      </c>
      <c r="B371" s="144" t="s">
        <v>2463</v>
      </c>
      <c r="C371" s="164" t="s">
        <v>3191</v>
      </c>
      <c r="D371" s="144" t="s">
        <v>854</v>
      </c>
      <c r="E371" s="150" t="s">
        <v>2466</v>
      </c>
      <c r="F371" s="144" t="s">
        <v>2467</v>
      </c>
      <c r="G371" s="166"/>
      <c r="H371" s="151">
        <v>1</v>
      </c>
      <c r="I371" s="160"/>
      <c r="J371" s="159">
        <v>700</v>
      </c>
      <c r="K371" s="161"/>
      <c r="L371" s="159">
        <v>700</v>
      </c>
      <c r="M371" s="160">
        <v>700</v>
      </c>
      <c r="N371" s="145">
        <v>700</v>
      </c>
      <c r="O371" s="156" t="s">
        <v>135</v>
      </c>
      <c r="P371" s="144" t="s">
        <v>2468</v>
      </c>
      <c r="Q371" s="147"/>
      <c r="R371" s="146"/>
      <c r="S371" s="157"/>
      <c r="T371" s="144" t="s">
        <v>29</v>
      </c>
      <c r="U371" s="150" t="s">
        <v>20</v>
      </c>
      <c r="V371" s="146">
        <v>3014</v>
      </c>
      <c r="W371" s="148"/>
      <c r="X371" s="149">
        <v>45778</v>
      </c>
      <c r="Y371" s="165"/>
    </row>
    <row r="372" spans="1:25">
      <c r="A372" s="163" t="s">
        <v>423</v>
      </c>
      <c r="B372" s="144" t="s">
        <v>2463</v>
      </c>
      <c r="C372" s="164" t="s">
        <v>3192</v>
      </c>
      <c r="D372" s="144" t="s">
        <v>3193</v>
      </c>
      <c r="E372" s="150" t="s">
        <v>2466</v>
      </c>
      <c r="F372" s="144" t="s">
        <v>2467</v>
      </c>
      <c r="G372" s="166"/>
      <c r="H372" s="151">
        <v>1</v>
      </c>
      <c r="I372" s="160"/>
      <c r="J372" s="159">
        <v>200</v>
      </c>
      <c r="K372" s="161"/>
      <c r="L372" s="159">
        <v>200</v>
      </c>
      <c r="M372" s="160">
        <v>200</v>
      </c>
      <c r="N372" s="145">
        <v>400</v>
      </c>
      <c r="O372" s="156" t="s">
        <v>135</v>
      </c>
      <c r="P372" s="144" t="s">
        <v>2468</v>
      </c>
      <c r="Q372" s="147"/>
      <c r="R372" s="146"/>
      <c r="S372" s="157"/>
      <c r="T372" s="144" t="s">
        <v>29</v>
      </c>
      <c r="U372" s="150" t="s">
        <v>20</v>
      </c>
      <c r="V372" s="146">
        <v>2621</v>
      </c>
      <c r="W372" s="148" t="s">
        <v>3194</v>
      </c>
      <c r="X372" s="149"/>
      <c r="Y372" s="165" t="s">
        <v>2836</v>
      </c>
    </row>
    <row r="373" spans="1:25">
      <c r="A373" s="163" t="s">
        <v>7</v>
      </c>
      <c r="B373" s="144" t="s">
        <v>2463</v>
      </c>
      <c r="C373" s="164" t="s">
        <v>3195</v>
      </c>
      <c r="D373" s="144" t="s">
        <v>3196</v>
      </c>
      <c r="E373" s="150" t="s">
        <v>2491</v>
      </c>
      <c r="F373" s="144" t="s">
        <v>2477</v>
      </c>
      <c r="G373" s="166"/>
      <c r="H373" s="151">
        <v>46</v>
      </c>
      <c r="I373" s="160">
        <v>3.04</v>
      </c>
      <c r="J373" s="159">
        <v>3.04</v>
      </c>
      <c r="K373" s="161">
        <v>139.84</v>
      </c>
      <c r="L373" s="159">
        <v>139.84</v>
      </c>
      <c r="M373" s="160">
        <v>139.84</v>
      </c>
      <c r="N373" s="145"/>
      <c r="O373" s="156" t="s">
        <v>135</v>
      </c>
      <c r="P373" s="144" t="s">
        <v>2478</v>
      </c>
      <c r="Q373" s="147"/>
      <c r="R373" s="146"/>
      <c r="S373" s="157"/>
      <c r="T373" s="144" t="s">
        <v>29</v>
      </c>
      <c r="U373" s="150" t="s">
        <v>2479</v>
      </c>
      <c r="V373" s="146">
        <v>2933</v>
      </c>
      <c r="W373" s="148" t="s">
        <v>3197</v>
      </c>
      <c r="X373" s="149"/>
      <c r="Y373" s="165" t="s">
        <v>2474</v>
      </c>
    </row>
    <row r="374" spans="1:25">
      <c r="A374" s="163" t="s">
        <v>7</v>
      </c>
      <c r="B374" s="144" t="s">
        <v>2463</v>
      </c>
      <c r="C374" s="164" t="s">
        <v>3195</v>
      </c>
      <c r="D374" s="144" t="s">
        <v>3196</v>
      </c>
      <c r="E374" s="150" t="s">
        <v>2466</v>
      </c>
      <c r="F374" s="144" t="s">
        <v>2477</v>
      </c>
      <c r="G374" s="166"/>
      <c r="H374" s="151">
        <v>1</v>
      </c>
      <c r="I374" s="160">
        <v>140</v>
      </c>
      <c r="J374" s="159">
        <v>140</v>
      </c>
      <c r="K374" s="161">
        <v>140</v>
      </c>
      <c r="L374" s="159">
        <v>140</v>
      </c>
      <c r="M374" s="160">
        <v>140</v>
      </c>
      <c r="N374" s="145">
        <v>560</v>
      </c>
      <c r="O374" s="156" t="s">
        <v>135</v>
      </c>
      <c r="P374" s="144" t="s">
        <v>2468</v>
      </c>
      <c r="Q374" s="147"/>
      <c r="R374" s="146"/>
      <c r="S374" s="157"/>
      <c r="T374" s="144" t="s">
        <v>29</v>
      </c>
      <c r="U374" s="150" t="s">
        <v>20</v>
      </c>
      <c r="V374" s="146">
        <v>2933</v>
      </c>
      <c r="W374" s="148" t="s">
        <v>3197</v>
      </c>
      <c r="X374" s="149"/>
      <c r="Y374" s="165" t="s">
        <v>2474</v>
      </c>
    </row>
    <row r="375" spans="1:25">
      <c r="A375" s="163" t="s">
        <v>423</v>
      </c>
      <c r="B375" s="144" t="s">
        <v>2463</v>
      </c>
      <c r="C375" s="164" t="s">
        <v>3198</v>
      </c>
      <c r="D375" s="144" t="s">
        <v>780</v>
      </c>
      <c r="E375" s="150" t="s">
        <v>2466</v>
      </c>
      <c r="F375" s="144" t="s">
        <v>2467</v>
      </c>
      <c r="G375" s="166"/>
      <c r="H375" s="151">
        <v>296</v>
      </c>
      <c r="I375" s="160"/>
      <c r="J375" s="159">
        <v>0.92</v>
      </c>
      <c r="K375" s="161"/>
      <c r="L375" s="159">
        <v>272.32</v>
      </c>
      <c r="M375" s="160">
        <v>272.32</v>
      </c>
      <c r="N375" s="145">
        <v>1100</v>
      </c>
      <c r="O375" s="156" t="s">
        <v>135</v>
      </c>
      <c r="P375" s="144" t="s">
        <v>2468</v>
      </c>
      <c r="Q375" s="147"/>
      <c r="R375" s="146"/>
      <c r="S375" s="157"/>
      <c r="T375" s="144" t="s">
        <v>29</v>
      </c>
      <c r="U375" s="150" t="s">
        <v>20</v>
      </c>
      <c r="V375" s="146">
        <v>3106</v>
      </c>
      <c r="W375" s="148"/>
      <c r="X375" s="149">
        <v>45901</v>
      </c>
      <c r="Y375" s="165" t="s">
        <v>2578</v>
      </c>
    </row>
    <row r="376" spans="1:25">
      <c r="A376" s="163" t="s">
        <v>423</v>
      </c>
      <c r="B376" s="144" t="s">
        <v>2463</v>
      </c>
      <c r="C376" s="164" t="s">
        <v>3199</v>
      </c>
      <c r="D376" s="144" t="s">
        <v>3200</v>
      </c>
      <c r="E376" s="150" t="s">
        <v>2485</v>
      </c>
      <c r="F376" s="144" t="s">
        <v>2486</v>
      </c>
      <c r="G376" s="166"/>
      <c r="H376" s="151">
        <v>33</v>
      </c>
      <c r="I376" s="160">
        <v>6.2</v>
      </c>
      <c r="J376" s="159">
        <v>6.6</v>
      </c>
      <c r="K376" s="161">
        <v>204.6</v>
      </c>
      <c r="L376" s="159">
        <v>217.8</v>
      </c>
      <c r="M376" s="160" t="s">
        <v>3201</v>
      </c>
      <c r="N376" s="145"/>
      <c r="O376" s="156" t="s">
        <v>135</v>
      </c>
      <c r="P376" s="144" t="s">
        <v>2478</v>
      </c>
      <c r="Q376" s="147"/>
      <c r="R376" s="146">
        <v>2054</v>
      </c>
      <c r="S376" s="157"/>
      <c r="T376" s="144" t="s">
        <v>29</v>
      </c>
      <c r="U376" s="150" t="s">
        <v>17</v>
      </c>
      <c r="V376" s="146">
        <v>1949</v>
      </c>
      <c r="W376" s="148" t="s">
        <v>3202</v>
      </c>
      <c r="X376" s="149">
        <v>45689</v>
      </c>
      <c r="Y376" s="165" t="s">
        <v>3203</v>
      </c>
    </row>
    <row r="377" spans="1:25">
      <c r="A377" s="163" t="s">
        <v>7</v>
      </c>
      <c r="B377" s="144" t="s">
        <v>2463</v>
      </c>
      <c r="C377" s="164" t="s">
        <v>3204</v>
      </c>
      <c r="D377" s="144" t="s">
        <v>3205</v>
      </c>
      <c r="E377" s="150" t="s">
        <v>2466</v>
      </c>
      <c r="F377" s="144" t="s">
        <v>2467</v>
      </c>
      <c r="G377" s="166"/>
      <c r="H377" s="151">
        <v>1</v>
      </c>
      <c r="I377" s="160">
        <v>150</v>
      </c>
      <c r="J377" s="159">
        <v>150</v>
      </c>
      <c r="K377" s="161">
        <v>150</v>
      </c>
      <c r="L377" s="159">
        <v>150</v>
      </c>
      <c r="M377" s="160">
        <v>150</v>
      </c>
      <c r="N377" s="145">
        <v>0</v>
      </c>
      <c r="O377" s="156" t="s">
        <v>135</v>
      </c>
      <c r="P377" s="144" t="s">
        <v>2478</v>
      </c>
      <c r="Q377" s="147"/>
      <c r="R377" s="146"/>
      <c r="S377" s="157"/>
      <c r="T377" s="144" t="s">
        <v>29</v>
      </c>
      <c r="U377" s="150" t="s">
        <v>20</v>
      </c>
      <c r="V377" s="146">
        <v>2380</v>
      </c>
      <c r="W377" s="148" t="s">
        <v>3206</v>
      </c>
      <c r="X377" s="149">
        <v>45689</v>
      </c>
      <c r="Y377" s="165" t="s">
        <v>3207</v>
      </c>
    </row>
    <row r="378" spans="1:25">
      <c r="A378" s="163" t="s">
        <v>7</v>
      </c>
      <c r="B378" s="144" t="s">
        <v>2463</v>
      </c>
      <c r="C378" s="164" t="s">
        <v>3208</v>
      </c>
      <c r="D378" s="144" t="s">
        <v>3209</v>
      </c>
      <c r="E378" s="150" t="s">
        <v>2466</v>
      </c>
      <c r="F378" s="144" t="s">
        <v>2467</v>
      </c>
      <c r="G378" s="166"/>
      <c r="H378" s="151">
        <v>1</v>
      </c>
      <c r="I378" s="160">
        <v>100</v>
      </c>
      <c r="J378" s="159">
        <v>100</v>
      </c>
      <c r="K378" s="161">
        <v>100</v>
      </c>
      <c r="L378" s="159">
        <v>100</v>
      </c>
      <c r="M378" s="160">
        <v>100</v>
      </c>
      <c r="N378" s="145">
        <v>200</v>
      </c>
      <c r="O378" s="156" t="s">
        <v>135</v>
      </c>
      <c r="P378" s="144" t="s">
        <v>2468</v>
      </c>
      <c r="Q378" s="147">
        <v>46082</v>
      </c>
      <c r="R378" s="146"/>
      <c r="S378" s="157"/>
      <c r="T378" s="144" t="s">
        <v>29</v>
      </c>
      <c r="U378" s="150" t="s">
        <v>20</v>
      </c>
      <c r="V378" s="146">
        <v>2375</v>
      </c>
      <c r="W378" s="148" t="s">
        <v>3210</v>
      </c>
      <c r="X378" s="149">
        <v>45778</v>
      </c>
      <c r="Y378" s="165" t="s">
        <v>2538</v>
      </c>
    </row>
    <row r="379" spans="1:25">
      <c r="A379" s="163" t="s">
        <v>7</v>
      </c>
      <c r="B379" s="144" t="s">
        <v>2463</v>
      </c>
      <c r="C379" s="164" t="s">
        <v>3211</v>
      </c>
      <c r="D379" s="144" t="s">
        <v>3212</v>
      </c>
      <c r="E379" s="150" t="s">
        <v>2466</v>
      </c>
      <c r="F379" s="144" t="s">
        <v>2467</v>
      </c>
      <c r="G379" s="166"/>
      <c r="H379" s="151">
        <v>572</v>
      </c>
      <c r="I379" s="160">
        <v>4.2</v>
      </c>
      <c r="J379" s="159">
        <v>4.2</v>
      </c>
      <c r="K379" s="161">
        <v>2402.4</v>
      </c>
      <c r="L379" s="159">
        <v>2402.4</v>
      </c>
      <c r="M379" s="160">
        <v>2402.4</v>
      </c>
      <c r="N379" s="145">
        <v>0</v>
      </c>
      <c r="O379" s="156" t="s">
        <v>135</v>
      </c>
      <c r="P379" s="144" t="s">
        <v>2468</v>
      </c>
      <c r="Q379" s="147"/>
      <c r="R379" s="146"/>
      <c r="S379" s="157"/>
      <c r="T379" s="144" t="s">
        <v>29</v>
      </c>
      <c r="U379" s="150" t="s">
        <v>20</v>
      </c>
      <c r="V379" s="146">
        <v>2722</v>
      </c>
      <c r="W379" s="148" t="s">
        <v>3213</v>
      </c>
      <c r="X379" s="149">
        <v>45901</v>
      </c>
      <c r="Y379" s="165" t="s">
        <v>2708</v>
      </c>
    </row>
    <row r="380" spans="1:25">
      <c r="A380" s="163" t="s">
        <v>423</v>
      </c>
      <c r="B380" s="144" t="s">
        <v>2463</v>
      </c>
      <c r="C380" s="164" t="s">
        <v>441</v>
      </c>
      <c r="D380" s="144" t="s">
        <v>442</v>
      </c>
      <c r="E380" s="150" t="s">
        <v>2491</v>
      </c>
      <c r="F380" s="144" t="s">
        <v>2477</v>
      </c>
      <c r="G380" s="166"/>
      <c r="H380" s="151">
        <v>30</v>
      </c>
      <c r="I380" s="160">
        <v>3.17</v>
      </c>
      <c r="J380" s="159">
        <v>3.17</v>
      </c>
      <c r="K380" s="161">
        <v>95.1</v>
      </c>
      <c r="L380" s="159">
        <v>95.1</v>
      </c>
      <c r="M380" s="160">
        <v>95.1</v>
      </c>
      <c r="N380" s="145"/>
      <c r="O380" s="156" t="s">
        <v>135</v>
      </c>
      <c r="P380" s="144" t="s">
        <v>2478</v>
      </c>
      <c r="Q380" s="147">
        <v>46631</v>
      </c>
      <c r="R380" s="146">
        <v>2057</v>
      </c>
      <c r="S380" s="157"/>
      <c r="T380" s="144" t="s">
        <v>29</v>
      </c>
      <c r="U380" s="150" t="s">
        <v>2479</v>
      </c>
      <c r="V380" s="146">
        <v>2513</v>
      </c>
      <c r="W380" s="148"/>
      <c r="X380" s="149">
        <v>45901</v>
      </c>
      <c r="Y380" s="165" t="s">
        <v>3214</v>
      </c>
    </row>
    <row r="381" spans="1:25">
      <c r="A381" s="163" t="s">
        <v>423</v>
      </c>
      <c r="B381" s="144" t="s">
        <v>2463</v>
      </c>
      <c r="C381" s="164" t="s">
        <v>441</v>
      </c>
      <c r="D381" s="144" t="s">
        <v>442</v>
      </c>
      <c r="E381" s="150" t="s">
        <v>2466</v>
      </c>
      <c r="F381" s="144" t="s">
        <v>2477</v>
      </c>
      <c r="G381" s="166"/>
      <c r="H381" s="151">
        <v>1</v>
      </c>
      <c r="I381" s="160">
        <v>95</v>
      </c>
      <c r="J381" s="159">
        <v>95</v>
      </c>
      <c r="K381" s="161">
        <v>95</v>
      </c>
      <c r="L381" s="159">
        <v>95</v>
      </c>
      <c r="M381" s="160">
        <v>95</v>
      </c>
      <c r="N381" s="145">
        <v>110</v>
      </c>
      <c r="O381" s="156" t="s">
        <v>135</v>
      </c>
      <c r="P381" s="144" t="s">
        <v>2468</v>
      </c>
      <c r="Q381" s="147">
        <v>46631</v>
      </c>
      <c r="R381" s="146">
        <v>2057</v>
      </c>
      <c r="S381" s="157"/>
      <c r="T381" s="144" t="s">
        <v>29</v>
      </c>
      <c r="U381" s="150" t="s">
        <v>20</v>
      </c>
      <c r="V381" s="146">
        <v>2513</v>
      </c>
      <c r="W381" s="148"/>
      <c r="X381" s="149">
        <v>45901</v>
      </c>
      <c r="Y381" s="165" t="s">
        <v>3214</v>
      </c>
    </row>
    <row r="382" spans="1:25">
      <c r="A382" s="163" t="s">
        <v>565</v>
      </c>
      <c r="B382" s="144" t="s">
        <v>2463</v>
      </c>
      <c r="C382" s="164" t="s">
        <v>3215</v>
      </c>
      <c r="D382" s="144" t="s">
        <v>3216</v>
      </c>
      <c r="E382" s="150" t="s">
        <v>2485</v>
      </c>
      <c r="F382" s="144" t="s">
        <v>2486</v>
      </c>
      <c r="G382" s="166"/>
      <c r="H382" s="151">
        <v>1</v>
      </c>
      <c r="I382" s="160">
        <v>150</v>
      </c>
      <c r="J382" s="159">
        <v>150</v>
      </c>
      <c r="K382" s="161">
        <v>150</v>
      </c>
      <c r="L382" s="159">
        <v>150</v>
      </c>
      <c r="M382" s="160">
        <v>150</v>
      </c>
      <c r="N382" s="145"/>
      <c r="O382" s="156" t="s">
        <v>135</v>
      </c>
      <c r="P382" s="144" t="s">
        <v>2478</v>
      </c>
      <c r="Q382" s="147"/>
      <c r="R382" s="146"/>
      <c r="S382" s="157"/>
      <c r="T382" s="144" t="s">
        <v>29</v>
      </c>
      <c r="U382" s="150" t="s">
        <v>17</v>
      </c>
      <c r="V382" s="146">
        <v>2232</v>
      </c>
      <c r="W382" s="148" t="s">
        <v>3217</v>
      </c>
      <c r="X382" s="149">
        <v>45901</v>
      </c>
      <c r="Y382" s="165" t="s">
        <v>2632</v>
      </c>
    </row>
    <row r="383" spans="1:25">
      <c r="A383" s="163" t="s">
        <v>565</v>
      </c>
      <c r="B383" s="144" t="s">
        <v>163</v>
      </c>
      <c r="C383" s="164" t="s">
        <v>3218</v>
      </c>
      <c r="D383" s="144" t="s">
        <v>1137</v>
      </c>
      <c r="E383" s="150" t="s">
        <v>2593</v>
      </c>
      <c r="F383" s="144" t="s">
        <v>2482</v>
      </c>
      <c r="G383" s="166" t="s">
        <v>3219</v>
      </c>
      <c r="H383" s="151">
        <v>1</v>
      </c>
      <c r="I383" s="160">
        <v>60</v>
      </c>
      <c r="J383" s="159">
        <v>60</v>
      </c>
      <c r="K383" s="161">
        <v>60</v>
      </c>
      <c r="L383" s="159">
        <v>60</v>
      </c>
      <c r="M383" s="160">
        <v>60</v>
      </c>
      <c r="N383" s="145"/>
      <c r="O383" s="156" t="s">
        <v>166</v>
      </c>
      <c r="P383" s="144" t="s">
        <v>2468</v>
      </c>
      <c r="Q383" s="147"/>
      <c r="R383" s="146">
        <v>2100</v>
      </c>
      <c r="S383" s="157"/>
      <c r="T383" s="144" t="s">
        <v>25</v>
      </c>
      <c r="U383" s="150" t="s">
        <v>18</v>
      </c>
      <c r="V383" s="146">
        <v>1069</v>
      </c>
      <c r="W383" s="148"/>
      <c r="X383" s="149">
        <v>45689</v>
      </c>
      <c r="Y383" s="165" t="s">
        <v>2541</v>
      </c>
    </row>
    <row r="384" spans="1:25">
      <c r="A384" s="163" t="s">
        <v>7</v>
      </c>
      <c r="B384" s="144" t="s">
        <v>2463</v>
      </c>
      <c r="C384" s="164" t="s">
        <v>3220</v>
      </c>
      <c r="D384" s="144" t="s">
        <v>3221</v>
      </c>
      <c r="E384" s="150" t="s">
        <v>2466</v>
      </c>
      <c r="F384" s="144" t="s">
        <v>2486</v>
      </c>
      <c r="G384" s="166"/>
      <c r="H384" s="151">
        <v>1</v>
      </c>
      <c r="I384" s="160">
        <v>600</v>
      </c>
      <c r="J384" s="159">
        <v>600</v>
      </c>
      <c r="K384" s="161">
        <v>600</v>
      </c>
      <c r="L384" s="159">
        <v>600</v>
      </c>
      <c r="M384" s="160">
        <v>600</v>
      </c>
      <c r="N384" s="145">
        <v>0</v>
      </c>
      <c r="O384" s="156" t="s">
        <v>135</v>
      </c>
      <c r="P384" s="144" t="s">
        <v>2468</v>
      </c>
      <c r="Q384" s="147"/>
      <c r="R384" s="146"/>
      <c r="S384" s="157"/>
      <c r="T384" s="144" t="s">
        <v>29</v>
      </c>
      <c r="U384" s="150" t="s">
        <v>20</v>
      </c>
      <c r="V384" s="146">
        <v>2985</v>
      </c>
      <c r="W384" s="148" t="s">
        <v>3222</v>
      </c>
      <c r="X384" s="149">
        <v>45901</v>
      </c>
      <c r="Y384" s="165" t="s">
        <v>2800</v>
      </c>
    </row>
    <row r="385" spans="1:25">
      <c r="A385" s="163" t="s">
        <v>7</v>
      </c>
      <c r="B385" s="144" t="s">
        <v>2463</v>
      </c>
      <c r="C385" s="164" t="s">
        <v>3223</v>
      </c>
      <c r="D385" s="144" t="s">
        <v>3221</v>
      </c>
      <c r="E385" s="150" t="s">
        <v>2485</v>
      </c>
      <c r="F385" s="144" t="s">
        <v>2486</v>
      </c>
      <c r="G385" s="166"/>
      <c r="H385" s="151">
        <v>94</v>
      </c>
      <c r="I385" s="160">
        <v>7.05</v>
      </c>
      <c r="J385" s="159">
        <v>7.05</v>
      </c>
      <c r="K385" s="161">
        <v>662.7</v>
      </c>
      <c r="L385" s="159">
        <v>662.7</v>
      </c>
      <c r="M385" s="160">
        <v>662.7</v>
      </c>
      <c r="N385" s="145"/>
      <c r="O385" s="156" t="s">
        <v>135</v>
      </c>
      <c r="P385" s="144" t="s">
        <v>2478</v>
      </c>
      <c r="Q385" s="147"/>
      <c r="R385" s="146"/>
      <c r="S385" s="157"/>
      <c r="T385" s="144" t="s">
        <v>29</v>
      </c>
      <c r="U385" s="150" t="s">
        <v>17</v>
      </c>
      <c r="V385" s="146">
        <v>2984</v>
      </c>
      <c r="W385" s="148" t="s">
        <v>3222</v>
      </c>
      <c r="X385" s="149">
        <v>45901</v>
      </c>
      <c r="Y385" s="165" t="s">
        <v>2800</v>
      </c>
    </row>
    <row r="386" spans="1:25">
      <c r="A386" s="163" t="s">
        <v>423</v>
      </c>
      <c r="B386" s="144" t="s">
        <v>163</v>
      </c>
      <c r="C386" s="164" t="s">
        <v>1498</v>
      </c>
      <c r="D386" s="144" t="s">
        <v>1499</v>
      </c>
      <c r="E386" s="150" t="s">
        <v>2485</v>
      </c>
      <c r="F386" s="144" t="s">
        <v>2486</v>
      </c>
      <c r="G386" s="166" t="s">
        <v>3224</v>
      </c>
      <c r="H386" s="151">
        <v>2</v>
      </c>
      <c r="I386" s="160"/>
      <c r="J386" s="159">
        <v>4</v>
      </c>
      <c r="K386" s="161"/>
      <c r="L386" s="159">
        <v>8</v>
      </c>
      <c r="M386" s="160">
        <v>8</v>
      </c>
      <c r="N386" s="145"/>
      <c r="O386" s="156" t="s">
        <v>166</v>
      </c>
      <c r="P386" s="144" t="s">
        <v>2480</v>
      </c>
      <c r="Q386" s="147">
        <v>44470</v>
      </c>
      <c r="R386" s="146">
        <v>2046</v>
      </c>
      <c r="S386" s="157"/>
      <c r="T386" s="144" t="s">
        <v>25</v>
      </c>
      <c r="U386" s="150" t="s">
        <v>17</v>
      </c>
      <c r="V386" s="146">
        <v>1496</v>
      </c>
      <c r="W386" s="148"/>
      <c r="X386" s="149">
        <v>45566</v>
      </c>
      <c r="Y386" s="165" t="s">
        <v>3225</v>
      </c>
    </row>
    <row r="387" spans="1:25">
      <c r="A387" s="163" t="s">
        <v>7</v>
      </c>
      <c r="B387" s="144" t="s">
        <v>2463</v>
      </c>
      <c r="C387" s="164" t="s">
        <v>3226</v>
      </c>
      <c r="D387" s="144" t="s">
        <v>3227</v>
      </c>
      <c r="E387" s="150" t="s">
        <v>2491</v>
      </c>
      <c r="F387" s="144" t="s">
        <v>2477</v>
      </c>
      <c r="G387" s="166"/>
      <c r="H387" s="151">
        <v>67</v>
      </c>
      <c r="I387" s="160"/>
      <c r="J387" s="159">
        <v>4.5999999999999996</v>
      </c>
      <c r="K387" s="161"/>
      <c r="L387" s="159">
        <v>308.2</v>
      </c>
      <c r="M387" s="160">
        <v>308.2</v>
      </c>
      <c r="N387" s="145"/>
      <c r="O387" s="156" t="s">
        <v>135</v>
      </c>
      <c r="P387" s="144" t="s">
        <v>2478</v>
      </c>
      <c r="Q387" s="147">
        <v>47908</v>
      </c>
      <c r="R387" s="146">
        <v>2060</v>
      </c>
      <c r="S387" s="157"/>
      <c r="T387" s="144" t="s">
        <v>29</v>
      </c>
      <c r="U387" s="150" t="s">
        <v>2479</v>
      </c>
      <c r="V387" s="146">
        <v>1924</v>
      </c>
      <c r="W387" s="148" t="s">
        <v>3228</v>
      </c>
      <c r="X387" s="149">
        <v>45778</v>
      </c>
      <c r="Y387" s="165" t="s">
        <v>3229</v>
      </c>
    </row>
    <row r="388" spans="1:25">
      <c r="A388" s="163" t="s">
        <v>7</v>
      </c>
      <c r="B388" s="144" t="s">
        <v>2463</v>
      </c>
      <c r="C388" s="164" t="s">
        <v>3226</v>
      </c>
      <c r="D388" s="144" t="s">
        <v>3227</v>
      </c>
      <c r="E388" s="150" t="s">
        <v>2466</v>
      </c>
      <c r="F388" s="144" t="s">
        <v>2467</v>
      </c>
      <c r="G388" s="166"/>
      <c r="H388" s="151">
        <v>120</v>
      </c>
      <c r="I388" s="160"/>
      <c r="J388" s="159">
        <v>2.58</v>
      </c>
      <c r="K388" s="161"/>
      <c r="L388" s="159">
        <v>309.95999999999998</v>
      </c>
      <c r="M388" s="160">
        <v>309.95999999999998</v>
      </c>
      <c r="N388" s="145">
        <v>2.58</v>
      </c>
      <c r="O388" s="156" t="s">
        <v>135</v>
      </c>
      <c r="P388" s="144" t="s">
        <v>2468</v>
      </c>
      <c r="Q388" s="147">
        <v>47908</v>
      </c>
      <c r="R388" s="146">
        <v>2050</v>
      </c>
      <c r="S388" s="157"/>
      <c r="T388" s="144" t="s">
        <v>29</v>
      </c>
      <c r="U388" s="150" t="s">
        <v>20</v>
      </c>
      <c r="V388" s="146">
        <v>1924</v>
      </c>
      <c r="W388" s="148" t="s">
        <v>3228</v>
      </c>
      <c r="X388" s="149">
        <v>45778</v>
      </c>
      <c r="Y388" s="165" t="s">
        <v>3229</v>
      </c>
    </row>
    <row r="389" spans="1:25">
      <c r="A389" s="163" t="s">
        <v>7</v>
      </c>
      <c r="B389" s="144" t="s">
        <v>2463</v>
      </c>
      <c r="C389" s="164" t="s">
        <v>3226</v>
      </c>
      <c r="D389" s="144" t="s">
        <v>3227</v>
      </c>
      <c r="E389" s="150" t="s">
        <v>2485</v>
      </c>
      <c r="F389" s="144" t="s">
        <v>2486</v>
      </c>
      <c r="G389" s="166"/>
      <c r="H389" s="151">
        <v>52</v>
      </c>
      <c r="I389" s="160"/>
      <c r="J389" s="159">
        <v>7.2</v>
      </c>
      <c r="K389" s="161"/>
      <c r="L389" s="159">
        <v>374.4</v>
      </c>
      <c r="M389" s="160">
        <v>374.4</v>
      </c>
      <c r="N389" s="145"/>
      <c r="O389" s="156" t="s">
        <v>135</v>
      </c>
      <c r="P389" s="144" t="s">
        <v>2478</v>
      </c>
      <c r="Q389" s="147">
        <v>48000</v>
      </c>
      <c r="R389" s="146">
        <v>2061</v>
      </c>
      <c r="S389" s="157"/>
      <c r="T389" s="144" t="s">
        <v>29</v>
      </c>
      <c r="U389" s="150" t="s">
        <v>17</v>
      </c>
      <c r="V389" s="146">
        <v>1924</v>
      </c>
      <c r="W389" s="148" t="s">
        <v>3228</v>
      </c>
      <c r="X389" s="149">
        <v>45778</v>
      </c>
      <c r="Y389" s="165" t="s">
        <v>3229</v>
      </c>
    </row>
    <row r="390" spans="1:25">
      <c r="A390" s="163" t="s">
        <v>7</v>
      </c>
      <c r="B390" s="144" t="s">
        <v>2463</v>
      </c>
      <c r="C390" s="164" t="s">
        <v>3226</v>
      </c>
      <c r="D390" s="144" t="s">
        <v>3227</v>
      </c>
      <c r="E390" s="150" t="s">
        <v>2485</v>
      </c>
      <c r="F390" s="144" t="s">
        <v>2486</v>
      </c>
      <c r="G390" s="166"/>
      <c r="H390" s="151">
        <v>53</v>
      </c>
      <c r="I390" s="160"/>
      <c r="J390" s="159">
        <v>7.2</v>
      </c>
      <c r="K390" s="161"/>
      <c r="L390" s="159">
        <v>381.6</v>
      </c>
      <c r="M390" s="160">
        <v>381.6</v>
      </c>
      <c r="N390" s="145"/>
      <c r="O390" s="156" t="s">
        <v>135</v>
      </c>
      <c r="P390" s="144" t="s">
        <v>2478</v>
      </c>
      <c r="Q390" s="147">
        <v>47088</v>
      </c>
      <c r="R390" s="146">
        <v>2059</v>
      </c>
      <c r="S390" s="157"/>
      <c r="T390" s="144" t="s">
        <v>29</v>
      </c>
      <c r="U390" s="150" t="s">
        <v>17</v>
      </c>
      <c r="V390" s="146">
        <v>1924</v>
      </c>
      <c r="W390" s="148" t="s">
        <v>3228</v>
      </c>
      <c r="X390" s="149">
        <v>45778</v>
      </c>
      <c r="Y390" s="165" t="s">
        <v>3229</v>
      </c>
    </row>
    <row r="391" spans="1:25">
      <c r="A391" s="163" t="s">
        <v>309</v>
      </c>
      <c r="B391" s="144" t="s">
        <v>2463</v>
      </c>
      <c r="C391" s="164" t="s">
        <v>3230</v>
      </c>
      <c r="D391" s="144" t="s">
        <v>1250</v>
      </c>
      <c r="E391" s="150" t="s">
        <v>2476</v>
      </c>
      <c r="F391" s="144" t="s">
        <v>2477</v>
      </c>
      <c r="G391" s="166"/>
      <c r="H391" s="151">
        <v>1</v>
      </c>
      <c r="I391" s="160">
        <v>85</v>
      </c>
      <c r="J391" s="159">
        <v>85</v>
      </c>
      <c r="K391" s="161">
        <v>85</v>
      </c>
      <c r="L391" s="159">
        <v>85</v>
      </c>
      <c r="M391" s="160">
        <v>85</v>
      </c>
      <c r="N391" s="145"/>
      <c r="O391" s="156" t="s">
        <v>135</v>
      </c>
      <c r="P391" s="144" t="s">
        <v>2478</v>
      </c>
      <c r="Q391" s="147"/>
      <c r="R391" s="146"/>
      <c r="S391" s="157"/>
      <c r="T391" s="144" t="s">
        <v>29</v>
      </c>
      <c r="U391" s="150" t="s">
        <v>2479</v>
      </c>
      <c r="V391" s="146">
        <v>1671</v>
      </c>
      <c r="W391" s="148"/>
      <c r="X391" s="149">
        <v>45689</v>
      </c>
      <c r="Y391" s="165" t="s">
        <v>3203</v>
      </c>
    </row>
    <row r="392" spans="1:25">
      <c r="A392" s="163" t="s">
        <v>380</v>
      </c>
      <c r="B392" s="144" t="s">
        <v>2463</v>
      </c>
      <c r="C392" s="164" t="s">
        <v>3231</v>
      </c>
      <c r="D392" s="144" t="s">
        <v>3232</v>
      </c>
      <c r="E392" s="150" t="s">
        <v>2466</v>
      </c>
      <c r="F392" s="144" t="s">
        <v>2467</v>
      </c>
      <c r="G392" s="166"/>
      <c r="H392" s="151">
        <v>1</v>
      </c>
      <c r="I392" s="160">
        <v>0</v>
      </c>
      <c r="J392" s="159">
        <v>20</v>
      </c>
      <c r="K392" s="161">
        <v>0</v>
      </c>
      <c r="L392" s="159">
        <v>20</v>
      </c>
      <c r="M392" s="160">
        <v>20</v>
      </c>
      <c r="N392" s="145">
        <v>40</v>
      </c>
      <c r="O392" s="156" t="s">
        <v>135</v>
      </c>
      <c r="P392" s="144" t="s">
        <v>2468</v>
      </c>
      <c r="Q392" s="147"/>
      <c r="R392" s="146">
        <v>2044</v>
      </c>
      <c r="S392" s="157"/>
      <c r="T392" s="144" t="s">
        <v>29</v>
      </c>
      <c r="U392" s="150" t="s">
        <v>20</v>
      </c>
      <c r="V392" s="146">
        <v>2429</v>
      </c>
      <c r="W392" s="148"/>
      <c r="X392" s="149">
        <v>45689</v>
      </c>
      <c r="Y392" s="165" t="s">
        <v>2538</v>
      </c>
    </row>
    <row r="393" spans="1:25">
      <c r="A393" s="163" t="s">
        <v>423</v>
      </c>
      <c r="B393" s="144" t="s">
        <v>2463</v>
      </c>
      <c r="C393" s="164" t="s">
        <v>3233</v>
      </c>
      <c r="D393" s="144" t="s">
        <v>810</v>
      </c>
      <c r="E393" s="150" t="s">
        <v>2466</v>
      </c>
      <c r="F393" s="144" t="s">
        <v>2467</v>
      </c>
      <c r="G393" s="166"/>
      <c r="H393" s="151">
        <v>1</v>
      </c>
      <c r="I393" s="160">
        <v>800</v>
      </c>
      <c r="J393" s="159">
        <v>800</v>
      </c>
      <c r="K393" s="161">
        <v>800</v>
      </c>
      <c r="L393" s="159">
        <v>800</v>
      </c>
      <c r="M393" s="160">
        <v>800</v>
      </c>
      <c r="N393" s="145">
        <v>0</v>
      </c>
      <c r="O393" s="156" t="s">
        <v>135</v>
      </c>
      <c r="P393" s="144" t="s">
        <v>2468</v>
      </c>
      <c r="Q393" s="147"/>
      <c r="R393" s="146"/>
      <c r="S393" s="157"/>
      <c r="T393" s="144" t="s">
        <v>29</v>
      </c>
      <c r="U393" s="150" t="s">
        <v>20</v>
      </c>
      <c r="V393" s="146">
        <v>2900</v>
      </c>
      <c r="W393" s="148" t="s">
        <v>3234</v>
      </c>
      <c r="X393" s="149">
        <v>45901</v>
      </c>
      <c r="Y393" s="165" t="s">
        <v>2857</v>
      </c>
    </row>
    <row r="394" spans="1:25">
      <c r="A394" s="163" t="s">
        <v>380</v>
      </c>
      <c r="B394" s="144" t="s">
        <v>163</v>
      </c>
      <c r="C394" s="164" t="s">
        <v>3235</v>
      </c>
      <c r="D394" s="144" t="s">
        <v>1045</v>
      </c>
      <c r="E394" s="150" t="s">
        <v>2555</v>
      </c>
      <c r="F394" s="144" t="s">
        <v>2556</v>
      </c>
      <c r="G394" s="166" t="s">
        <v>3236</v>
      </c>
      <c r="H394" s="151">
        <v>1</v>
      </c>
      <c r="I394" s="160"/>
      <c r="J394" s="159">
        <v>52</v>
      </c>
      <c r="K394" s="161"/>
      <c r="L394" s="159">
        <v>52</v>
      </c>
      <c r="M394" s="160">
        <v>52</v>
      </c>
      <c r="N394" s="145"/>
      <c r="O394" s="156" t="s">
        <v>166</v>
      </c>
      <c r="P394" s="144" t="s">
        <v>2468</v>
      </c>
      <c r="Q394" s="147"/>
      <c r="R394" s="146">
        <v>2030</v>
      </c>
      <c r="S394" s="157"/>
      <c r="T394" s="144" t="s">
        <v>25</v>
      </c>
      <c r="U394" s="150" t="s">
        <v>14</v>
      </c>
      <c r="V394" s="146">
        <v>1070</v>
      </c>
      <c r="W394" s="148"/>
      <c r="X394" s="149">
        <v>45689</v>
      </c>
      <c r="Y394" s="165" t="s">
        <v>2740</v>
      </c>
    </row>
    <row r="395" spans="1:25">
      <c r="A395" s="163" t="s">
        <v>380</v>
      </c>
      <c r="B395" s="144" t="s">
        <v>163</v>
      </c>
      <c r="C395" s="164" t="s">
        <v>3235</v>
      </c>
      <c r="D395" s="144" t="s">
        <v>1045</v>
      </c>
      <c r="E395" s="150" t="s">
        <v>2555</v>
      </c>
      <c r="F395" s="144" t="s">
        <v>2556</v>
      </c>
      <c r="G395" s="166" t="s">
        <v>3237</v>
      </c>
      <c r="H395" s="151">
        <v>1</v>
      </c>
      <c r="I395" s="160"/>
      <c r="J395" s="159">
        <v>52</v>
      </c>
      <c r="K395" s="161"/>
      <c r="L395" s="159">
        <v>52</v>
      </c>
      <c r="M395" s="160">
        <v>52</v>
      </c>
      <c r="N395" s="145"/>
      <c r="O395" s="156" t="s">
        <v>166</v>
      </c>
      <c r="P395" s="144" t="s">
        <v>2468</v>
      </c>
      <c r="Q395" s="147"/>
      <c r="R395" s="146">
        <v>2030</v>
      </c>
      <c r="S395" s="157"/>
      <c r="T395" s="144" t="s">
        <v>25</v>
      </c>
      <c r="U395" s="150" t="s">
        <v>14</v>
      </c>
      <c r="V395" s="146">
        <v>1070</v>
      </c>
      <c r="W395" s="148"/>
      <c r="X395" s="149">
        <v>45689</v>
      </c>
      <c r="Y395" s="165" t="s">
        <v>2740</v>
      </c>
    </row>
    <row r="396" spans="1:25">
      <c r="A396" s="163" t="s">
        <v>380</v>
      </c>
      <c r="B396" s="144" t="s">
        <v>163</v>
      </c>
      <c r="C396" s="164" t="s">
        <v>3235</v>
      </c>
      <c r="D396" s="144" t="s">
        <v>1045</v>
      </c>
      <c r="E396" s="150" t="s">
        <v>2555</v>
      </c>
      <c r="F396" s="144" t="s">
        <v>2556</v>
      </c>
      <c r="G396" s="166" t="s">
        <v>3238</v>
      </c>
      <c r="H396" s="151">
        <v>1</v>
      </c>
      <c r="I396" s="160"/>
      <c r="J396" s="159">
        <v>52</v>
      </c>
      <c r="K396" s="161"/>
      <c r="L396" s="159">
        <v>52</v>
      </c>
      <c r="M396" s="160">
        <v>52</v>
      </c>
      <c r="N396" s="145"/>
      <c r="O396" s="156" t="s">
        <v>166</v>
      </c>
      <c r="P396" s="144" t="s">
        <v>2468</v>
      </c>
      <c r="Q396" s="147"/>
      <c r="R396" s="146">
        <v>2030</v>
      </c>
      <c r="S396" s="157"/>
      <c r="T396" s="144" t="s">
        <v>25</v>
      </c>
      <c r="U396" s="150" t="s">
        <v>14</v>
      </c>
      <c r="V396" s="146">
        <v>1070</v>
      </c>
      <c r="W396" s="148"/>
      <c r="X396" s="149">
        <v>45689</v>
      </c>
      <c r="Y396" s="165" t="s">
        <v>2740</v>
      </c>
    </row>
    <row r="397" spans="1:25">
      <c r="A397" s="163" t="s">
        <v>309</v>
      </c>
      <c r="B397" s="144" t="s">
        <v>2463</v>
      </c>
      <c r="C397" s="164" t="s">
        <v>3239</v>
      </c>
      <c r="D397" s="144" t="s">
        <v>3240</v>
      </c>
      <c r="E397" s="150" t="s">
        <v>2485</v>
      </c>
      <c r="F397" s="144" t="s">
        <v>2486</v>
      </c>
      <c r="G397" s="166"/>
      <c r="H397" s="151">
        <v>1</v>
      </c>
      <c r="I397" s="160"/>
      <c r="J397" s="159">
        <v>144</v>
      </c>
      <c r="K397" s="161"/>
      <c r="L397" s="159">
        <v>144</v>
      </c>
      <c r="M397" s="160">
        <v>144</v>
      </c>
      <c r="N397" s="145"/>
      <c r="O397" s="156" t="s">
        <v>135</v>
      </c>
      <c r="P397" s="144" t="s">
        <v>2478</v>
      </c>
      <c r="Q397" s="147"/>
      <c r="R397" s="146"/>
      <c r="S397" s="157"/>
      <c r="T397" s="144" t="s">
        <v>29</v>
      </c>
      <c r="U397" s="150" t="s">
        <v>17</v>
      </c>
      <c r="V397" s="146">
        <v>3012</v>
      </c>
      <c r="W397" s="148"/>
      <c r="X397" s="149">
        <v>45901</v>
      </c>
      <c r="Y397" s="165" t="s">
        <v>3241</v>
      </c>
    </row>
    <row r="398" spans="1:25">
      <c r="A398" s="163" t="s">
        <v>309</v>
      </c>
      <c r="B398" s="144" t="s">
        <v>163</v>
      </c>
      <c r="C398" s="164" t="s">
        <v>1187</v>
      </c>
      <c r="D398" s="144" t="s">
        <v>1188</v>
      </c>
      <c r="E398" s="150" t="s">
        <v>2485</v>
      </c>
      <c r="F398" s="144" t="s">
        <v>2486</v>
      </c>
      <c r="G398" s="166" t="s">
        <v>1189</v>
      </c>
      <c r="H398" s="151">
        <v>43</v>
      </c>
      <c r="I398" s="160">
        <v>4.0199999999999996</v>
      </c>
      <c r="J398" s="159">
        <v>4.0199999999999996</v>
      </c>
      <c r="K398" s="161">
        <v>172.99</v>
      </c>
      <c r="L398" s="159">
        <v>172.99</v>
      </c>
      <c r="M398" s="160">
        <v>172.99</v>
      </c>
      <c r="N398" s="145"/>
      <c r="O398" s="156" t="s">
        <v>166</v>
      </c>
      <c r="P398" s="144" t="s">
        <v>2478</v>
      </c>
      <c r="Q398" s="147">
        <v>45200</v>
      </c>
      <c r="R398" s="146">
        <v>2053</v>
      </c>
      <c r="S398" s="157"/>
      <c r="T398" s="144" t="s">
        <v>25</v>
      </c>
      <c r="U398" s="150" t="s">
        <v>17</v>
      </c>
      <c r="V398" s="146">
        <v>1706</v>
      </c>
      <c r="W398" s="148"/>
      <c r="X398" s="149">
        <v>45689</v>
      </c>
      <c r="Y398" s="165" t="s">
        <v>2520</v>
      </c>
    </row>
    <row r="399" spans="1:25">
      <c r="A399" s="163" t="s">
        <v>7</v>
      </c>
      <c r="B399" s="144" t="s">
        <v>2463</v>
      </c>
      <c r="C399" s="164" t="s">
        <v>3242</v>
      </c>
      <c r="D399" s="144" t="s">
        <v>3243</v>
      </c>
      <c r="E399" s="150" t="s">
        <v>2491</v>
      </c>
      <c r="F399" s="144" t="s">
        <v>2477</v>
      </c>
      <c r="G399" s="166"/>
      <c r="H399" s="151">
        <v>1</v>
      </c>
      <c r="I399" s="160">
        <v>0</v>
      </c>
      <c r="J399" s="159">
        <v>188</v>
      </c>
      <c r="K399" s="161">
        <v>0</v>
      </c>
      <c r="L399" s="159">
        <v>188</v>
      </c>
      <c r="M399" s="160">
        <v>188</v>
      </c>
      <c r="N399" s="145"/>
      <c r="O399" s="156" t="s">
        <v>135</v>
      </c>
      <c r="P399" s="144" t="s">
        <v>2478</v>
      </c>
      <c r="Q399" s="147"/>
      <c r="R399" s="146"/>
      <c r="S399" s="157"/>
      <c r="T399" s="144" t="s">
        <v>29</v>
      </c>
      <c r="U399" s="150" t="s">
        <v>2479</v>
      </c>
      <c r="V399" s="146">
        <v>1907</v>
      </c>
      <c r="W399" s="148" t="s">
        <v>3244</v>
      </c>
      <c r="X399" s="149">
        <v>45901</v>
      </c>
      <c r="Y399" s="165" t="s">
        <v>3245</v>
      </c>
    </row>
    <row r="400" spans="1:25">
      <c r="A400" s="163" t="s">
        <v>423</v>
      </c>
      <c r="B400" s="144" t="s">
        <v>163</v>
      </c>
      <c r="C400" s="164" t="s">
        <v>1454</v>
      </c>
      <c r="D400" s="144" t="s">
        <v>746</v>
      </c>
      <c r="E400" s="150" t="s">
        <v>2485</v>
      </c>
      <c r="F400" s="144" t="s">
        <v>2486</v>
      </c>
      <c r="G400" s="166" t="s">
        <v>1731</v>
      </c>
      <c r="H400" s="151">
        <v>40</v>
      </c>
      <c r="I400" s="160">
        <v>4.2</v>
      </c>
      <c r="J400" s="159">
        <v>4.2</v>
      </c>
      <c r="K400" s="161">
        <v>168</v>
      </c>
      <c r="L400" s="159">
        <v>168</v>
      </c>
      <c r="M400" s="160">
        <v>168</v>
      </c>
      <c r="N400" s="145"/>
      <c r="O400" s="156" t="s">
        <v>166</v>
      </c>
      <c r="P400" s="144" t="s">
        <v>2478</v>
      </c>
      <c r="Q400" s="147">
        <v>44713</v>
      </c>
      <c r="R400" s="146">
        <v>2045</v>
      </c>
      <c r="S400" s="157"/>
      <c r="T400" s="144" t="s">
        <v>25</v>
      </c>
      <c r="U400" s="150" t="s">
        <v>17</v>
      </c>
      <c r="V400" s="146">
        <v>1303</v>
      </c>
      <c r="W400" s="148"/>
      <c r="X400" s="149">
        <v>45689</v>
      </c>
      <c r="Y400" s="165" t="s">
        <v>2609</v>
      </c>
    </row>
    <row r="401" spans="1:25">
      <c r="A401" s="163" t="s">
        <v>423</v>
      </c>
      <c r="B401" s="144" t="s">
        <v>163</v>
      </c>
      <c r="C401" s="164" t="s">
        <v>1454</v>
      </c>
      <c r="D401" s="144" t="s">
        <v>746</v>
      </c>
      <c r="E401" s="150" t="s">
        <v>2485</v>
      </c>
      <c r="F401" s="144" t="s">
        <v>2486</v>
      </c>
      <c r="G401" s="166" t="s">
        <v>3246</v>
      </c>
      <c r="H401" s="151">
        <v>11</v>
      </c>
      <c r="I401" s="160">
        <v>4.2</v>
      </c>
      <c r="J401" s="159">
        <v>4.2</v>
      </c>
      <c r="K401" s="161">
        <v>46.2</v>
      </c>
      <c r="L401" s="159">
        <v>46.2</v>
      </c>
      <c r="M401" s="160">
        <v>46.2</v>
      </c>
      <c r="N401" s="145"/>
      <c r="O401" s="156" t="s">
        <v>166</v>
      </c>
      <c r="P401" s="144" t="s">
        <v>2478</v>
      </c>
      <c r="Q401" s="147">
        <v>44713</v>
      </c>
      <c r="R401" s="146">
        <v>2045</v>
      </c>
      <c r="S401" s="157"/>
      <c r="T401" s="144" t="s">
        <v>25</v>
      </c>
      <c r="U401" s="150" t="s">
        <v>17</v>
      </c>
      <c r="V401" s="146">
        <v>1303</v>
      </c>
      <c r="W401" s="148"/>
      <c r="X401" s="149">
        <v>45689</v>
      </c>
      <c r="Y401" s="165" t="s">
        <v>2609</v>
      </c>
    </row>
    <row r="402" spans="1:25">
      <c r="A402" s="163" t="s">
        <v>423</v>
      </c>
      <c r="B402" s="144" t="s">
        <v>163</v>
      </c>
      <c r="C402" s="164" t="s">
        <v>1454</v>
      </c>
      <c r="D402" s="144" t="s">
        <v>746</v>
      </c>
      <c r="E402" s="150" t="s">
        <v>2485</v>
      </c>
      <c r="F402" s="144" t="s">
        <v>2486</v>
      </c>
      <c r="G402" s="166" t="s">
        <v>3247</v>
      </c>
      <c r="H402" s="151">
        <v>29</v>
      </c>
      <c r="I402" s="160">
        <v>4.2</v>
      </c>
      <c r="J402" s="159">
        <v>4.2</v>
      </c>
      <c r="K402" s="161">
        <v>121.8</v>
      </c>
      <c r="L402" s="159">
        <v>121.8</v>
      </c>
      <c r="M402" s="160">
        <v>121.8</v>
      </c>
      <c r="N402" s="145"/>
      <c r="O402" s="156" t="s">
        <v>166</v>
      </c>
      <c r="P402" s="144" t="s">
        <v>2478</v>
      </c>
      <c r="Q402" s="147">
        <v>44713</v>
      </c>
      <c r="R402" s="146">
        <v>2045</v>
      </c>
      <c r="S402" s="157"/>
      <c r="T402" s="144" t="s">
        <v>25</v>
      </c>
      <c r="U402" s="150" t="s">
        <v>17</v>
      </c>
      <c r="V402" s="146">
        <v>1303</v>
      </c>
      <c r="W402" s="148"/>
      <c r="X402" s="149">
        <v>45689</v>
      </c>
      <c r="Y402" s="165" t="s">
        <v>2609</v>
      </c>
    </row>
    <row r="403" spans="1:25">
      <c r="A403" s="163" t="s">
        <v>7</v>
      </c>
      <c r="B403" s="144" t="s">
        <v>2463</v>
      </c>
      <c r="C403" s="164" t="s">
        <v>3248</v>
      </c>
      <c r="D403" s="144" t="s">
        <v>3249</v>
      </c>
      <c r="E403" s="150" t="s">
        <v>2491</v>
      </c>
      <c r="F403" s="144" t="s">
        <v>2477</v>
      </c>
      <c r="G403" s="166"/>
      <c r="H403" s="151">
        <v>1</v>
      </c>
      <c r="I403" s="160">
        <v>55</v>
      </c>
      <c r="J403" s="159">
        <v>55</v>
      </c>
      <c r="K403" s="161">
        <v>55</v>
      </c>
      <c r="L403" s="159">
        <v>55</v>
      </c>
      <c r="M403" s="160">
        <v>55</v>
      </c>
      <c r="N403" s="145"/>
      <c r="O403" s="156" t="s">
        <v>135</v>
      </c>
      <c r="P403" s="144" t="s">
        <v>2478</v>
      </c>
      <c r="Q403" s="147"/>
      <c r="R403" s="146"/>
      <c r="S403" s="157"/>
      <c r="T403" s="144" t="s">
        <v>29</v>
      </c>
      <c r="U403" s="150" t="s">
        <v>2479</v>
      </c>
      <c r="V403" s="146">
        <v>1632</v>
      </c>
      <c r="W403" s="148"/>
      <c r="X403" s="149">
        <v>45778</v>
      </c>
      <c r="Y403" s="165" t="s">
        <v>2865</v>
      </c>
    </row>
    <row r="404" spans="1:25">
      <c r="A404" s="163" t="s">
        <v>7</v>
      </c>
      <c r="B404" s="144" t="s">
        <v>2463</v>
      </c>
      <c r="C404" s="164" t="s">
        <v>3250</v>
      </c>
      <c r="D404" s="144" t="s">
        <v>3251</v>
      </c>
      <c r="E404" s="150" t="s">
        <v>2636</v>
      </c>
      <c r="F404" s="144" t="s">
        <v>2482</v>
      </c>
      <c r="G404" s="166"/>
      <c r="H404" s="151">
        <v>2</v>
      </c>
      <c r="I404" s="160">
        <v>150</v>
      </c>
      <c r="J404" s="159">
        <v>150</v>
      </c>
      <c r="K404" s="161">
        <v>300</v>
      </c>
      <c r="L404" s="159">
        <v>300</v>
      </c>
      <c r="M404" s="160">
        <v>300</v>
      </c>
      <c r="N404" s="145">
        <v>3000</v>
      </c>
      <c r="O404" s="156" t="s">
        <v>135</v>
      </c>
      <c r="P404" s="144" t="s">
        <v>2468</v>
      </c>
      <c r="Q404" s="147">
        <v>47543</v>
      </c>
      <c r="R404" s="146"/>
      <c r="S404" s="157"/>
      <c r="T404" s="144" t="s">
        <v>29</v>
      </c>
      <c r="U404" s="150" t="s">
        <v>18</v>
      </c>
      <c r="V404" s="146">
        <v>1926</v>
      </c>
      <c r="W404" s="148" t="s">
        <v>3252</v>
      </c>
      <c r="X404" s="149">
        <v>45689</v>
      </c>
      <c r="Y404" s="165" t="s">
        <v>2474</v>
      </c>
    </row>
    <row r="405" spans="1:25">
      <c r="A405" s="163" t="s">
        <v>309</v>
      </c>
      <c r="B405" s="144" t="s">
        <v>2463</v>
      </c>
      <c r="C405" s="164" t="s">
        <v>3253</v>
      </c>
      <c r="D405" s="144" t="s">
        <v>3254</v>
      </c>
      <c r="E405" s="150" t="s">
        <v>2466</v>
      </c>
      <c r="F405" s="144" t="s">
        <v>2467</v>
      </c>
      <c r="G405" s="166"/>
      <c r="H405" s="151">
        <v>63</v>
      </c>
      <c r="I405" s="160">
        <v>0</v>
      </c>
      <c r="J405" s="159">
        <v>3.6</v>
      </c>
      <c r="K405" s="161">
        <v>0</v>
      </c>
      <c r="L405" s="159">
        <v>226.8</v>
      </c>
      <c r="M405" s="160">
        <v>226.8</v>
      </c>
      <c r="N405" s="145">
        <v>300</v>
      </c>
      <c r="O405" s="156" t="s">
        <v>135</v>
      </c>
      <c r="P405" s="144" t="s">
        <v>2468</v>
      </c>
      <c r="Q405" s="147"/>
      <c r="R405" s="146"/>
      <c r="S405" s="157"/>
      <c r="T405" s="144" t="s">
        <v>29</v>
      </c>
      <c r="U405" s="150" t="s">
        <v>20</v>
      </c>
      <c r="V405" s="146">
        <v>2498</v>
      </c>
      <c r="W405" s="148" t="s">
        <v>3255</v>
      </c>
      <c r="X405" s="149">
        <v>45170</v>
      </c>
      <c r="Y405" s="165" t="s">
        <v>2538</v>
      </c>
    </row>
    <row r="406" spans="1:25">
      <c r="A406" s="163" t="s">
        <v>309</v>
      </c>
      <c r="B406" s="144" t="s">
        <v>2463</v>
      </c>
      <c r="C406" s="164" t="s">
        <v>3256</v>
      </c>
      <c r="D406" s="144" t="s">
        <v>3254</v>
      </c>
      <c r="E406" s="150" t="s">
        <v>2491</v>
      </c>
      <c r="F406" s="144" t="s">
        <v>2477</v>
      </c>
      <c r="G406" s="166"/>
      <c r="H406" s="151">
        <v>95</v>
      </c>
      <c r="I406" s="160">
        <v>0</v>
      </c>
      <c r="J406" s="159">
        <v>3.8</v>
      </c>
      <c r="K406" s="161">
        <v>0</v>
      </c>
      <c r="L406" s="159">
        <v>361</v>
      </c>
      <c r="M406" s="160">
        <v>361</v>
      </c>
      <c r="N406" s="145"/>
      <c r="O406" s="156" t="s">
        <v>135</v>
      </c>
      <c r="P406" s="144" t="s">
        <v>2478</v>
      </c>
      <c r="Q406" s="147"/>
      <c r="R406" s="146"/>
      <c r="S406" s="157"/>
      <c r="T406" s="144" t="s">
        <v>29</v>
      </c>
      <c r="U406" s="150" t="s">
        <v>2479</v>
      </c>
      <c r="V406" s="146">
        <v>2497</v>
      </c>
      <c r="W406" s="148" t="s">
        <v>3255</v>
      </c>
      <c r="X406" s="149">
        <v>45170</v>
      </c>
      <c r="Y406" s="165" t="s">
        <v>2538</v>
      </c>
    </row>
    <row r="407" spans="1:25">
      <c r="A407" s="163" t="s">
        <v>309</v>
      </c>
      <c r="B407" s="144" t="s">
        <v>2463</v>
      </c>
      <c r="C407" s="164" t="s">
        <v>3257</v>
      </c>
      <c r="D407" s="144" t="s">
        <v>3258</v>
      </c>
      <c r="E407" s="150" t="s">
        <v>2466</v>
      </c>
      <c r="F407" s="144" t="s">
        <v>2467</v>
      </c>
      <c r="G407" s="166"/>
      <c r="H407" s="151">
        <v>1</v>
      </c>
      <c r="I407" s="160">
        <v>500</v>
      </c>
      <c r="J407" s="159">
        <v>500</v>
      </c>
      <c r="K407" s="161">
        <v>500</v>
      </c>
      <c r="L407" s="159">
        <v>500</v>
      </c>
      <c r="M407" s="160">
        <v>500</v>
      </c>
      <c r="N407" s="145">
        <v>0</v>
      </c>
      <c r="O407" s="156" t="s">
        <v>135</v>
      </c>
      <c r="P407" s="144" t="s">
        <v>2468</v>
      </c>
      <c r="Q407" s="147"/>
      <c r="R407" s="146"/>
      <c r="S407" s="157"/>
      <c r="T407" s="144" t="s">
        <v>29</v>
      </c>
      <c r="U407" s="150" t="s">
        <v>20</v>
      </c>
      <c r="V407" s="146">
        <v>3079</v>
      </c>
      <c r="W407" s="148" t="s">
        <v>3259</v>
      </c>
      <c r="X407" s="149">
        <v>45901</v>
      </c>
      <c r="Y407" s="165" t="s">
        <v>2942</v>
      </c>
    </row>
    <row r="408" spans="1:25">
      <c r="A408" s="163" t="s">
        <v>7</v>
      </c>
      <c r="B408" s="144" t="s">
        <v>163</v>
      </c>
      <c r="C408" s="164" t="s">
        <v>3260</v>
      </c>
      <c r="D408" s="144" t="s">
        <v>1665</v>
      </c>
      <c r="E408" s="150" t="s">
        <v>2506</v>
      </c>
      <c r="F408" s="144" t="s">
        <v>3046</v>
      </c>
      <c r="G408" s="166" t="s">
        <v>3261</v>
      </c>
      <c r="H408" s="151">
        <v>4</v>
      </c>
      <c r="I408" s="160"/>
      <c r="J408" s="159">
        <v>1.26</v>
      </c>
      <c r="K408" s="161"/>
      <c r="L408" s="159">
        <v>5.0599999999999996</v>
      </c>
      <c r="M408" s="160">
        <v>5.0599999999999996</v>
      </c>
      <c r="N408" s="145"/>
      <c r="O408" s="156" t="s">
        <v>166</v>
      </c>
      <c r="P408" s="144" t="s">
        <v>2480</v>
      </c>
      <c r="Q408" s="147"/>
      <c r="R408" s="146">
        <v>2025</v>
      </c>
      <c r="S408" s="157"/>
      <c r="T408" s="144" t="s">
        <v>25</v>
      </c>
      <c r="U408" s="150" t="s">
        <v>19</v>
      </c>
      <c r="V408" s="146">
        <v>1328</v>
      </c>
      <c r="W408" s="148"/>
      <c r="X408" s="149">
        <v>45566</v>
      </c>
      <c r="Y408" s="165" t="s">
        <v>2836</v>
      </c>
    </row>
    <row r="409" spans="1:25">
      <c r="A409" s="163" t="s">
        <v>7</v>
      </c>
      <c r="B409" s="144" t="s">
        <v>163</v>
      </c>
      <c r="C409" s="164" t="s">
        <v>3262</v>
      </c>
      <c r="D409" s="144" t="s">
        <v>1017</v>
      </c>
      <c r="E409" s="150" t="s">
        <v>2506</v>
      </c>
      <c r="F409" s="144" t="s">
        <v>3046</v>
      </c>
      <c r="G409" s="166"/>
      <c r="H409" s="151">
        <v>4</v>
      </c>
      <c r="I409" s="160"/>
      <c r="J409" s="159">
        <v>1.1200000000000001</v>
      </c>
      <c r="K409" s="161"/>
      <c r="L409" s="159">
        <v>4.49</v>
      </c>
      <c r="M409" s="160">
        <v>4.49</v>
      </c>
      <c r="N409" s="145"/>
      <c r="O409" s="156" t="s">
        <v>166</v>
      </c>
      <c r="P409" s="144" t="s">
        <v>2480</v>
      </c>
      <c r="Q409" s="147"/>
      <c r="R409" s="146">
        <v>2042</v>
      </c>
      <c r="S409" s="157"/>
      <c r="T409" s="144" t="s">
        <v>25</v>
      </c>
      <c r="U409" s="150" t="s">
        <v>19</v>
      </c>
      <c r="V409" s="146">
        <v>1071</v>
      </c>
      <c r="W409" s="148"/>
      <c r="X409" s="149">
        <v>45566</v>
      </c>
      <c r="Y409" s="165" t="s">
        <v>3156</v>
      </c>
    </row>
    <row r="410" spans="1:25">
      <c r="A410" s="163" t="s">
        <v>7</v>
      </c>
      <c r="B410" s="144" t="s">
        <v>2463</v>
      </c>
      <c r="C410" s="164" t="s">
        <v>3263</v>
      </c>
      <c r="D410" s="144" t="s">
        <v>3264</v>
      </c>
      <c r="E410" s="150" t="s">
        <v>2630</v>
      </c>
      <c r="F410" s="144" t="s">
        <v>2486</v>
      </c>
      <c r="G410" s="166"/>
      <c r="H410" s="151">
        <v>115</v>
      </c>
      <c r="I410" s="160">
        <v>15</v>
      </c>
      <c r="J410" s="159">
        <v>15</v>
      </c>
      <c r="K410" s="161">
        <v>1725</v>
      </c>
      <c r="L410" s="159">
        <v>1725</v>
      </c>
      <c r="M410" s="160">
        <v>1725</v>
      </c>
      <c r="N410" s="145"/>
      <c r="O410" s="156" t="s">
        <v>135</v>
      </c>
      <c r="P410" s="144" t="s">
        <v>2478</v>
      </c>
      <c r="Q410" s="147"/>
      <c r="R410" s="146"/>
      <c r="S410" s="157"/>
      <c r="T410" s="144" t="s">
        <v>29</v>
      </c>
      <c r="U410" s="150" t="s">
        <v>17</v>
      </c>
      <c r="V410" s="146">
        <v>2459</v>
      </c>
      <c r="W410" s="148" t="s">
        <v>3265</v>
      </c>
      <c r="X410" s="149">
        <v>45017</v>
      </c>
      <c r="Y410" s="165" t="s">
        <v>3266</v>
      </c>
    </row>
    <row r="411" spans="1:25">
      <c r="A411" s="163" t="s">
        <v>7</v>
      </c>
      <c r="B411" s="144" t="s">
        <v>2463</v>
      </c>
      <c r="C411" s="164" t="s">
        <v>3267</v>
      </c>
      <c r="D411" s="144" t="s">
        <v>3268</v>
      </c>
      <c r="E411" s="150" t="s">
        <v>2466</v>
      </c>
      <c r="F411" s="144" t="s">
        <v>2467</v>
      </c>
      <c r="G411" s="166"/>
      <c r="H411" s="151">
        <v>1</v>
      </c>
      <c r="I411" s="160">
        <v>100</v>
      </c>
      <c r="J411" s="159">
        <v>100</v>
      </c>
      <c r="K411" s="161">
        <v>100</v>
      </c>
      <c r="L411" s="159">
        <v>100</v>
      </c>
      <c r="M411" s="160">
        <v>100</v>
      </c>
      <c r="N411" s="145">
        <v>0</v>
      </c>
      <c r="O411" s="156" t="s">
        <v>135</v>
      </c>
      <c r="P411" s="144" t="s">
        <v>2468</v>
      </c>
      <c r="Q411" s="147"/>
      <c r="R411" s="146"/>
      <c r="S411" s="157"/>
      <c r="T411" s="144" t="s">
        <v>29</v>
      </c>
      <c r="U411" s="150" t="s">
        <v>20</v>
      </c>
      <c r="V411" s="146">
        <v>3049</v>
      </c>
      <c r="W411" s="148" t="s">
        <v>3269</v>
      </c>
      <c r="X411" s="149">
        <v>45901</v>
      </c>
      <c r="Y411" s="165" t="s">
        <v>2683</v>
      </c>
    </row>
    <row r="412" spans="1:25">
      <c r="A412" s="163" t="s">
        <v>7</v>
      </c>
      <c r="B412" s="144" t="s">
        <v>2463</v>
      </c>
      <c r="C412" s="164" t="s">
        <v>3270</v>
      </c>
      <c r="D412" s="144" t="s">
        <v>3271</v>
      </c>
      <c r="E412" s="150" t="s">
        <v>2476</v>
      </c>
      <c r="F412" s="144" t="s">
        <v>2477</v>
      </c>
      <c r="G412" s="166"/>
      <c r="H412" s="151">
        <v>84</v>
      </c>
      <c r="I412" s="160">
        <v>4.17</v>
      </c>
      <c r="J412" s="159">
        <v>4.17</v>
      </c>
      <c r="K412" s="161">
        <v>350.28</v>
      </c>
      <c r="L412" s="159">
        <v>350.28</v>
      </c>
      <c r="M412" s="160">
        <v>350.28</v>
      </c>
      <c r="N412" s="145"/>
      <c r="O412" s="156" t="s">
        <v>135</v>
      </c>
      <c r="P412" s="144" t="s">
        <v>2478</v>
      </c>
      <c r="Q412" s="147"/>
      <c r="R412" s="146"/>
      <c r="S412" s="157"/>
      <c r="T412" s="144" t="s">
        <v>29</v>
      </c>
      <c r="U412" s="150" t="s">
        <v>2479</v>
      </c>
      <c r="V412" s="146">
        <v>2640</v>
      </c>
      <c r="W412" s="148" t="s">
        <v>3272</v>
      </c>
      <c r="X412" s="149">
        <v>45901</v>
      </c>
      <c r="Y412" s="165" t="s">
        <v>2600</v>
      </c>
    </row>
    <row r="413" spans="1:25">
      <c r="A413" s="163" t="s">
        <v>7</v>
      </c>
      <c r="B413" s="144" t="s">
        <v>2463</v>
      </c>
      <c r="C413" s="164" t="s">
        <v>3273</v>
      </c>
      <c r="D413" s="144" t="s">
        <v>3271</v>
      </c>
      <c r="E413" s="150" t="s">
        <v>2466</v>
      </c>
      <c r="F413" s="144" t="s">
        <v>2467</v>
      </c>
      <c r="G413" s="166"/>
      <c r="H413" s="151">
        <v>1</v>
      </c>
      <c r="I413" s="160">
        <v>350</v>
      </c>
      <c r="J413" s="159">
        <v>350</v>
      </c>
      <c r="K413" s="161">
        <v>350</v>
      </c>
      <c r="L413" s="159">
        <v>350</v>
      </c>
      <c r="M413" s="160">
        <v>350</v>
      </c>
      <c r="N413" s="145">
        <v>0</v>
      </c>
      <c r="O413" s="156" t="s">
        <v>135</v>
      </c>
      <c r="P413" s="144" t="s">
        <v>2468</v>
      </c>
      <c r="Q413" s="147"/>
      <c r="R413" s="146"/>
      <c r="S413" s="157"/>
      <c r="T413" s="144" t="s">
        <v>29</v>
      </c>
      <c r="U413" s="150" t="s">
        <v>20</v>
      </c>
      <c r="V413" s="146">
        <v>2641</v>
      </c>
      <c r="W413" s="148" t="s">
        <v>3272</v>
      </c>
      <c r="X413" s="149">
        <v>45901</v>
      </c>
      <c r="Y413" s="165" t="s">
        <v>2600</v>
      </c>
    </row>
    <row r="414" spans="1:25">
      <c r="A414" s="163" t="s">
        <v>7</v>
      </c>
      <c r="B414" s="144" t="s">
        <v>2463</v>
      </c>
      <c r="C414" s="164" t="s">
        <v>3274</v>
      </c>
      <c r="D414" s="144" t="s">
        <v>3275</v>
      </c>
      <c r="E414" s="150" t="s">
        <v>2630</v>
      </c>
      <c r="F414" s="144" t="s">
        <v>2486</v>
      </c>
      <c r="G414" s="166"/>
      <c r="H414" s="151">
        <v>1</v>
      </c>
      <c r="I414" s="160"/>
      <c r="J414" s="159">
        <v>2000</v>
      </c>
      <c r="K414" s="161"/>
      <c r="L414" s="159">
        <v>2000</v>
      </c>
      <c r="M414" s="160">
        <v>2000</v>
      </c>
      <c r="N414" s="145"/>
      <c r="O414" s="156" t="s">
        <v>135</v>
      </c>
      <c r="P414" s="144" t="s">
        <v>2478</v>
      </c>
      <c r="Q414" s="147">
        <v>48945</v>
      </c>
      <c r="R414" s="146"/>
      <c r="S414" s="157"/>
      <c r="T414" s="144" t="s">
        <v>29</v>
      </c>
      <c r="U414" s="150" t="s">
        <v>17</v>
      </c>
      <c r="V414" s="146">
        <v>2026</v>
      </c>
      <c r="W414" s="148"/>
      <c r="X414" s="149">
        <v>45901</v>
      </c>
      <c r="Y414" s="165" t="s">
        <v>3276</v>
      </c>
    </row>
    <row r="415" spans="1:25">
      <c r="A415" s="163" t="s">
        <v>309</v>
      </c>
      <c r="B415" s="144" t="s">
        <v>163</v>
      </c>
      <c r="C415" s="164" t="s">
        <v>1390</v>
      </c>
      <c r="D415" s="144" t="s">
        <v>1259</v>
      </c>
      <c r="E415" s="150" t="s">
        <v>2491</v>
      </c>
      <c r="F415" s="144" t="s">
        <v>2477</v>
      </c>
      <c r="G415" s="166" t="s">
        <v>3277</v>
      </c>
      <c r="H415" s="151">
        <v>1</v>
      </c>
      <c r="I415" s="160">
        <v>0</v>
      </c>
      <c r="J415" s="159">
        <v>180</v>
      </c>
      <c r="K415" s="161">
        <v>0</v>
      </c>
      <c r="L415" s="159">
        <v>180</v>
      </c>
      <c r="M415" s="160">
        <v>180</v>
      </c>
      <c r="N415" s="145"/>
      <c r="O415" s="156" t="s">
        <v>166</v>
      </c>
      <c r="P415" s="144" t="s">
        <v>2478</v>
      </c>
      <c r="Q415" s="147">
        <v>45352</v>
      </c>
      <c r="R415" s="146">
        <v>2053</v>
      </c>
      <c r="S415" s="157"/>
      <c r="T415" s="144" t="s">
        <v>25</v>
      </c>
      <c r="U415" s="150" t="s">
        <v>2479</v>
      </c>
      <c r="V415" s="146">
        <v>1902</v>
      </c>
      <c r="W415" s="148"/>
      <c r="X415" s="149">
        <v>45689</v>
      </c>
      <c r="Y415" s="165" t="s">
        <v>3278</v>
      </c>
    </row>
    <row r="416" spans="1:25">
      <c r="A416" s="163" t="s">
        <v>309</v>
      </c>
      <c r="B416" s="144" t="s">
        <v>2463</v>
      </c>
      <c r="C416" s="164" t="s">
        <v>3279</v>
      </c>
      <c r="D416" s="144" t="s">
        <v>3280</v>
      </c>
      <c r="E416" s="150" t="s">
        <v>2466</v>
      </c>
      <c r="F416" s="144" t="s">
        <v>2467</v>
      </c>
      <c r="G416" s="166"/>
      <c r="H416" s="151">
        <v>1</v>
      </c>
      <c r="I416" s="160">
        <v>150</v>
      </c>
      <c r="J416" s="159">
        <v>150</v>
      </c>
      <c r="K416" s="161">
        <v>150</v>
      </c>
      <c r="L416" s="159">
        <v>150</v>
      </c>
      <c r="M416" s="160">
        <v>150</v>
      </c>
      <c r="N416" s="145">
        <v>600</v>
      </c>
      <c r="O416" s="156" t="s">
        <v>135</v>
      </c>
      <c r="P416" s="144" t="s">
        <v>2468</v>
      </c>
      <c r="Q416" s="147"/>
      <c r="R416" s="146"/>
      <c r="S416" s="157"/>
      <c r="T416" s="144" t="s">
        <v>29</v>
      </c>
      <c r="U416" s="150" t="s">
        <v>20</v>
      </c>
      <c r="V416" s="146">
        <v>3083</v>
      </c>
      <c r="W416" s="148"/>
      <c r="X416" s="149"/>
      <c r="Y416" s="165"/>
    </row>
    <row r="417" spans="1:25">
      <c r="A417" s="163" t="s">
        <v>423</v>
      </c>
      <c r="B417" s="144" t="s">
        <v>163</v>
      </c>
      <c r="C417" s="164" t="s">
        <v>3281</v>
      </c>
      <c r="D417" s="144" t="s">
        <v>1511</v>
      </c>
      <c r="E417" s="150" t="s">
        <v>2593</v>
      </c>
      <c r="F417" s="144" t="s">
        <v>2482</v>
      </c>
      <c r="G417" s="166" t="s">
        <v>3282</v>
      </c>
      <c r="H417" s="151">
        <v>1</v>
      </c>
      <c r="I417" s="160"/>
      <c r="J417" s="159">
        <v>7.5</v>
      </c>
      <c r="K417" s="161"/>
      <c r="L417" s="159">
        <v>7.5</v>
      </c>
      <c r="M417" s="160">
        <v>7.5</v>
      </c>
      <c r="N417" s="145"/>
      <c r="O417" s="156" t="s">
        <v>166</v>
      </c>
      <c r="P417" s="144" t="s">
        <v>2468</v>
      </c>
      <c r="Q417" s="147"/>
      <c r="R417" s="146">
        <v>2057</v>
      </c>
      <c r="S417" s="157"/>
      <c r="T417" s="144" t="s">
        <v>25</v>
      </c>
      <c r="U417" s="150" t="s">
        <v>18</v>
      </c>
      <c r="V417" s="146">
        <v>1072</v>
      </c>
      <c r="W417" s="148"/>
      <c r="X417" s="149">
        <v>45689</v>
      </c>
      <c r="Y417" s="165" t="s">
        <v>2558</v>
      </c>
    </row>
    <row r="418" spans="1:25">
      <c r="A418" s="163" t="s">
        <v>423</v>
      </c>
      <c r="B418" s="144" t="s">
        <v>163</v>
      </c>
      <c r="C418" s="164" t="s">
        <v>3281</v>
      </c>
      <c r="D418" s="144" t="s">
        <v>1511</v>
      </c>
      <c r="E418" s="150" t="s">
        <v>2593</v>
      </c>
      <c r="F418" s="144" t="s">
        <v>2482</v>
      </c>
      <c r="G418" s="166" t="s">
        <v>3282</v>
      </c>
      <c r="H418" s="151">
        <v>1</v>
      </c>
      <c r="I418" s="160"/>
      <c r="J418" s="159">
        <v>60</v>
      </c>
      <c r="K418" s="161"/>
      <c r="L418" s="159">
        <v>60</v>
      </c>
      <c r="M418" s="160">
        <v>60</v>
      </c>
      <c r="N418" s="145"/>
      <c r="O418" s="156" t="s">
        <v>166</v>
      </c>
      <c r="P418" s="144" t="s">
        <v>2468</v>
      </c>
      <c r="Q418" s="147"/>
      <c r="R418" s="146">
        <v>2057</v>
      </c>
      <c r="S418" s="157"/>
      <c r="T418" s="144" t="s">
        <v>25</v>
      </c>
      <c r="U418" s="150" t="s">
        <v>18</v>
      </c>
      <c r="V418" s="146">
        <v>1072</v>
      </c>
      <c r="W418" s="148"/>
      <c r="X418" s="149">
        <v>45689</v>
      </c>
      <c r="Y418" s="165" t="s">
        <v>2558</v>
      </c>
    </row>
    <row r="419" spans="1:25">
      <c r="A419" s="163" t="s">
        <v>423</v>
      </c>
      <c r="B419" s="144" t="s">
        <v>163</v>
      </c>
      <c r="C419" s="164" t="s">
        <v>3281</v>
      </c>
      <c r="D419" s="144" t="s">
        <v>1511</v>
      </c>
      <c r="E419" s="150" t="s">
        <v>2593</v>
      </c>
      <c r="F419" s="144" t="s">
        <v>2482</v>
      </c>
      <c r="G419" s="166" t="s">
        <v>3283</v>
      </c>
      <c r="H419" s="151">
        <v>1</v>
      </c>
      <c r="I419" s="160"/>
      <c r="J419" s="159">
        <v>7.5</v>
      </c>
      <c r="K419" s="161"/>
      <c r="L419" s="159">
        <v>7.5</v>
      </c>
      <c r="M419" s="160">
        <v>7.5</v>
      </c>
      <c r="N419" s="145"/>
      <c r="O419" s="156" t="s">
        <v>166</v>
      </c>
      <c r="P419" s="144" t="s">
        <v>2468</v>
      </c>
      <c r="Q419" s="147"/>
      <c r="R419" s="146">
        <v>2057</v>
      </c>
      <c r="S419" s="157"/>
      <c r="T419" s="144" t="s">
        <v>25</v>
      </c>
      <c r="U419" s="150" t="s">
        <v>18</v>
      </c>
      <c r="V419" s="146">
        <v>1072</v>
      </c>
      <c r="W419" s="148"/>
      <c r="X419" s="149">
        <v>45689</v>
      </c>
      <c r="Y419" s="165" t="s">
        <v>2558</v>
      </c>
    </row>
    <row r="420" spans="1:25">
      <c r="A420" s="163" t="s">
        <v>423</v>
      </c>
      <c r="B420" s="144" t="s">
        <v>163</v>
      </c>
      <c r="C420" s="164" t="s">
        <v>3281</v>
      </c>
      <c r="D420" s="144" t="s">
        <v>1511</v>
      </c>
      <c r="E420" s="150" t="s">
        <v>2593</v>
      </c>
      <c r="F420" s="144" t="s">
        <v>2482</v>
      </c>
      <c r="G420" s="166" t="s">
        <v>3283</v>
      </c>
      <c r="H420" s="151">
        <v>1</v>
      </c>
      <c r="I420" s="160"/>
      <c r="J420" s="159">
        <v>60</v>
      </c>
      <c r="K420" s="161"/>
      <c r="L420" s="159">
        <v>60</v>
      </c>
      <c r="M420" s="160">
        <v>60</v>
      </c>
      <c r="N420" s="145"/>
      <c r="O420" s="156" t="s">
        <v>166</v>
      </c>
      <c r="P420" s="144" t="s">
        <v>2468</v>
      </c>
      <c r="Q420" s="147"/>
      <c r="R420" s="146">
        <v>2057</v>
      </c>
      <c r="S420" s="157"/>
      <c r="T420" s="144" t="s">
        <v>25</v>
      </c>
      <c r="U420" s="150" t="s">
        <v>18</v>
      </c>
      <c r="V420" s="146">
        <v>1072</v>
      </c>
      <c r="W420" s="148"/>
      <c r="X420" s="149">
        <v>45689</v>
      </c>
      <c r="Y420" s="165" t="s">
        <v>2558</v>
      </c>
    </row>
    <row r="421" spans="1:25">
      <c r="A421" s="163" t="s">
        <v>423</v>
      </c>
      <c r="B421" s="144" t="s">
        <v>163</v>
      </c>
      <c r="C421" s="164" t="s">
        <v>569</v>
      </c>
      <c r="D421" s="144" t="s">
        <v>523</v>
      </c>
      <c r="E421" s="150" t="s">
        <v>2481</v>
      </c>
      <c r="F421" s="144" t="s">
        <v>2482</v>
      </c>
      <c r="G421" s="166" t="s">
        <v>570</v>
      </c>
      <c r="H421" s="151">
        <v>1</v>
      </c>
      <c r="I421" s="160">
        <v>4.5</v>
      </c>
      <c r="J421" s="159">
        <v>4.5</v>
      </c>
      <c r="K421" s="161">
        <v>4.5</v>
      </c>
      <c r="L421" s="159">
        <v>4.5</v>
      </c>
      <c r="M421" s="160">
        <v>4.5</v>
      </c>
      <c r="N421" s="145"/>
      <c r="O421" s="156" t="s">
        <v>166</v>
      </c>
      <c r="P421" s="144" t="s">
        <v>2480</v>
      </c>
      <c r="Q421" s="147"/>
      <c r="R421" s="146">
        <v>2044</v>
      </c>
      <c r="S421" s="157"/>
      <c r="T421" s="144" t="s">
        <v>25</v>
      </c>
      <c r="U421" s="150" t="s">
        <v>18</v>
      </c>
      <c r="V421" s="146">
        <v>1073</v>
      </c>
      <c r="W421" s="148"/>
      <c r="X421" s="149">
        <v>45566</v>
      </c>
      <c r="Y421" s="165" t="s">
        <v>2730</v>
      </c>
    </row>
    <row r="422" spans="1:25">
      <c r="A422" s="163" t="s">
        <v>309</v>
      </c>
      <c r="B422" s="144" t="s">
        <v>2463</v>
      </c>
      <c r="C422" s="164" t="s">
        <v>3284</v>
      </c>
      <c r="D422" s="144" t="s">
        <v>3285</v>
      </c>
      <c r="E422" s="150" t="s">
        <v>2491</v>
      </c>
      <c r="F422" s="144" t="s">
        <v>2477</v>
      </c>
      <c r="G422" s="166"/>
      <c r="H422" s="151">
        <v>54</v>
      </c>
      <c r="I422" s="160">
        <v>4.5999999999999996</v>
      </c>
      <c r="J422" s="159">
        <v>4.5999999999999996</v>
      </c>
      <c r="K422" s="161">
        <v>248.4</v>
      </c>
      <c r="L422" s="159">
        <v>248.4</v>
      </c>
      <c r="M422" s="160">
        <v>248.4</v>
      </c>
      <c r="N422" s="145"/>
      <c r="O422" s="156" t="s">
        <v>135</v>
      </c>
      <c r="P422" s="144" t="s">
        <v>2478</v>
      </c>
      <c r="Q422" s="147"/>
      <c r="R422" s="146"/>
      <c r="S422" s="157"/>
      <c r="T422" s="144" t="s">
        <v>29</v>
      </c>
      <c r="U422" s="150" t="s">
        <v>2479</v>
      </c>
      <c r="V422" s="146">
        <v>2854</v>
      </c>
      <c r="W422" s="148" t="s">
        <v>3286</v>
      </c>
      <c r="X422" s="149">
        <v>45778</v>
      </c>
      <c r="Y422" s="165"/>
    </row>
    <row r="423" spans="1:25">
      <c r="A423" s="163" t="s">
        <v>309</v>
      </c>
      <c r="B423" s="144" t="s">
        <v>2463</v>
      </c>
      <c r="C423" s="164" t="s">
        <v>3284</v>
      </c>
      <c r="D423" s="144" t="s">
        <v>3285</v>
      </c>
      <c r="E423" s="150" t="s">
        <v>2466</v>
      </c>
      <c r="F423" s="144" t="s">
        <v>2477</v>
      </c>
      <c r="G423" s="166"/>
      <c r="H423" s="151">
        <v>1</v>
      </c>
      <c r="I423" s="160">
        <v>250</v>
      </c>
      <c r="J423" s="159">
        <v>250</v>
      </c>
      <c r="K423" s="161">
        <v>250</v>
      </c>
      <c r="L423" s="159">
        <v>250</v>
      </c>
      <c r="M423" s="160">
        <v>250</v>
      </c>
      <c r="N423" s="145">
        <v>1000</v>
      </c>
      <c r="O423" s="156" t="s">
        <v>135</v>
      </c>
      <c r="P423" s="144" t="s">
        <v>2468</v>
      </c>
      <c r="Q423" s="147"/>
      <c r="R423" s="146"/>
      <c r="S423" s="157"/>
      <c r="T423" s="144" t="s">
        <v>29</v>
      </c>
      <c r="U423" s="150" t="s">
        <v>20</v>
      </c>
      <c r="V423" s="146">
        <v>2854</v>
      </c>
      <c r="W423" s="148" t="s">
        <v>3286</v>
      </c>
      <c r="X423" s="149">
        <v>45778</v>
      </c>
      <c r="Y423" s="165"/>
    </row>
    <row r="424" spans="1:25">
      <c r="A424" s="163" t="s">
        <v>309</v>
      </c>
      <c r="B424" s="144" t="s">
        <v>2463</v>
      </c>
      <c r="C424" s="164" t="s">
        <v>3287</v>
      </c>
      <c r="D424" s="144" t="s">
        <v>3288</v>
      </c>
      <c r="E424" s="150" t="s">
        <v>2491</v>
      </c>
      <c r="F424" s="144" t="s">
        <v>2477</v>
      </c>
      <c r="G424" s="166"/>
      <c r="H424" s="151">
        <v>65</v>
      </c>
      <c r="I424" s="160">
        <v>4.5999999999999996</v>
      </c>
      <c r="J424" s="159">
        <v>4.5999999999999996</v>
      </c>
      <c r="K424" s="161">
        <v>299</v>
      </c>
      <c r="L424" s="159">
        <v>299</v>
      </c>
      <c r="M424" s="160">
        <v>299</v>
      </c>
      <c r="N424" s="145"/>
      <c r="O424" s="156" t="s">
        <v>135</v>
      </c>
      <c r="P424" s="144" t="s">
        <v>2478</v>
      </c>
      <c r="Q424" s="147"/>
      <c r="R424" s="146"/>
      <c r="S424" s="157"/>
      <c r="T424" s="144" t="s">
        <v>29</v>
      </c>
      <c r="U424" s="150" t="s">
        <v>2479</v>
      </c>
      <c r="V424" s="146">
        <v>2989</v>
      </c>
      <c r="W424" s="148" t="s">
        <v>3289</v>
      </c>
      <c r="X424" s="149">
        <v>45778</v>
      </c>
      <c r="Y424" s="165"/>
    </row>
    <row r="425" spans="1:25">
      <c r="A425" s="163" t="s">
        <v>309</v>
      </c>
      <c r="B425" s="144" t="s">
        <v>2463</v>
      </c>
      <c r="C425" s="164" t="s">
        <v>3287</v>
      </c>
      <c r="D425" s="144" t="s">
        <v>3288</v>
      </c>
      <c r="E425" s="150" t="s">
        <v>2466</v>
      </c>
      <c r="F425" s="144" t="s">
        <v>2477</v>
      </c>
      <c r="G425" s="166"/>
      <c r="H425" s="151">
        <v>1</v>
      </c>
      <c r="I425" s="160">
        <v>300</v>
      </c>
      <c r="J425" s="159">
        <v>300</v>
      </c>
      <c r="K425" s="161">
        <v>300</v>
      </c>
      <c r="L425" s="159">
        <v>300</v>
      </c>
      <c r="M425" s="160">
        <v>300</v>
      </c>
      <c r="N425" s="145">
        <v>1200</v>
      </c>
      <c r="O425" s="156" t="s">
        <v>135</v>
      </c>
      <c r="P425" s="144" t="s">
        <v>2468</v>
      </c>
      <c r="Q425" s="147"/>
      <c r="R425" s="146"/>
      <c r="S425" s="157"/>
      <c r="T425" s="144" t="s">
        <v>29</v>
      </c>
      <c r="U425" s="150" t="s">
        <v>20</v>
      </c>
      <c r="V425" s="146">
        <v>2989</v>
      </c>
      <c r="W425" s="148" t="s">
        <v>3289</v>
      </c>
      <c r="X425" s="149">
        <v>45778</v>
      </c>
      <c r="Y425" s="165"/>
    </row>
    <row r="426" spans="1:25">
      <c r="A426" s="163" t="s">
        <v>7</v>
      </c>
      <c r="B426" s="144" t="s">
        <v>2463</v>
      </c>
      <c r="C426" s="164" t="s">
        <v>3290</v>
      </c>
      <c r="D426" s="144" t="s">
        <v>3291</v>
      </c>
      <c r="E426" s="150" t="s">
        <v>2466</v>
      </c>
      <c r="F426" s="144" t="s">
        <v>2467</v>
      </c>
      <c r="G426" s="166"/>
      <c r="H426" s="151">
        <v>1</v>
      </c>
      <c r="I426" s="160">
        <v>2.86</v>
      </c>
      <c r="J426" s="159">
        <v>300</v>
      </c>
      <c r="K426" s="161">
        <v>2.86</v>
      </c>
      <c r="L426" s="159">
        <v>300</v>
      </c>
      <c r="M426" s="160" t="s">
        <v>3292</v>
      </c>
      <c r="N426" s="145">
        <v>1200</v>
      </c>
      <c r="O426" s="156" t="s">
        <v>135</v>
      </c>
      <c r="P426" s="144" t="s">
        <v>2468</v>
      </c>
      <c r="Q426" s="147"/>
      <c r="R426" s="146"/>
      <c r="S426" s="157"/>
      <c r="T426" s="144" t="s">
        <v>29</v>
      </c>
      <c r="U426" s="150" t="s">
        <v>20</v>
      </c>
      <c r="V426" s="146">
        <v>2937</v>
      </c>
      <c r="W426" s="148" t="s">
        <v>3293</v>
      </c>
      <c r="X426" s="149">
        <v>45778</v>
      </c>
      <c r="Y426" s="165"/>
    </row>
    <row r="427" spans="1:25">
      <c r="A427" s="163" t="s">
        <v>309</v>
      </c>
      <c r="B427" s="144" t="s">
        <v>2463</v>
      </c>
      <c r="C427" s="164" t="s">
        <v>3294</v>
      </c>
      <c r="D427" s="144" t="s">
        <v>3295</v>
      </c>
      <c r="E427" s="150" t="s">
        <v>2466</v>
      </c>
      <c r="F427" s="144" t="s">
        <v>2467</v>
      </c>
      <c r="G427" s="166"/>
      <c r="H427" s="151">
        <v>1</v>
      </c>
      <c r="I427" s="160">
        <v>60</v>
      </c>
      <c r="J427" s="159">
        <v>120</v>
      </c>
      <c r="K427" s="161">
        <v>60</v>
      </c>
      <c r="L427" s="159">
        <v>120</v>
      </c>
      <c r="M427" s="160" t="s">
        <v>3296</v>
      </c>
      <c r="N427" s="145">
        <v>0</v>
      </c>
      <c r="O427" s="156" t="s">
        <v>135</v>
      </c>
      <c r="P427" s="144" t="s">
        <v>2468</v>
      </c>
      <c r="Q427" s="147"/>
      <c r="R427" s="146"/>
      <c r="S427" s="157"/>
      <c r="T427" s="144" t="s">
        <v>29</v>
      </c>
      <c r="U427" s="150" t="s">
        <v>20</v>
      </c>
      <c r="V427" s="146">
        <v>2743</v>
      </c>
      <c r="W427" s="148"/>
      <c r="X427" s="149">
        <v>45901</v>
      </c>
      <c r="Y427" s="165" t="s">
        <v>3297</v>
      </c>
    </row>
    <row r="428" spans="1:25">
      <c r="A428" s="163" t="s">
        <v>423</v>
      </c>
      <c r="B428" s="144" t="s">
        <v>2463</v>
      </c>
      <c r="C428" s="164" t="s">
        <v>458</v>
      </c>
      <c r="D428" s="144" t="s">
        <v>459</v>
      </c>
      <c r="E428" s="150" t="s">
        <v>2466</v>
      </c>
      <c r="F428" s="144" t="s">
        <v>2467</v>
      </c>
      <c r="G428" s="166"/>
      <c r="H428" s="151">
        <v>344</v>
      </c>
      <c r="I428" s="160">
        <v>0</v>
      </c>
      <c r="J428" s="159">
        <v>0.9</v>
      </c>
      <c r="K428" s="161">
        <v>0</v>
      </c>
      <c r="L428" s="159">
        <v>310.98</v>
      </c>
      <c r="M428" s="160">
        <v>310.98</v>
      </c>
      <c r="N428" s="145">
        <v>1244</v>
      </c>
      <c r="O428" s="156" t="s">
        <v>27</v>
      </c>
      <c r="P428" s="144" t="s">
        <v>2468</v>
      </c>
      <c r="Q428" s="147">
        <v>46722</v>
      </c>
      <c r="R428" s="146"/>
      <c r="S428" s="157"/>
      <c r="T428" s="144" t="s">
        <v>27</v>
      </c>
      <c r="U428" s="150" t="s">
        <v>20</v>
      </c>
      <c r="V428" s="146">
        <v>2527</v>
      </c>
      <c r="W428" s="148" t="s">
        <v>3298</v>
      </c>
      <c r="X428" s="149">
        <v>45689</v>
      </c>
      <c r="Y428" s="165" t="s">
        <v>2474</v>
      </c>
    </row>
    <row r="429" spans="1:25">
      <c r="A429" s="163" t="s">
        <v>423</v>
      </c>
      <c r="B429" s="144" t="s">
        <v>2463</v>
      </c>
      <c r="C429" s="164" t="s">
        <v>3299</v>
      </c>
      <c r="D429" s="144" t="s">
        <v>3300</v>
      </c>
      <c r="E429" s="150" t="s">
        <v>2476</v>
      </c>
      <c r="F429" s="144" t="s">
        <v>2477</v>
      </c>
      <c r="G429" s="166"/>
      <c r="H429" s="151">
        <v>1</v>
      </c>
      <c r="I429" s="160">
        <v>125</v>
      </c>
      <c r="J429" s="159">
        <v>125</v>
      </c>
      <c r="K429" s="161">
        <v>125</v>
      </c>
      <c r="L429" s="159">
        <v>125</v>
      </c>
      <c r="M429" s="160">
        <v>125</v>
      </c>
      <c r="N429" s="145"/>
      <c r="O429" s="156" t="s">
        <v>135</v>
      </c>
      <c r="P429" s="144" t="s">
        <v>2478</v>
      </c>
      <c r="Q429" s="147"/>
      <c r="R429" s="146"/>
      <c r="S429" s="157"/>
      <c r="T429" s="144" t="s">
        <v>29</v>
      </c>
      <c r="U429" s="150" t="s">
        <v>2479</v>
      </c>
      <c r="V429" s="146">
        <v>2336</v>
      </c>
      <c r="W429" s="148" t="s">
        <v>3301</v>
      </c>
      <c r="X429" s="149">
        <v>45901</v>
      </c>
      <c r="Y429" s="165" t="s">
        <v>2578</v>
      </c>
    </row>
    <row r="430" spans="1:25">
      <c r="A430" s="163" t="s">
        <v>423</v>
      </c>
      <c r="B430" s="144" t="s">
        <v>2463</v>
      </c>
      <c r="C430" s="164" t="s">
        <v>3299</v>
      </c>
      <c r="D430" s="144" t="s">
        <v>3300</v>
      </c>
      <c r="E430" s="150" t="s">
        <v>2466</v>
      </c>
      <c r="F430" s="144" t="s">
        <v>2467</v>
      </c>
      <c r="G430" s="166"/>
      <c r="H430" s="151">
        <v>1</v>
      </c>
      <c r="I430" s="160">
        <v>0</v>
      </c>
      <c r="J430" s="159">
        <v>125</v>
      </c>
      <c r="K430" s="161">
        <v>0</v>
      </c>
      <c r="L430" s="159">
        <v>125</v>
      </c>
      <c r="M430" s="160">
        <v>125</v>
      </c>
      <c r="N430" s="145">
        <v>250</v>
      </c>
      <c r="O430" s="156" t="s">
        <v>135</v>
      </c>
      <c r="P430" s="144" t="s">
        <v>2468</v>
      </c>
      <c r="Q430" s="147"/>
      <c r="R430" s="146"/>
      <c r="S430" s="157"/>
      <c r="T430" s="144" t="s">
        <v>29</v>
      </c>
      <c r="U430" s="150" t="s">
        <v>20</v>
      </c>
      <c r="V430" s="146">
        <v>2336</v>
      </c>
      <c r="W430" s="148" t="s">
        <v>3301</v>
      </c>
      <c r="X430" s="149">
        <v>45901</v>
      </c>
      <c r="Y430" s="165" t="s">
        <v>2578</v>
      </c>
    </row>
    <row r="431" spans="1:25">
      <c r="A431" s="163" t="s">
        <v>423</v>
      </c>
      <c r="B431" s="144" t="s">
        <v>163</v>
      </c>
      <c r="C431" s="164" t="s">
        <v>1690</v>
      </c>
      <c r="D431" s="144" t="s">
        <v>1508</v>
      </c>
      <c r="E431" s="150" t="s">
        <v>2485</v>
      </c>
      <c r="F431" s="144" t="s">
        <v>2486</v>
      </c>
      <c r="G431" s="166" t="s">
        <v>1691</v>
      </c>
      <c r="H431" s="151">
        <v>22</v>
      </c>
      <c r="I431" s="160">
        <v>3.8</v>
      </c>
      <c r="J431" s="159">
        <v>3.8</v>
      </c>
      <c r="K431" s="161">
        <v>83.6</v>
      </c>
      <c r="L431" s="159">
        <v>83.6</v>
      </c>
      <c r="M431" s="160">
        <v>83.6</v>
      </c>
      <c r="N431" s="145"/>
      <c r="O431" s="156" t="s">
        <v>166</v>
      </c>
      <c r="P431" s="144" t="s">
        <v>2478</v>
      </c>
      <c r="Q431" s="147">
        <v>44166</v>
      </c>
      <c r="R431" s="146">
        <v>2049</v>
      </c>
      <c r="S431" s="157"/>
      <c r="T431" s="144" t="s">
        <v>25</v>
      </c>
      <c r="U431" s="150" t="s">
        <v>17</v>
      </c>
      <c r="V431" s="146">
        <v>1113</v>
      </c>
      <c r="W431" s="148"/>
      <c r="X431" s="149">
        <v>45689</v>
      </c>
      <c r="Y431" s="165" t="s">
        <v>2558</v>
      </c>
    </row>
    <row r="432" spans="1:25">
      <c r="A432" s="163" t="s">
        <v>309</v>
      </c>
      <c r="B432" s="144" t="s">
        <v>163</v>
      </c>
      <c r="C432" s="164" t="s">
        <v>1855</v>
      </c>
      <c r="D432" s="144" t="s">
        <v>1856</v>
      </c>
      <c r="E432" s="150" t="s">
        <v>2491</v>
      </c>
      <c r="F432" s="144" t="s">
        <v>2477</v>
      </c>
      <c r="G432" s="166" t="s">
        <v>3302</v>
      </c>
      <c r="H432" s="151">
        <v>32</v>
      </c>
      <c r="I432" s="160">
        <v>2.25</v>
      </c>
      <c r="J432" s="159">
        <v>2.25</v>
      </c>
      <c r="K432" s="161">
        <v>72</v>
      </c>
      <c r="L432" s="159">
        <v>72</v>
      </c>
      <c r="M432" s="160">
        <v>72</v>
      </c>
      <c r="N432" s="145"/>
      <c r="O432" s="156" t="s">
        <v>166</v>
      </c>
      <c r="P432" s="144" t="s">
        <v>2478</v>
      </c>
      <c r="Q432" s="147">
        <v>43497</v>
      </c>
      <c r="R432" s="146">
        <v>2048</v>
      </c>
      <c r="S432" s="157"/>
      <c r="T432" s="144" t="s">
        <v>25</v>
      </c>
      <c r="U432" s="150" t="s">
        <v>2479</v>
      </c>
      <c r="V432" s="146">
        <v>1443</v>
      </c>
      <c r="W432" s="148"/>
      <c r="X432" s="149">
        <v>45901</v>
      </c>
      <c r="Y432" s="165" t="s">
        <v>2533</v>
      </c>
    </row>
    <row r="433" spans="1:25">
      <c r="A433" s="163" t="s">
        <v>380</v>
      </c>
      <c r="B433" s="144" t="s">
        <v>2463</v>
      </c>
      <c r="C433" s="164" t="s">
        <v>3303</v>
      </c>
      <c r="D433" s="144" t="s">
        <v>3304</v>
      </c>
      <c r="E433" s="150" t="s">
        <v>2466</v>
      </c>
      <c r="F433" s="144" t="s">
        <v>2467</v>
      </c>
      <c r="G433" s="166"/>
      <c r="H433" s="151">
        <v>14</v>
      </c>
      <c r="I433" s="160">
        <v>2.86</v>
      </c>
      <c r="J433" s="159">
        <v>4.3899999999999997</v>
      </c>
      <c r="K433" s="161">
        <v>40.04</v>
      </c>
      <c r="L433" s="159">
        <v>61.46</v>
      </c>
      <c r="M433" s="160" t="s">
        <v>3305</v>
      </c>
      <c r="N433" s="145">
        <v>80</v>
      </c>
      <c r="O433" s="156" t="s">
        <v>135</v>
      </c>
      <c r="P433" s="144" t="s">
        <v>2468</v>
      </c>
      <c r="Q433" s="147"/>
      <c r="R433" s="146">
        <v>2046</v>
      </c>
      <c r="S433" s="157"/>
      <c r="T433" s="144" t="s">
        <v>29</v>
      </c>
      <c r="U433" s="150" t="s">
        <v>20</v>
      </c>
      <c r="V433" s="146">
        <v>2262</v>
      </c>
      <c r="W433" s="148" t="s">
        <v>3306</v>
      </c>
      <c r="X433" s="149">
        <v>45778</v>
      </c>
      <c r="Y433" s="165" t="s">
        <v>2470</v>
      </c>
    </row>
    <row r="434" spans="1:25">
      <c r="A434" s="163" t="s">
        <v>7</v>
      </c>
      <c r="B434" s="144" t="s">
        <v>2463</v>
      </c>
      <c r="C434" s="164" t="s">
        <v>3307</v>
      </c>
      <c r="D434" s="144" t="s">
        <v>3308</v>
      </c>
      <c r="E434" s="150" t="s">
        <v>2466</v>
      </c>
      <c r="F434" s="144" t="s">
        <v>2467</v>
      </c>
      <c r="G434" s="166"/>
      <c r="H434" s="151">
        <v>60</v>
      </c>
      <c r="I434" s="160">
        <v>3.33</v>
      </c>
      <c r="J434" s="159">
        <v>3.33</v>
      </c>
      <c r="K434" s="161">
        <v>199.8</v>
      </c>
      <c r="L434" s="159">
        <v>199.8</v>
      </c>
      <c r="M434" s="160">
        <v>199.8</v>
      </c>
      <c r="N434" s="145">
        <v>0</v>
      </c>
      <c r="O434" s="156" t="s">
        <v>135</v>
      </c>
      <c r="P434" s="144" t="s">
        <v>2468</v>
      </c>
      <c r="Q434" s="147"/>
      <c r="R434" s="146"/>
      <c r="S434" s="157"/>
      <c r="T434" s="144" t="s">
        <v>29</v>
      </c>
      <c r="U434" s="150" t="s">
        <v>20</v>
      </c>
      <c r="V434" s="146">
        <v>2927</v>
      </c>
      <c r="W434" s="148" t="s">
        <v>3309</v>
      </c>
      <c r="X434" s="149">
        <v>45901</v>
      </c>
      <c r="Y434" s="165" t="s">
        <v>3310</v>
      </c>
    </row>
    <row r="435" spans="1:25">
      <c r="A435" s="163" t="s">
        <v>7</v>
      </c>
      <c r="B435" s="144" t="s">
        <v>2463</v>
      </c>
      <c r="C435" s="164" t="s">
        <v>3311</v>
      </c>
      <c r="D435" s="144" t="s">
        <v>3308</v>
      </c>
      <c r="E435" s="150" t="s">
        <v>2476</v>
      </c>
      <c r="F435" s="144" t="s">
        <v>2477</v>
      </c>
      <c r="G435" s="166"/>
      <c r="H435" s="151">
        <v>75</v>
      </c>
      <c r="I435" s="160">
        <v>4</v>
      </c>
      <c r="J435" s="159">
        <v>4</v>
      </c>
      <c r="K435" s="161">
        <v>300</v>
      </c>
      <c r="L435" s="159">
        <v>300</v>
      </c>
      <c r="M435" s="160">
        <v>300</v>
      </c>
      <c r="N435" s="145"/>
      <c r="O435" s="156" t="s">
        <v>135</v>
      </c>
      <c r="P435" s="144" t="s">
        <v>2478</v>
      </c>
      <c r="Q435" s="147"/>
      <c r="R435" s="146"/>
      <c r="S435" s="157"/>
      <c r="T435" s="144" t="s">
        <v>29</v>
      </c>
      <c r="U435" s="150" t="s">
        <v>2479</v>
      </c>
      <c r="V435" s="146">
        <v>2926</v>
      </c>
      <c r="W435" s="148" t="s">
        <v>3309</v>
      </c>
      <c r="X435" s="149">
        <v>45901</v>
      </c>
      <c r="Y435" s="165" t="s">
        <v>3310</v>
      </c>
    </row>
    <row r="436" spans="1:25" ht="20.6">
      <c r="A436" s="163" t="s">
        <v>7</v>
      </c>
      <c r="B436" s="144" t="s">
        <v>163</v>
      </c>
      <c r="C436" s="164" t="s">
        <v>1070</v>
      </c>
      <c r="D436" s="144" t="s">
        <v>1071</v>
      </c>
      <c r="E436" s="150" t="s">
        <v>2639</v>
      </c>
      <c r="F436" s="144" t="s">
        <v>2640</v>
      </c>
      <c r="G436" s="166" t="s">
        <v>3312</v>
      </c>
      <c r="H436" s="151">
        <v>1</v>
      </c>
      <c r="I436" s="160"/>
      <c r="J436" s="159">
        <v>720</v>
      </c>
      <c r="K436" s="161"/>
      <c r="L436" s="159">
        <v>720</v>
      </c>
      <c r="M436" s="160">
        <v>720</v>
      </c>
      <c r="N436" s="145"/>
      <c r="O436" s="156" t="s">
        <v>3313</v>
      </c>
      <c r="P436" s="144" t="s">
        <v>2468</v>
      </c>
      <c r="Q436" s="147"/>
      <c r="R436" s="146">
        <v>2027</v>
      </c>
      <c r="S436" s="157">
        <v>46618</v>
      </c>
      <c r="T436" s="144" t="s">
        <v>24</v>
      </c>
      <c r="U436" s="150" t="s">
        <v>12</v>
      </c>
      <c r="V436" s="146">
        <v>1074</v>
      </c>
      <c r="W436" s="148"/>
      <c r="X436" s="149">
        <v>45689</v>
      </c>
      <c r="Y436" s="165" t="s">
        <v>2500</v>
      </c>
    </row>
    <row r="437" spans="1:25" ht="20.6">
      <c r="A437" s="163" t="s">
        <v>7</v>
      </c>
      <c r="B437" s="144" t="s">
        <v>163</v>
      </c>
      <c r="C437" s="164" t="s">
        <v>1070</v>
      </c>
      <c r="D437" s="144" t="s">
        <v>1071</v>
      </c>
      <c r="E437" s="150" t="s">
        <v>2639</v>
      </c>
      <c r="F437" s="144" t="s">
        <v>2640</v>
      </c>
      <c r="G437" s="166" t="s">
        <v>3314</v>
      </c>
      <c r="H437" s="151">
        <v>1</v>
      </c>
      <c r="I437" s="160"/>
      <c r="J437" s="159">
        <v>720</v>
      </c>
      <c r="K437" s="161"/>
      <c r="L437" s="159">
        <v>720</v>
      </c>
      <c r="M437" s="160">
        <v>720</v>
      </c>
      <c r="N437" s="145"/>
      <c r="O437" s="156" t="s">
        <v>3313</v>
      </c>
      <c r="P437" s="144" t="s">
        <v>2468</v>
      </c>
      <c r="Q437" s="147"/>
      <c r="R437" s="146">
        <v>2027</v>
      </c>
      <c r="S437" s="157">
        <v>46618</v>
      </c>
      <c r="T437" s="144" t="s">
        <v>24</v>
      </c>
      <c r="U437" s="150" t="s">
        <v>12</v>
      </c>
      <c r="V437" s="146">
        <v>1074</v>
      </c>
      <c r="W437" s="148"/>
      <c r="X437" s="149">
        <v>45689</v>
      </c>
      <c r="Y437" s="165" t="s">
        <v>2500</v>
      </c>
    </row>
    <row r="438" spans="1:25" ht="20.6">
      <c r="A438" s="163" t="s">
        <v>7</v>
      </c>
      <c r="B438" s="144" t="s">
        <v>163</v>
      </c>
      <c r="C438" s="164" t="s">
        <v>1070</v>
      </c>
      <c r="D438" s="144" t="s">
        <v>1071</v>
      </c>
      <c r="E438" s="150" t="s">
        <v>2639</v>
      </c>
      <c r="F438" s="144" t="s">
        <v>2640</v>
      </c>
      <c r="G438" s="166" t="s">
        <v>3315</v>
      </c>
      <c r="H438" s="151">
        <v>1</v>
      </c>
      <c r="I438" s="160"/>
      <c r="J438" s="159">
        <v>720</v>
      </c>
      <c r="K438" s="161"/>
      <c r="L438" s="159">
        <v>720</v>
      </c>
      <c r="M438" s="160">
        <v>720</v>
      </c>
      <c r="N438" s="145"/>
      <c r="O438" s="156" t="s">
        <v>3313</v>
      </c>
      <c r="P438" s="144" t="s">
        <v>2468</v>
      </c>
      <c r="Q438" s="147"/>
      <c r="R438" s="146">
        <v>2027</v>
      </c>
      <c r="S438" s="157">
        <v>46618</v>
      </c>
      <c r="T438" s="144" t="s">
        <v>24</v>
      </c>
      <c r="U438" s="150" t="s">
        <v>12</v>
      </c>
      <c r="V438" s="146">
        <v>1074</v>
      </c>
      <c r="W438" s="148"/>
      <c r="X438" s="149">
        <v>45689</v>
      </c>
      <c r="Y438" s="165" t="s">
        <v>2500</v>
      </c>
    </row>
    <row r="439" spans="1:25" ht="20.6">
      <c r="A439" s="163" t="s">
        <v>7</v>
      </c>
      <c r="B439" s="144" t="s">
        <v>163</v>
      </c>
      <c r="C439" s="164" t="s">
        <v>1070</v>
      </c>
      <c r="D439" s="144" t="s">
        <v>1071</v>
      </c>
      <c r="E439" s="150" t="s">
        <v>2639</v>
      </c>
      <c r="F439" s="144" t="s">
        <v>2640</v>
      </c>
      <c r="G439" s="166" t="s">
        <v>3316</v>
      </c>
      <c r="H439" s="151">
        <v>1</v>
      </c>
      <c r="I439" s="160"/>
      <c r="J439" s="159">
        <v>720</v>
      </c>
      <c r="K439" s="161"/>
      <c r="L439" s="159">
        <v>720</v>
      </c>
      <c r="M439" s="160">
        <v>720</v>
      </c>
      <c r="N439" s="145"/>
      <c r="O439" s="156" t="s">
        <v>3313</v>
      </c>
      <c r="P439" s="144" t="s">
        <v>2468</v>
      </c>
      <c r="Q439" s="147"/>
      <c r="R439" s="146">
        <v>2027</v>
      </c>
      <c r="S439" s="157">
        <v>46618</v>
      </c>
      <c r="T439" s="144" t="s">
        <v>24</v>
      </c>
      <c r="U439" s="150" t="s">
        <v>12</v>
      </c>
      <c r="V439" s="146">
        <v>1074</v>
      </c>
      <c r="W439" s="148"/>
      <c r="X439" s="149">
        <v>45689</v>
      </c>
      <c r="Y439" s="165" t="s">
        <v>2500</v>
      </c>
    </row>
    <row r="440" spans="1:25">
      <c r="A440" s="163" t="s">
        <v>7</v>
      </c>
      <c r="B440" s="144" t="s">
        <v>2463</v>
      </c>
      <c r="C440" s="164" t="s">
        <v>600</v>
      </c>
      <c r="D440" s="144" t="s">
        <v>281</v>
      </c>
      <c r="E440" s="150" t="s">
        <v>2466</v>
      </c>
      <c r="F440" s="144" t="s">
        <v>2467</v>
      </c>
      <c r="G440" s="166" t="s">
        <v>282</v>
      </c>
      <c r="H440" s="151">
        <v>1</v>
      </c>
      <c r="I440" s="160"/>
      <c r="J440" s="159">
        <v>240</v>
      </c>
      <c r="K440" s="161"/>
      <c r="L440" s="159">
        <v>240</v>
      </c>
      <c r="M440" s="160">
        <v>240</v>
      </c>
      <c r="N440" s="145">
        <v>1030</v>
      </c>
      <c r="O440" s="156" t="s">
        <v>27</v>
      </c>
      <c r="P440" s="144" t="s">
        <v>2468</v>
      </c>
      <c r="Q440" s="147">
        <v>46357</v>
      </c>
      <c r="R440" s="146">
        <v>2057</v>
      </c>
      <c r="S440" s="157"/>
      <c r="T440" s="144" t="s">
        <v>27</v>
      </c>
      <c r="U440" s="150" t="s">
        <v>20</v>
      </c>
      <c r="V440" s="146">
        <v>1870</v>
      </c>
      <c r="W440" s="148" t="s">
        <v>3317</v>
      </c>
      <c r="X440" s="149">
        <v>45901</v>
      </c>
      <c r="Y440" s="165" t="s">
        <v>2589</v>
      </c>
    </row>
    <row r="441" spans="1:25">
      <c r="A441" s="163" t="s">
        <v>7</v>
      </c>
      <c r="B441" s="144" t="s">
        <v>163</v>
      </c>
      <c r="C441" s="164" t="s">
        <v>600</v>
      </c>
      <c r="D441" s="144" t="s">
        <v>281</v>
      </c>
      <c r="E441" s="150" t="s">
        <v>2466</v>
      </c>
      <c r="F441" s="144" t="s">
        <v>2467</v>
      </c>
      <c r="G441" s="166" t="s">
        <v>282</v>
      </c>
      <c r="H441" s="151">
        <v>1</v>
      </c>
      <c r="I441" s="160"/>
      <c r="J441" s="159">
        <v>460</v>
      </c>
      <c r="K441" s="161"/>
      <c r="L441" s="159">
        <v>460</v>
      </c>
      <c r="M441" s="160">
        <v>460</v>
      </c>
      <c r="N441" s="145">
        <v>1073</v>
      </c>
      <c r="O441" s="156" t="s">
        <v>164</v>
      </c>
      <c r="P441" s="144" t="s">
        <v>2468</v>
      </c>
      <c r="Q441" s="147">
        <v>45992</v>
      </c>
      <c r="R441" s="146">
        <v>2045</v>
      </c>
      <c r="S441" s="157"/>
      <c r="T441" s="144" t="s">
        <v>25</v>
      </c>
      <c r="U441" s="150" t="s">
        <v>20</v>
      </c>
      <c r="V441" s="146">
        <v>1870</v>
      </c>
      <c r="W441" s="148" t="s">
        <v>3317</v>
      </c>
      <c r="X441" s="149">
        <v>45901</v>
      </c>
      <c r="Y441" s="165" t="s">
        <v>2589</v>
      </c>
    </row>
    <row r="442" spans="1:25">
      <c r="A442" s="163" t="s">
        <v>7</v>
      </c>
      <c r="B442" s="144" t="s">
        <v>2463</v>
      </c>
      <c r="C442" s="164" t="s">
        <v>600</v>
      </c>
      <c r="D442" s="144" t="s">
        <v>281</v>
      </c>
      <c r="E442" s="150" t="s">
        <v>2466</v>
      </c>
      <c r="F442" s="144" t="s">
        <v>2467</v>
      </c>
      <c r="G442" s="166" t="s">
        <v>282</v>
      </c>
      <c r="H442" s="151">
        <v>1</v>
      </c>
      <c r="I442" s="160"/>
      <c r="J442" s="159">
        <v>0</v>
      </c>
      <c r="K442" s="161"/>
      <c r="L442" s="159">
        <v>0</v>
      </c>
      <c r="M442" s="160" t="s">
        <v>3040</v>
      </c>
      <c r="N442" s="145">
        <v>700</v>
      </c>
      <c r="O442" s="156" t="s">
        <v>134</v>
      </c>
      <c r="P442" s="144" t="s">
        <v>2468</v>
      </c>
      <c r="Q442" s="147">
        <v>46023</v>
      </c>
      <c r="R442" s="146">
        <v>2057</v>
      </c>
      <c r="S442" s="157"/>
      <c r="T442" s="144" t="s">
        <v>27</v>
      </c>
      <c r="U442" s="150" t="s">
        <v>20</v>
      </c>
      <c r="V442" s="146">
        <v>1870</v>
      </c>
      <c r="W442" s="148" t="s">
        <v>3317</v>
      </c>
      <c r="X442" s="149">
        <v>45901</v>
      </c>
      <c r="Y442" s="165" t="s">
        <v>2589</v>
      </c>
    </row>
    <row r="443" spans="1:25">
      <c r="A443" s="163" t="s">
        <v>7</v>
      </c>
      <c r="B443" s="144" t="s">
        <v>163</v>
      </c>
      <c r="C443" s="164" t="s">
        <v>1776</v>
      </c>
      <c r="D443" s="144" t="s">
        <v>1071</v>
      </c>
      <c r="E443" s="150" t="s">
        <v>2555</v>
      </c>
      <c r="F443" s="144" t="s">
        <v>2502</v>
      </c>
      <c r="G443" s="166" t="s">
        <v>1777</v>
      </c>
      <c r="H443" s="151">
        <v>1</v>
      </c>
      <c r="I443" s="160"/>
      <c r="J443" s="159">
        <v>41.5</v>
      </c>
      <c r="K443" s="161"/>
      <c r="L443" s="159">
        <v>41.5</v>
      </c>
      <c r="M443" s="160">
        <v>41.5</v>
      </c>
      <c r="N443" s="145"/>
      <c r="O443" s="156" t="s">
        <v>166</v>
      </c>
      <c r="P443" s="144" t="s">
        <v>2480</v>
      </c>
      <c r="Q443" s="147"/>
      <c r="R443" s="146">
        <v>2032</v>
      </c>
      <c r="S443" s="157"/>
      <c r="T443" s="144" t="s">
        <v>25</v>
      </c>
      <c r="U443" s="150" t="s">
        <v>14</v>
      </c>
      <c r="V443" s="146">
        <v>1075</v>
      </c>
      <c r="W443" s="148"/>
      <c r="X443" s="149">
        <v>45778</v>
      </c>
      <c r="Y443" s="165" t="s">
        <v>2842</v>
      </c>
    </row>
    <row r="444" spans="1:25">
      <c r="A444" s="163" t="s">
        <v>309</v>
      </c>
      <c r="B444" s="144" t="s">
        <v>2463</v>
      </c>
      <c r="C444" s="164" t="s">
        <v>3318</v>
      </c>
      <c r="D444" s="144" t="s">
        <v>3319</v>
      </c>
      <c r="E444" s="150" t="s">
        <v>2466</v>
      </c>
      <c r="F444" s="144" t="s">
        <v>2467</v>
      </c>
      <c r="G444" s="166"/>
      <c r="H444" s="151">
        <v>1</v>
      </c>
      <c r="I444" s="160"/>
      <c r="J444" s="159">
        <v>666</v>
      </c>
      <c r="K444" s="161"/>
      <c r="L444" s="159">
        <v>666</v>
      </c>
      <c r="M444" s="160">
        <v>666</v>
      </c>
      <c r="N444" s="145">
        <v>666</v>
      </c>
      <c r="O444" s="156" t="s">
        <v>135</v>
      </c>
      <c r="P444" s="144" t="s">
        <v>2468</v>
      </c>
      <c r="Q444" s="147">
        <v>46174</v>
      </c>
      <c r="R444" s="146"/>
      <c r="S444" s="157"/>
      <c r="T444" s="144" t="s">
        <v>29</v>
      </c>
      <c r="U444" s="150" t="s">
        <v>20</v>
      </c>
      <c r="V444" s="146">
        <v>2457</v>
      </c>
      <c r="W444" s="148" t="s">
        <v>2732</v>
      </c>
      <c r="X444" s="149">
        <v>45689</v>
      </c>
      <c r="Y444" s="165" t="s">
        <v>2474</v>
      </c>
    </row>
    <row r="445" spans="1:25">
      <c r="A445" s="163" t="s">
        <v>309</v>
      </c>
      <c r="B445" s="144" t="s">
        <v>2463</v>
      </c>
      <c r="C445" s="164" t="s">
        <v>3320</v>
      </c>
      <c r="D445" s="144" t="s">
        <v>3321</v>
      </c>
      <c r="E445" s="150" t="s">
        <v>2491</v>
      </c>
      <c r="F445" s="144" t="s">
        <v>2477</v>
      </c>
      <c r="G445" s="166"/>
      <c r="H445" s="151">
        <v>1</v>
      </c>
      <c r="I445" s="160">
        <v>4</v>
      </c>
      <c r="J445" s="159">
        <v>4.2</v>
      </c>
      <c r="K445" s="161">
        <v>4</v>
      </c>
      <c r="L445" s="159">
        <v>4.2</v>
      </c>
      <c r="M445" s="160" t="s">
        <v>3322</v>
      </c>
      <c r="N445" s="145"/>
      <c r="O445" s="156" t="s">
        <v>135</v>
      </c>
      <c r="P445" s="144" t="s">
        <v>2478</v>
      </c>
      <c r="Q445" s="147"/>
      <c r="R445" s="146"/>
      <c r="S445" s="157"/>
      <c r="T445" s="144" t="s">
        <v>29</v>
      </c>
      <c r="U445" s="150" t="s">
        <v>2479</v>
      </c>
      <c r="V445" s="146">
        <v>1561</v>
      </c>
      <c r="W445" s="148"/>
      <c r="X445" s="149">
        <v>45689</v>
      </c>
      <c r="Y445" s="165" t="s">
        <v>2474</v>
      </c>
    </row>
    <row r="446" spans="1:25">
      <c r="A446" s="163" t="s">
        <v>7</v>
      </c>
      <c r="B446" s="144" t="s">
        <v>2463</v>
      </c>
      <c r="C446" s="164" t="s">
        <v>3323</v>
      </c>
      <c r="D446" s="144" t="s">
        <v>3324</v>
      </c>
      <c r="E446" s="150" t="s">
        <v>2485</v>
      </c>
      <c r="F446" s="144" t="s">
        <v>2486</v>
      </c>
      <c r="G446" s="166"/>
      <c r="H446" s="151">
        <v>1</v>
      </c>
      <c r="I446" s="160">
        <v>330</v>
      </c>
      <c r="J446" s="159">
        <v>330</v>
      </c>
      <c r="K446" s="161">
        <v>330</v>
      </c>
      <c r="L446" s="159">
        <v>330</v>
      </c>
      <c r="M446" s="160">
        <v>330</v>
      </c>
      <c r="N446" s="145"/>
      <c r="O446" s="156" t="s">
        <v>135</v>
      </c>
      <c r="P446" s="144" t="s">
        <v>2478</v>
      </c>
      <c r="Q446" s="147"/>
      <c r="R446" s="146"/>
      <c r="S446" s="157"/>
      <c r="T446" s="144" t="s">
        <v>29</v>
      </c>
      <c r="U446" s="150" t="s">
        <v>17</v>
      </c>
      <c r="V446" s="146">
        <v>2370</v>
      </c>
      <c r="W446" s="148" t="s">
        <v>3325</v>
      </c>
      <c r="X446" s="149">
        <v>45901</v>
      </c>
      <c r="Y446" s="165" t="s">
        <v>2897</v>
      </c>
    </row>
    <row r="447" spans="1:25">
      <c r="A447" s="163" t="s">
        <v>423</v>
      </c>
      <c r="B447" s="144" t="s">
        <v>2463</v>
      </c>
      <c r="C447" s="164" t="s">
        <v>3326</v>
      </c>
      <c r="D447" s="144" t="s">
        <v>3327</v>
      </c>
      <c r="E447" s="150" t="s">
        <v>2476</v>
      </c>
      <c r="F447" s="144" t="s">
        <v>2477</v>
      </c>
      <c r="G447" s="166"/>
      <c r="H447" s="151">
        <v>1</v>
      </c>
      <c r="I447" s="160"/>
      <c r="J447" s="159">
        <v>200</v>
      </c>
      <c r="K447" s="161"/>
      <c r="L447" s="159">
        <v>200</v>
      </c>
      <c r="M447" s="160">
        <v>200</v>
      </c>
      <c r="N447" s="145"/>
      <c r="O447" s="156" t="s">
        <v>135</v>
      </c>
      <c r="P447" s="144" t="s">
        <v>2478</v>
      </c>
      <c r="Q447" s="147"/>
      <c r="R447" s="146"/>
      <c r="S447" s="157"/>
      <c r="T447" s="144" t="s">
        <v>29</v>
      </c>
      <c r="U447" s="150" t="s">
        <v>2479</v>
      </c>
      <c r="V447" s="146">
        <v>2756</v>
      </c>
      <c r="W447" s="148" t="s">
        <v>3328</v>
      </c>
      <c r="X447" s="149">
        <v>45901</v>
      </c>
      <c r="Y447" s="165" t="s">
        <v>3042</v>
      </c>
    </row>
    <row r="448" spans="1:25">
      <c r="A448" s="163" t="s">
        <v>423</v>
      </c>
      <c r="B448" s="144" t="s">
        <v>2463</v>
      </c>
      <c r="C448" s="164" t="s">
        <v>3326</v>
      </c>
      <c r="D448" s="144" t="s">
        <v>3327</v>
      </c>
      <c r="E448" s="150" t="s">
        <v>2466</v>
      </c>
      <c r="F448" s="144" t="s">
        <v>2467</v>
      </c>
      <c r="G448" s="166"/>
      <c r="H448" s="151">
        <v>1</v>
      </c>
      <c r="I448" s="160"/>
      <c r="J448" s="159">
        <v>0</v>
      </c>
      <c r="K448" s="161"/>
      <c r="L448" s="159">
        <v>0</v>
      </c>
      <c r="M448" s="160" t="s">
        <v>3040</v>
      </c>
      <c r="N448" s="145">
        <v>0</v>
      </c>
      <c r="O448" s="156" t="s">
        <v>135</v>
      </c>
      <c r="P448" s="144" t="s">
        <v>2468</v>
      </c>
      <c r="Q448" s="147"/>
      <c r="R448" s="146"/>
      <c r="S448" s="157"/>
      <c r="T448" s="144" t="s">
        <v>29</v>
      </c>
      <c r="U448" s="150" t="s">
        <v>20</v>
      </c>
      <c r="V448" s="146">
        <v>2756</v>
      </c>
      <c r="W448" s="148" t="s">
        <v>3328</v>
      </c>
      <c r="X448" s="149">
        <v>45901</v>
      </c>
      <c r="Y448" s="165" t="s">
        <v>3042</v>
      </c>
    </row>
    <row r="449" spans="1:25">
      <c r="A449" s="163" t="s">
        <v>423</v>
      </c>
      <c r="B449" s="144" t="s">
        <v>163</v>
      </c>
      <c r="C449" s="164" t="s">
        <v>3329</v>
      </c>
      <c r="D449" s="144" t="s">
        <v>782</v>
      </c>
      <c r="E449" s="150" t="s">
        <v>2485</v>
      </c>
      <c r="F449" s="144" t="s">
        <v>2486</v>
      </c>
      <c r="G449" s="166" t="s">
        <v>3330</v>
      </c>
      <c r="H449" s="151">
        <v>3</v>
      </c>
      <c r="I449" s="160"/>
      <c r="J449" s="159">
        <v>4</v>
      </c>
      <c r="K449" s="161"/>
      <c r="L449" s="159">
        <v>12</v>
      </c>
      <c r="M449" s="160">
        <v>12</v>
      </c>
      <c r="N449" s="145"/>
      <c r="O449" s="156" t="s">
        <v>166</v>
      </c>
      <c r="P449" s="144" t="s">
        <v>2480</v>
      </c>
      <c r="Q449" s="147">
        <v>44287</v>
      </c>
      <c r="R449" s="146"/>
      <c r="S449" s="157"/>
      <c r="T449" s="144" t="s">
        <v>25</v>
      </c>
      <c r="U449" s="150" t="s">
        <v>17</v>
      </c>
      <c r="V449" s="146">
        <v>1649</v>
      </c>
      <c r="W449" s="148"/>
      <c r="X449" s="149">
        <v>45566</v>
      </c>
      <c r="Y449" s="165" t="s">
        <v>3225</v>
      </c>
    </row>
    <row r="450" spans="1:25">
      <c r="A450" s="163" t="s">
        <v>7</v>
      </c>
      <c r="B450" s="144" t="s">
        <v>163</v>
      </c>
      <c r="C450" s="164" t="s">
        <v>1764</v>
      </c>
      <c r="D450" s="144" t="s">
        <v>1765</v>
      </c>
      <c r="E450" s="150" t="s">
        <v>2491</v>
      </c>
      <c r="F450" s="144" t="s">
        <v>2477</v>
      </c>
      <c r="G450" s="166" t="s">
        <v>1766</v>
      </c>
      <c r="H450" s="151">
        <v>99</v>
      </c>
      <c r="I450" s="160"/>
      <c r="J450" s="159">
        <v>1.64</v>
      </c>
      <c r="K450" s="161"/>
      <c r="L450" s="159">
        <v>162.36000000000001</v>
      </c>
      <c r="M450" s="160">
        <v>162.36000000000001</v>
      </c>
      <c r="N450" s="145"/>
      <c r="O450" s="156" t="s">
        <v>166</v>
      </c>
      <c r="P450" s="144" t="s">
        <v>2478</v>
      </c>
      <c r="Q450" s="147">
        <v>43770</v>
      </c>
      <c r="R450" s="146">
        <v>2049</v>
      </c>
      <c r="S450" s="157"/>
      <c r="T450" s="144" t="s">
        <v>25</v>
      </c>
      <c r="U450" s="150" t="s">
        <v>2479</v>
      </c>
      <c r="V450" s="146">
        <v>1680</v>
      </c>
      <c r="W450" s="148"/>
      <c r="X450" s="149">
        <v>45689</v>
      </c>
      <c r="Y450" s="165" t="s">
        <v>2590</v>
      </c>
    </row>
    <row r="451" spans="1:25">
      <c r="A451" s="163" t="s">
        <v>565</v>
      </c>
      <c r="B451" s="144" t="s">
        <v>163</v>
      </c>
      <c r="C451" s="164" t="s">
        <v>3331</v>
      </c>
      <c r="D451" s="144" t="s">
        <v>1137</v>
      </c>
      <c r="E451" s="150" t="s">
        <v>2593</v>
      </c>
      <c r="F451" s="144" t="s">
        <v>2482</v>
      </c>
      <c r="G451" s="166" t="s">
        <v>3332</v>
      </c>
      <c r="H451" s="151">
        <v>1</v>
      </c>
      <c r="I451" s="160">
        <v>43.2</v>
      </c>
      <c r="J451" s="159">
        <v>43.2</v>
      </c>
      <c r="K451" s="161">
        <v>43.2</v>
      </c>
      <c r="L451" s="159">
        <v>43.2</v>
      </c>
      <c r="M451" s="160">
        <v>43.2</v>
      </c>
      <c r="N451" s="145"/>
      <c r="O451" s="156" t="s">
        <v>166</v>
      </c>
      <c r="P451" s="144" t="s">
        <v>2468</v>
      </c>
      <c r="Q451" s="147"/>
      <c r="R451" s="146">
        <v>2100</v>
      </c>
      <c r="S451" s="157"/>
      <c r="T451" s="144" t="s">
        <v>25</v>
      </c>
      <c r="U451" s="150" t="s">
        <v>18</v>
      </c>
      <c r="V451" s="146">
        <v>1076</v>
      </c>
      <c r="W451" s="148"/>
      <c r="X451" s="149">
        <v>45689</v>
      </c>
      <c r="Y451" s="165" t="s">
        <v>2541</v>
      </c>
    </row>
    <row r="452" spans="1:25">
      <c r="A452" s="163" t="s">
        <v>309</v>
      </c>
      <c r="B452" s="144" t="s">
        <v>2463</v>
      </c>
      <c r="C452" s="164" t="s">
        <v>3333</v>
      </c>
      <c r="D452" s="144" t="s">
        <v>3334</v>
      </c>
      <c r="E452" s="150" t="s">
        <v>2466</v>
      </c>
      <c r="F452" s="144" t="s">
        <v>2467</v>
      </c>
      <c r="G452" s="166"/>
      <c r="H452" s="151">
        <v>1</v>
      </c>
      <c r="I452" s="160">
        <v>250</v>
      </c>
      <c r="J452" s="159">
        <v>250</v>
      </c>
      <c r="K452" s="161">
        <v>250</v>
      </c>
      <c r="L452" s="159">
        <v>250</v>
      </c>
      <c r="M452" s="160">
        <v>250</v>
      </c>
      <c r="N452" s="145">
        <v>250</v>
      </c>
      <c r="O452" s="156" t="s">
        <v>135</v>
      </c>
      <c r="P452" s="144" t="s">
        <v>2478</v>
      </c>
      <c r="Q452" s="147"/>
      <c r="R452" s="146"/>
      <c r="S452" s="157"/>
      <c r="T452" s="144" t="s">
        <v>29</v>
      </c>
      <c r="U452" s="150" t="s">
        <v>20</v>
      </c>
      <c r="V452" s="146">
        <v>2986</v>
      </c>
      <c r="W452" s="148" t="s">
        <v>3335</v>
      </c>
      <c r="X452" s="149">
        <v>45778</v>
      </c>
      <c r="Y452" s="165"/>
    </row>
    <row r="453" spans="1:25">
      <c r="A453" s="163" t="s">
        <v>309</v>
      </c>
      <c r="B453" s="144" t="s">
        <v>2463</v>
      </c>
      <c r="C453" s="164" t="s">
        <v>3333</v>
      </c>
      <c r="D453" s="144" t="s">
        <v>3334</v>
      </c>
      <c r="E453" s="150" t="s">
        <v>2485</v>
      </c>
      <c r="F453" s="144" t="s">
        <v>2486</v>
      </c>
      <c r="G453" s="166"/>
      <c r="H453" s="151">
        <v>1</v>
      </c>
      <c r="I453" s="160">
        <v>400</v>
      </c>
      <c r="J453" s="159">
        <v>400</v>
      </c>
      <c r="K453" s="161">
        <v>400</v>
      </c>
      <c r="L453" s="159">
        <v>400</v>
      </c>
      <c r="M453" s="160">
        <v>400</v>
      </c>
      <c r="N453" s="145"/>
      <c r="O453" s="156" t="s">
        <v>135</v>
      </c>
      <c r="P453" s="144" t="s">
        <v>2478</v>
      </c>
      <c r="Q453" s="147"/>
      <c r="R453" s="146"/>
      <c r="S453" s="157"/>
      <c r="T453" s="144" t="s">
        <v>29</v>
      </c>
      <c r="U453" s="150" t="s">
        <v>17</v>
      </c>
      <c r="V453" s="146">
        <v>2986</v>
      </c>
      <c r="W453" s="148" t="s">
        <v>3335</v>
      </c>
      <c r="X453" s="149">
        <v>45778</v>
      </c>
      <c r="Y453" s="165"/>
    </row>
    <row r="454" spans="1:25">
      <c r="A454" s="163" t="s">
        <v>7</v>
      </c>
      <c r="B454" s="144" t="s">
        <v>163</v>
      </c>
      <c r="C454" s="164" t="s">
        <v>840</v>
      </c>
      <c r="D454" s="144" t="s">
        <v>841</v>
      </c>
      <c r="E454" s="150" t="s">
        <v>2485</v>
      </c>
      <c r="F454" s="144" t="s">
        <v>2486</v>
      </c>
      <c r="G454" s="166" t="s">
        <v>842</v>
      </c>
      <c r="H454" s="151">
        <v>38</v>
      </c>
      <c r="I454" s="160">
        <v>3.83</v>
      </c>
      <c r="J454" s="159">
        <v>3.83</v>
      </c>
      <c r="K454" s="161">
        <v>145.54</v>
      </c>
      <c r="L454" s="159">
        <v>145.54</v>
      </c>
      <c r="M454" s="160">
        <v>145.54</v>
      </c>
      <c r="N454" s="145"/>
      <c r="O454" s="156" t="s">
        <v>166</v>
      </c>
      <c r="P454" s="144" t="s">
        <v>2478</v>
      </c>
      <c r="Q454" s="147">
        <v>45566</v>
      </c>
      <c r="R454" s="146">
        <v>2063</v>
      </c>
      <c r="S454" s="157"/>
      <c r="T454" s="144" t="s">
        <v>25</v>
      </c>
      <c r="U454" s="150" t="s">
        <v>17</v>
      </c>
      <c r="V454" s="146">
        <v>1268</v>
      </c>
      <c r="W454" s="148"/>
      <c r="X454" s="149">
        <v>45901</v>
      </c>
      <c r="Y454" s="165" t="s">
        <v>2820</v>
      </c>
    </row>
    <row r="455" spans="1:25">
      <c r="A455" s="163" t="s">
        <v>309</v>
      </c>
      <c r="B455" s="144" t="s">
        <v>2463</v>
      </c>
      <c r="C455" s="164" t="s">
        <v>3336</v>
      </c>
      <c r="D455" s="144" t="s">
        <v>3337</v>
      </c>
      <c r="E455" s="150" t="s">
        <v>2466</v>
      </c>
      <c r="F455" s="144" t="s">
        <v>2467</v>
      </c>
      <c r="G455" s="166"/>
      <c r="H455" s="151">
        <v>1</v>
      </c>
      <c r="I455" s="160">
        <v>250</v>
      </c>
      <c r="J455" s="159">
        <v>250</v>
      </c>
      <c r="K455" s="161">
        <v>250</v>
      </c>
      <c r="L455" s="159">
        <v>250</v>
      </c>
      <c r="M455" s="160">
        <v>250</v>
      </c>
      <c r="N455" s="145">
        <v>0</v>
      </c>
      <c r="O455" s="156" t="s">
        <v>135</v>
      </c>
      <c r="P455" s="144" t="s">
        <v>2468</v>
      </c>
      <c r="Q455" s="147"/>
      <c r="R455" s="146"/>
      <c r="S455" s="157"/>
      <c r="T455" s="144" t="s">
        <v>29</v>
      </c>
      <c r="U455" s="150" t="s">
        <v>20</v>
      </c>
      <c r="V455" s="146">
        <v>2830</v>
      </c>
      <c r="W455" s="148" t="s">
        <v>3338</v>
      </c>
      <c r="X455" s="149">
        <v>45901</v>
      </c>
      <c r="Y455" s="165" t="s">
        <v>3003</v>
      </c>
    </row>
    <row r="456" spans="1:25">
      <c r="A456" s="163" t="s">
        <v>309</v>
      </c>
      <c r="B456" s="144" t="s">
        <v>2463</v>
      </c>
      <c r="C456" s="164" t="s">
        <v>3339</v>
      </c>
      <c r="D456" s="144" t="s">
        <v>3337</v>
      </c>
      <c r="E456" s="150" t="s">
        <v>2466</v>
      </c>
      <c r="F456" s="144" t="s">
        <v>2467</v>
      </c>
      <c r="G456" s="166"/>
      <c r="H456" s="151">
        <v>1</v>
      </c>
      <c r="I456" s="160">
        <v>250</v>
      </c>
      <c r="J456" s="159">
        <v>250</v>
      </c>
      <c r="K456" s="161">
        <v>250</v>
      </c>
      <c r="L456" s="159">
        <v>250</v>
      </c>
      <c r="M456" s="160">
        <v>250</v>
      </c>
      <c r="N456" s="145">
        <v>0</v>
      </c>
      <c r="O456" s="156" t="s">
        <v>135</v>
      </c>
      <c r="P456" s="144" t="s">
        <v>2468</v>
      </c>
      <c r="Q456" s="147"/>
      <c r="R456" s="146"/>
      <c r="S456" s="157"/>
      <c r="T456" s="144" t="s">
        <v>29</v>
      </c>
      <c r="U456" s="150" t="s">
        <v>20</v>
      </c>
      <c r="V456" s="146">
        <v>2831</v>
      </c>
      <c r="W456" s="148" t="s">
        <v>3340</v>
      </c>
      <c r="X456" s="149">
        <v>45901</v>
      </c>
      <c r="Y456" s="165" t="s">
        <v>3003</v>
      </c>
    </row>
    <row r="457" spans="1:25">
      <c r="A457" s="163" t="s">
        <v>309</v>
      </c>
      <c r="B457" s="144" t="s">
        <v>2463</v>
      </c>
      <c r="C457" s="164" t="s">
        <v>3341</v>
      </c>
      <c r="D457" s="144" t="s">
        <v>3337</v>
      </c>
      <c r="E457" s="150" t="s">
        <v>2466</v>
      </c>
      <c r="F457" s="144" t="s">
        <v>2467</v>
      </c>
      <c r="G457" s="166"/>
      <c r="H457" s="151">
        <v>1</v>
      </c>
      <c r="I457" s="160">
        <v>250</v>
      </c>
      <c r="J457" s="159">
        <v>250</v>
      </c>
      <c r="K457" s="161">
        <v>250</v>
      </c>
      <c r="L457" s="159">
        <v>250</v>
      </c>
      <c r="M457" s="160">
        <v>250</v>
      </c>
      <c r="N457" s="145">
        <v>0</v>
      </c>
      <c r="O457" s="156" t="s">
        <v>135</v>
      </c>
      <c r="P457" s="144" t="s">
        <v>2468</v>
      </c>
      <c r="Q457" s="147"/>
      <c r="R457" s="146"/>
      <c r="S457" s="157"/>
      <c r="T457" s="144" t="s">
        <v>29</v>
      </c>
      <c r="U457" s="150" t="s">
        <v>20</v>
      </c>
      <c r="V457" s="146">
        <v>2832</v>
      </c>
      <c r="W457" s="148" t="s">
        <v>3342</v>
      </c>
      <c r="X457" s="149">
        <v>45901</v>
      </c>
      <c r="Y457" s="165" t="s">
        <v>3003</v>
      </c>
    </row>
    <row r="458" spans="1:25">
      <c r="A458" s="163" t="s">
        <v>7</v>
      </c>
      <c r="B458" s="144" t="s">
        <v>2463</v>
      </c>
      <c r="C458" s="164" t="s">
        <v>3343</v>
      </c>
      <c r="D458" s="144" t="s">
        <v>3344</v>
      </c>
      <c r="E458" s="150" t="s">
        <v>2491</v>
      </c>
      <c r="F458" s="144" t="s">
        <v>2477</v>
      </c>
      <c r="G458" s="166"/>
      <c r="H458" s="151">
        <v>1</v>
      </c>
      <c r="I458" s="160">
        <v>0</v>
      </c>
      <c r="J458" s="159">
        <v>4.5999999999999996</v>
      </c>
      <c r="K458" s="161">
        <v>0</v>
      </c>
      <c r="L458" s="159">
        <v>4.5999999999999996</v>
      </c>
      <c r="M458" s="160">
        <v>4.5999999999999996</v>
      </c>
      <c r="N458" s="145"/>
      <c r="O458" s="156" t="s">
        <v>135</v>
      </c>
      <c r="P458" s="144" t="s">
        <v>2478</v>
      </c>
      <c r="Q458" s="147"/>
      <c r="R458" s="146"/>
      <c r="S458" s="157"/>
      <c r="T458" s="144" t="s">
        <v>29</v>
      </c>
      <c r="U458" s="150" t="s">
        <v>2479</v>
      </c>
      <c r="V458" s="146">
        <v>2198</v>
      </c>
      <c r="W458" s="148" t="s">
        <v>3345</v>
      </c>
      <c r="X458" s="149">
        <v>45689</v>
      </c>
      <c r="Y458" s="165" t="s">
        <v>2622</v>
      </c>
    </row>
    <row r="459" spans="1:25">
      <c r="A459" s="163" t="s">
        <v>7</v>
      </c>
      <c r="B459" s="144" t="s">
        <v>2463</v>
      </c>
      <c r="C459" s="164" t="s">
        <v>3343</v>
      </c>
      <c r="D459" s="144" t="s">
        <v>3344</v>
      </c>
      <c r="E459" s="150" t="s">
        <v>2466</v>
      </c>
      <c r="F459" s="144" t="s">
        <v>2467</v>
      </c>
      <c r="G459" s="166"/>
      <c r="H459" s="151">
        <v>1</v>
      </c>
      <c r="I459" s="160"/>
      <c r="J459" s="159">
        <v>3.6</v>
      </c>
      <c r="K459" s="161"/>
      <c r="L459" s="159">
        <v>3.6</v>
      </c>
      <c r="M459" s="160">
        <v>3.6</v>
      </c>
      <c r="N459" s="145">
        <v>480</v>
      </c>
      <c r="O459" s="156" t="s">
        <v>135</v>
      </c>
      <c r="P459" s="144" t="s">
        <v>2468</v>
      </c>
      <c r="Q459" s="147"/>
      <c r="R459" s="146">
        <v>2062</v>
      </c>
      <c r="S459" s="157"/>
      <c r="T459" s="144" t="s">
        <v>29</v>
      </c>
      <c r="U459" s="150" t="s">
        <v>20</v>
      </c>
      <c r="V459" s="146">
        <v>2198</v>
      </c>
      <c r="W459" s="148" t="s">
        <v>3345</v>
      </c>
      <c r="X459" s="149">
        <v>45689</v>
      </c>
      <c r="Y459" s="165" t="s">
        <v>2622</v>
      </c>
    </row>
    <row r="460" spans="1:25">
      <c r="A460" s="163" t="s">
        <v>7</v>
      </c>
      <c r="B460" s="144" t="s">
        <v>2463</v>
      </c>
      <c r="C460" s="164" t="s">
        <v>3346</v>
      </c>
      <c r="D460" s="144" t="s">
        <v>616</v>
      </c>
      <c r="E460" s="150" t="s">
        <v>2466</v>
      </c>
      <c r="F460" s="144" t="s">
        <v>2467</v>
      </c>
      <c r="G460" s="166"/>
      <c r="H460" s="151">
        <v>1</v>
      </c>
      <c r="I460" s="160">
        <v>25</v>
      </c>
      <c r="J460" s="159">
        <v>25</v>
      </c>
      <c r="K460" s="161">
        <v>25</v>
      </c>
      <c r="L460" s="159">
        <v>25</v>
      </c>
      <c r="M460" s="160">
        <v>25</v>
      </c>
      <c r="N460" s="145">
        <v>25</v>
      </c>
      <c r="O460" s="156" t="s">
        <v>135</v>
      </c>
      <c r="P460" s="144" t="s">
        <v>2468</v>
      </c>
      <c r="Q460" s="147"/>
      <c r="R460" s="146"/>
      <c r="S460" s="157"/>
      <c r="T460" s="144" t="s">
        <v>29</v>
      </c>
      <c r="U460" s="150" t="s">
        <v>20</v>
      </c>
      <c r="V460" s="146">
        <v>3096</v>
      </c>
      <c r="W460" s="148"/>
      <c r="X460" s="149">
        <v>45901</v>
      </c>
      <c r="Y460" s="165" t="s">
        <v>2718</v>
      </c>
    </row>
    <row r="461" spans="1:25">
      <c r="A461" s="163" t="s">
        <v>7</v>
      </c>
      <c r="B461" s="144" t="s">
        <v>2463</v>
      </c>
      <c r="C461" s="164" t="s">
        <v>3347</v>
      </c>
      <c r="D461" s="144" t="s">
        <v>3348</v>
      </c>
      <c r="E461" s="150" t="s">
        <v>2491</v>
      </c>
      <c r="F461" s="144" t="s">
        <v>2477</v>
      </c>
      <c r="G461" s="166"/>
      <c r="H461" s="151">
        <v>1</v>
      </c>
      <c r="I461" s="160">
        <v>0</v>
      </c>
      <c r="J461" s="159">
        <v>90</v>
      </c>
      <c r="K461" s="161">
        <v>0</v>
      </c>
      <c r="L461" s="159">
        <v>90</v>
      </c>
      <c r="M461" s="160">
        <v>90</v>
      </c>
      <c r="N461" s="145"/>
      <c r="O461" s="156" t="s">
        <v>135</v>
      </c>
      <c r="P461" s="144" t="s">
        <v>2478</v>
      </c>
      <c r="Q461" s="147"/>
      <c r="R461" s="146"/>
      <c r="S461" s="157"/>
      <c r="T461" s="144" t="s">
        <v>29</v>
      </c>
      <c r="U461" s="150" t="s">
        <v>2479</v>
      </c>
      <c r="V461" s="146">
        <v>2426</v>
      </c>
      <c r="W461" s="148"/>
      <c r="X461" s="149">
        <v>45689</v>
      </c>
      <c r="Y461" s="165" t="s">
        <v>2474</v>
      </c>
    </row>
    <row r="462" spans="1:25">
      <c r="A462" s="163" t="s">
        <v>309</v>
      </c>
      <c r="B462" s="144" t="s">
        <v>2463</v>
      </c>
      <c r="C462" s="164" t="s">
        <v>3349</v>
      </c>
      <c r="D462" s="144" t="s">
        <v>3350</v>
      </c>
      <c r="E462" s="150" t="s">
        <v>2485</v>
      </c>
      <c r="F462" s="144" t="s">
        <v>2486</v>
      </c>
      <c r="G462" s="166"/>
      <c r="H462" s="151">
        <v>1</v>
      </c>
      <c r="I462" s="160">
        <v>1200</v>
      </c>
      <c r="J462" s="159">
        <v>1200</v>
      </c>
      <c r="K462" s="161">
        <v>1200</v>
      </c>
      <c r="L462" s="159">
        <v>1200</v>
      </c>
      <c r="M462" s="160">
        <v>1200</v>
      </c>
      <c r="N462" s="145"/>
      <c r="O462" s="156" t="s">
        <v>135</v>
      </c>
      <c r="P462" s="144" t="s">
        <v>2478</v>
      </c>
      <c r="Q462" s="147"/>
      <c r="R462" s="146"/>
      <c r="S462" s="157"/>
      <c r="T462" s="144" t="s">
        <v>29</v>
      </c>
      <c r="U462" s="150" t="s">
        <v>17</v>
      </c>
      <c r="V462" s="146">
        <v>2486</v>
      </c>
      <c r="W462" s="148" t="s">
        <v>3351</v>
      </c>
      <c r="X462" s="149">
        <v>45778</v>
      </c>
      <c r="Y462" s="165" t="s">
        <v>3352</v>
      </c>
    </row>
    <row r="463" spans="1:25">
      <c r="A463" s="163" t="s">
        <v>423</v>
      </c>
      <c r="B463" s="144" t="s">
        <v>2463</v>
      </c>
      <c r="C463" s="164" t="s">
        <v>3353</v>
      </c>
      <c r="D463" s="144" t="s">
        <v>890</v>
      </c>
      <c r="E463" s="150" t="s">
        <v>2466</v>
      </c>
      <c r="F463" s="144" t="s">
        <v>2467</v>
      </c>
      <c r="G463" s="166"/>
      <c r="H463" s="151">
        <v>34</v>
      </c>
      <c r="I463" s="160"/>
      <c r="J463" s="159">
        <v>3.5</v>
      </c>
      <c r="K463" s="161"/>
      <c r="L463" s="159">
        <v>119</v>
      </c>
      <c r="M463" s="160">
        <v>119</v>
      </c>
      <c r="N463" s="145">
        <v>240</v>
      </c>
      <c r="O463" s="156" t="s">
        <v>135</v>
      </c>
      <c r="P463" s="144" t="s">
        <v>2468</v>
      </c>
      <c r="Q463" s="147"/>
      <c r="R463" s="146"/>
      <c r="S463" s="157"/>
      <c r="T463" s="144" t="s">
        <v>29</v>
      </c>
      <c r="U463" s="150" t="s">
        <v>20</v>
      </c>
      <c r="V463" s="146">
        <v>2241</v>
      </c>
      <c r="W463" s="148" t="s">
        <v>3354</v>
      </c>
      <c r="X463" s="149">
        <v>45901</v>
      </c>
      <c r="Y463" s="165">
        <v>45933.747430555559</v>
      </c>
    </row>
    <row r="464" spans="1:25">
      <c r="A464" s="163" t="s">
        <v>423</v>
      </c>
      <c r="B464" s="144" t="s">
        <v>2463</v>
      </c>
      <c r="C464" s="164" t="s">
        <v>3353</v>
      </c>
      <c r="D464" s="144" t="s">
        <v>890</v>
      </c>
      <c r="E464" s="150" t="s">
        <v>2491</v>
      </c>
      <c r="F464" s="144" t="s">
        <v>2477</v>
      </c>
      <c r="G464" s="166"/>
      <c r="H464" s="151">
        <v>23</v>
      </c>
      <c r="I464" s="160"/>
      <c r="J464" s="159">
        <v>3.5</v>
      </c>
      <c r="K464" s="161"/>
      <c r="L464" s="159">
        <v>80.5</v>
      </c>
      <c r="M464" s="160">
        <v>80.5</v>
      </c>
      <c r="N464" s="145"/>
      <c r="O464" s="156" t="s">
        <v>135</v>
      </c>
      <c r="P464" s="144" t="s">
        <v>2478</v>
      </c>
      <c r="Q464" s="147"/>
      <c r="R464" s="146"/>
      <c r="S464" s="157"/>
      <c r="T464" s="144" t="s">
        <v>29</v>
      </c>
      <c r="U464" s="150" t="s">
        <v>2479</v>
      </c>
      <c r="V464" s="146">
        <v>2241</v>
      </c>
      <c r="W464" s="148" t="s">
        <v>3354</v>
      </c>
      <c r="X464" s="149">
        <v>45901</v>
      </c>
      <c r="Y464" s="165">
        <v>45933.747430555559</v>
      </c>
    </row>
    <row r="465" spans="1:25">
      <c r="A465" s="163" t="s">
        <v>309</v>
      </c>
      <c r="B465" s="144" t="s">
        <v>2463</v>
      </c>
      <c r="C465" s="164" t="s">
        <v>3355</v>
      </c>
      <c r="D465" s="144" t="s">
        <v>3356</v>
      </c>
      <c r="E465" s="150" t="s">
        <v>2485</v>
      </c>
      <c r="F465" s="144" t="s">
        <v>2486</v>
      </c>
      <c r="G465" s="166"/>
      <c r="H465" s="151">
        <v>30</v>
      </c>
      <c r="I465" s="160">
        <v>2.5</v>
      </c>
      <c r="J465" s="159">
        <v>5.5</v>
      </c>
      <c r="K465" s="161">
        <v>75</v>
      </c>
      <c r="L465" s="159">
        <v>165</v>
      </c>
      <c r="M465" s="160" t="s">
        <v>3357</v>
      </c>
      <c r="N465" s="145"/>
      <c r="O465" s="156" t="s">
        <v>135</v>
      </c>
      <c r="P465" s="144" t="s">
        <v>2478</v>
      </c>
      <c r="Q465" s="147"/>
      <c r="R465" s="146"/>
      <c r="S465" s="157"/>
      <c r="T465" s="144" t="s">
        <v>29</v>
      </c>
      <c r="U465" s="150" t="s">
        <v>17</v>
      </c>
      <c r="V465" s="146">
        <v>1279</v>
      </c>
      <c r="W465" s="148"/>
      <c r="X465" s="149">
        <v>45689</v>
      </c>
      <c r="Y465" s="165" t="s">
        <v>2609</v>
      </c>
    </row>
    <row r="466" spans="1:25">
      <c r="A466" s="163" t="s">
        <v>309</v>
      </c>
      <c r="B466" s="144" t="s">
        <v>2463</v>
      </c>
      <c r="C466" s="164" t="s">
        <v>684</v>
      </c>
      <c r="D466" s="144" t="s">
        <v>685</v>
      </c>
      <c r="E466" s="150" t="s">
        <v>2491</v>
      </c>
      <c r="F466" s="144" t="s">
        <v>2477</v>
      </c>
      <c r="G466" s="166"/>
      <c r="H466" s="151">
        <v>1</v>
      </c>
      <c r="I466" s="160"/>
      <c r="J466" s="159">
        <v>310.8</v>
      </c>
      <c r="K466" s="161"/>
      <c r="L466" s="159">
        <v>310.8</v>
      </c>
      <c r="M466" s="160">
        <v>310.8</v>
      </c>
      <c r="N466" s="145"/>
      <c r="O466" s="156" t="s">
        <v>135</v>
      </c>
      <c r="P466" s="144" t="s">
        <v>2478</v>
      </c>
      <c r="Q466" s="147"/>
      <c r="R466" s="146">
        <v>2056</v>
      </c>
      <c r="S466" s="157"/>
      <c r="T466" s="144" t="s">
        <v>29</v>
      </c>
      <c r="U466" s="150" t="s">
        <v>2479</v>
      </c>
      <c r="V466" s="146">
        <v>1419</v>
      </c>
      <c r="W466" s="148" t="s">
        <v>3358</v>
      </c>
      <c r="X466" s="149">
        <v>45778</v>
      </c>
      <c r="Y466" s="165" t="s">
        <v>2609</v>
      </c>
    </row>
    <row r="467" spans="1:25">
      <c r="A467" s="163" t="s">
        <v>309</v>
      </c>
      <c r="B467" s="144" t="s">
        <v>2463</v>
      </c>
      <c r="C467" s="164" t="s">
        <v>684</v>
      </c>
      <c r="D467" s="144" t="s">
        <v>685</v>
      </c>
      <c r="E467" s="150" t="s">
        <v>2466</v>
      </c>
      <c r="F467" s="144" t="s">
        <v>2467</v>
      </c>
      <c r="G467" s="166"/>
      <c r="H467" s="151">
        <v>1</v>
      </c>
      <c r="I467" s="160"/>
      <c r="J467" s="159">
        <v>210.63</v>
      </c>
      <c r="K467" s="161"/>
      <c r="L467" s="159">
        <v>210.63</v>
      </c>
      <c r="M467" s="160">
        <v>210.63</v>
      </c>
      <c r="N467" s="145">
        <v>210.63</v>
      </c>
      <c r="O467" s="156" t="s">
        <v>135</v>
      </c>
      <c r="P467" s="144" t="s">
        <v>2468</v>
      </c>
      <c r="Q467" s="147"/>
      <c r="R467" s="146">
        <v>2056</v>
      </c>
      <c r="S467" s="157"/>
      <c r="T467" s="144" t="s">
        <v>29</v>
      </c>
      <c r="U467" s="150" t="s">
        <v>20</v>
      </c>
      <c r="V467" s="146">
        <v>1419</v>
      </c>
      <c r="W467" s="148" t="s">
        <v>3358</v>
      </c>
      <c r="X467" s="149">
        <v>45778</v>
      </c>
      <c r="Y467" s="165" t="s">
        <v>2609</v>
      </c>
    </row>
    <row r="468" spans="1:25">
      <c r="A468" s="163" t="s">
        <v>423</v>
      </c>
      <c r="B468" s="144" t="s">
        <v>2463</v>
      </c>
      <c r="C468" s="164" t="s">
        <v>1419</v>
      </c>
      <c r="D468" s="144" t="s">
        <v>1420</v>
      </c>
      <c r="E468" s="150" t="s">
        <v>2491</v>
      </c>
      <c r="F468" s="144" t="s">
        <v>2477</v>
      </c>
      <c r="G468" s="166"/>
      <c r="H468" s="151">
        <v>1</v>
      </c>
      <c r="I468" s="160">
        <v>0</v>
      </c>
      <c r="J468" s="159">
        <v>77</v>
      </c>
      <c r="K468" s="161">
        <v>0</v>
      </c>
      <c r="L468" s="159">
        <v>77</v>
      </c>
      <c r="M468" s="160">
        <v>77</v>
      </c>
      <c r="N468" s="145"/>
      <c r="O468" s="156" t="s">
        <v>28</v>
      </c>
      <c r="P468" s="144" t="s">
        <v>2478</v>
      </c>
      <c r="Q468" s="147">
        <v>46539</v>
      </c>
      <c r="R468" s="146">
        <v>2054</v>
      </c>
      <c r="S468" s="157"/>
      <c r="T468" s="144" t="s">
        <v>28</v>
      </c>
      <c r="U468" s="150" t="s">
        <v>2479</v>
      </c>
      <c r="V468" s="146">
        <v>1971</v>
      </c>
      <c r="W468" s="148"/>
      <c r="X468" s="149">
        <v>45901</v>
      </c>
      <c r="Y468" s="165" t="s">
        <v>2490</v>
      </c>
    </row>
    <row r="469" spans="1:25">
      <c r="A469" s="163" t="s">
        <v>423</v>
      </c>
      <c r="B469" s="144" t="s">
        <v>2463</v>
      </c>
      <c r="C469" s="164" t="s">
        <v>443</v>
      </c>
      <c r="D469" s="144" t="s">
        <v>444</v>
      </c>
      <c r="E469" s="150" t="s">
        <v>2466</v>
      </c>
      <c r="F469" s="144" t="s">
        <v>2477</v>
      </c>
      <c r="G469" s="166"/>
      <c r="H469" s="151">
        <v>24</v>
      </c>
      <c r="I469" s="160"/>
      <c r="J469" s="159">
        <v>2.67</v>
      </c>
      <c r="K469" s="161"/>
      <c r="L469" s="159">
        <v>64.08</v>
      </c>
      <c r="M469" s="160">
        <v>64.08</v>
      </c>
      <c r="N469" s="145">
        <v>128</v>
      </c>
      <c r="O469" s="156" t="s">
        <v>27</v>
      </c>
      <c r="P469" s="144" t="s">
        <v>2468</v>
      </c>
      <c r="Q469" s="147">
        <v>46631</v>
      </c>
      <c r="R469" s="146">
        <v>2063</v>
      </c>
      <c r="S469" s="157"/>
      <c r="T469" s="144" t="s">
        <v>27</v>
      </c>
      <c r="U469" s="150" t="s">
        <v>20</v>
      </c>
      <c r="V469" s="146">
        <v>1977</v>
      </c>
      <c r="W469" s="148"/>
      <c r="X469" s="149">
        <v>45901</v>
      </c>
      <c r="Y469" s="165" t="s">
        <v>2578</v>
      </c>
    </row>
    <row r="470" spans="1:25">
      <c r="A470" s="163" t="s">
        <v>423</v>
      </c>
      <c r="B470" s="144" t="s">
        <v>2463</v>
      </c>
      <c r="C470" s="164" t="s">
        <v>443</v>
      </c>
      <c r="D470" s="144" t="s">
        <v>444</v>
      </c>
      <c r="E470" s="150" t="s">
        <v>2491</v>
      </c>
      <c r="F470" s="144" t="s">
        <v>2477</v>
      </c>
      <c r="G470" s="166"/>
      <c r="H470" s="151">
        <v>24</v>
      </c>
      <c r="I470" s="160">
        <v>0</v>
      </c>
      <c r="J470" s="159">
        <v>4.2</v>
      </c>
      <c r="K470" s="161">
        <v>0</v>
      </c>
      <c r="L470" s="159">
        <v>100.8</v>
      </c>
      <c r="M470" s="160">
        <v>100.8</v>
      </c>
      <c r="N470" s="145"/>
      <c r="O470" s="156" t="s">
        <v>27</v>
      </c>
      <c r="P470" s="144" t="s">
        <v>2478</v>
      </c>
      <c r="Q470" s="147">
        <v>46631</v>
      </c>
      <c r="R470" s="146">
        <v>2063</v>
      </c>
      <c r="S470" s="157"/>
      <c r="T470" s="144" t="s">
        <v>27</v>
      </c>
      <c r="U470" s="150" t="s">
        <v>2479</v>
      </c>
      <c r="V470" s="146">
        <v>1977</v>
      </c>
      <c r="W470" s="148"/>
      <c r="X470" s="149">
        <v>45901</v>
      </c>
      <c r="Y470" s="165" t="s">
        <v>2578</v>
      </c>
    </row>
    <row r="471" spans="1:25">
      <c r="A471" s="163" t="s">
        <v>309</v>
      </c>
      <c r="B471" s="144" t="s">
        <v>163</v>
      </c>
      <c r="C471" s="164" t="s">
        <v>959</v>
      </c>
      <c r="D471" s="144" t="s">
        <v>960</v>
      </c>
      <c r="E471" s="150" t="s">
        <v>2491</v>
      </c>
      <c r="F471" s="144" t="s">
        <v>2477</v>
      </c>
      <c r="G471" s="166" t="s">
        <v>961</v>
      </c>
      <c r="H471" s="151">
        <v>54</v>
      </c>
      <c r="I471" s="160">
        <v>0</v>
      </c>
      <c r="J471" s="159">
        <v>3</v>
      </c>
      <c r="K471" s="161">
        <v>0</v>
      </c>
      <c r="L471" s="159">
        <v>162</v>
      </c>
      <c r="M471" s="160">
        <v>162</v>
      </c>
      <c r="N471" s="145"/>
      <c r="O471" s="156" t="s">
        <v>164</v>
      </c>
      <c r="P471" s="144" t="s">
        <v>2478</v>
      </c>
      <c r="Q471" s="147"/>
      <c r="R471" s="146">
        <v>2051</v>
      </c>
      <c r="S471" s="157"/>
      <c r="T471" s="144" t="s">
        <v>25</v>
      </c>
      <c r="U471" s="150" t="s">
        <v>2479</v>
      </c>
      <c r="V471" s="146">
        <v>1538</v>
      </c>
      <c r="W471" s="148"/>
      <c r="X471" s="149">
        <v>45901</v>
      </c>
      <c r="Y471" s="165" t="s">
        <v>2490</v>
      </c>
    </row>
    <row r="472" spans="1:25">
      <c r="A472" s="163" t="s">
        <v>423</v>
      </c>
      <c r="B472" s="144" t="s">
        <v>163</v>
      </c>
      <c r="C472" s="164" t="s">
        <v>1975</v>
      </c>
      <c r="D472" s="144" t="s">
        <v>3359</v>
      </c>
      <c r="E472" s="150" t="s">
        <v>2466</v>
      </c>
      <c r="F472" s="144" t="s">
        <v>2467</v>
      </c>
      <c r="G472" s="166" t="s">
        <v>464</v>
      </c>
      <c r="H472" s="151">
        <v>1</v>
      </c>
      <c r="I472" s="160">
        <v>0</v>
      </c>
      <c r="J472" s="159">
        <v>25.33</v>
      </c>
      <c r="K472" s="161">
        <v>0</v>
      </c>
      <c r="L472" s="159">
        <v>25.33</v>
      </c>
      <c r="M472" s="160">
        <v>25.33</v>
      </c>
      <c r="N472" s="145">
        <v>50</v>
      </c>
      <c r="O472" s="156" t="s">
        <v>166</v>
      </c>
      <c r="P472" s="144" t="s">
        <v>2468</v>
      </c>
      <c r="Q472" s="147"/>
      <c r="R472" s="146">
        <v>2033</v>
      </c>
      <c r="S472" s="157"/>
      <c r="T472" s="144" t="s">
        <v>25</v>
      </c>
      <c r="U472" s="150" t="s">
        <v>20</v>
      </c>
      <c r="V472" s="146">
        <v>1470</v>
      </c>
      <c r="W472" s="148"/>
      <c r="X472" s="149">
        <v>45689</v>
      </c>
      <c r="Y472" s="165" t="s">
        <v>2558</v>
      </c>
    </row>
    <row r="473" spans="1:25">
      <c r="A473" s="163" t="s">
        <v>423</v>
      </c>
      <c r="B473" s="144" t="s">
        <v>163</v>
      </c>
      <c r="C473" s="164" t="s">
        <v>1971</v>
      </c>
      <c r="D473" s="144" t="s">
        <v>3360</v>
      </c>
      <c r="E473" s="150" t="s">
        <v>2491</v>
      </c>
      <c r="F473" s="144" t="s">
        <v>2477</v>
      </c>
      <c r="G473" s="166" t="s">
        <v>3361</v>
      </c>
      <c r="H473" s="151">
        <v>22</v>
      </c>
      <c r="I473" s="160"/>
      <c r="J473" s="159">
        <v>2.5</v>
      </c>
      <c r="K473" s="161"/>
      <c r="L473" s="159">
        <v>55</v>
      </c>
      <c r="M473" s="160">
        <v>55</v>
      </c>
      <c r="N473" s="145"/>
      <c r="O473" s="156" t="s">
        <v>166</v>
      </c>
      <c r="P473" s="144" t="s">
        <v>2478</v>
      </c>
      <c r="Q473" s="147"/>
      <c r="R473" s="146">
        <v>2048</v>
      </c>
      <c r="S473" s="157"/>
      <c r="T473" s="144" t="s">
        <v>25</v>
      </c>
      <c r="U473" s="150" t="s">
        <v>2479</v>
      </c>
      <c r="V473" s="146">
        <v>1396</v>
      </c>
      <c r="W473" s="148"/>
      <c r="X473" s="149">
        <v>45689</v>
      </c>
      <c r="Y473" s="165" t="s">
        <v>2470</v>
      </c>
    </row>
    <row r="474" spans="1:25">
      <c r="A474" s="163" t="s">
        <v>309</v>
      </c>
      <c r="B474" s="144" t="s">
        <v>2463</v>
      </c>
      <c r="C474" s="164" t="s">
        <v>3362</v>
      </c>
      <c r="D474" s="144" t="s">
        <v>540</v>
      </c>
      <c r="E474" s="150" t="s">
        <v>2491</v>
      </c>
      <c r="F474" s="144" t="s">
        <v>2477</v>
      </c>
      <c r="G474" s="166"/>
      <c r="H474" s="151">
        <v>1</v>
      </c>
      <c r="I474" s="160"/>
      <c r="J474" s="159">
        <v>150</v>
      </c>
      <c r="K474" s="161"/>
      <c r="L474" s="159">
        <v>150</v>
      </c>
      <c r="M474" s="160">
        <v>150</v>
      </c>
      <c r="N474" s="145"/>
      <c r="O474" s="156" t="s">
        <v>135</v>
      </c>
      <c r="P474" s="144" t="s">
        <v>2478</v>
      </c>
      <c r="Q474" s="147"/>
      <c r="R474" s="146"/>
      <c r="S474" s="157"/>
      <c r="T474" s="144" t="s">
        <v>29</v>
      </c>
      <c r="U474" s="150" t="s">
        <v>2479</v>
      </c>
      <c r="V474" s="146">
        <v>2893</v>
      </c>
      <c r="W474" s="148"/>
      <c r="X474" s="149">
        <v>45901</v>
      </c>
      <c r="Y474" s="165" t="s">
        <v>3006</v>
      </c>
    </row>
    <row r="475" spans="1:25">
      <c r="A475" s="163" t="s">
        <v>309</v>
      </c>
      <c r="B475" s="144" t="s">
        <v>2463</v>
      </c>
      <c r="C475" s="164" t="s">
        <v>3362</v>
      </c>
      <c r="D475" s="144" t="s">
        <v>540</v>
      </c>
      <c r="E475" s="150" t="s">
        <v>2466</v>
      </c>
      <c r="F475" s="144" t="s">
        <v>2477</v>
      </c>
      <c r="G475" s="166"/>
      <c r="H475" s="151">
        <v>1</v>
      </c>
      <c r="I475" s="160"/>
      <c r="J475" s="159">
        <v>150</v>
      </c>
      <c r="K475" s="161"/>
      <c r="L475" s="159">
        <v>150</v>
      </c>
      <c r="M475" s="160">
        <v>150</v>
      </c>
      <c r="N475" s="145">
        <v>600</v>
      </c>
      <c r="O475" s="156" t="s">
        <v>135</v>
      </c>
      <c r="P475" s="144" t="s">
        <v>2468</v>
      </c>
      <c r="Q475" s="147"/>
      <c r="R475" s="146"/>
      <c r="S475" s="157"/>
      <c r="T475" s="144" t="s">
        <v>29</v>
      </c>
      <c r="U475" s="150" t="s">
        <v>20</v>
      </c>
      <c r="V475" s="146">
        <v>2893</v>
      </c>
      <c r="W475" s="148"/>
      <c r="X475" s="149">
        <v>45901</v>
      </c>
      <c r="Y475" s="165" t="s">
        <v>3006</v>
      </c>
    </row>
    <row r="476" spans="1:25">
      <c r="A476" s="163" t="s">
        <v>7</v>
      </c>
      <c r="B476" s="144" t="s">
        <v>2463</v>
      </c>
      <c r="C476" s="164" t="s">
        <v>3363</v>
      </c>
      <c r="D476" s="144" t="s">
        <v>473</v>
      </c>
      <c r="E476" s="150" t="s">
        <v>2466</v>
      </c>
      <c r="F476" s="144" t="s">
        <v>2467</v>
      </c>
      <c r="G476" s="166"/>
      <c r="H476" s="151">
        <v>144</v>
      </c>
      <c r="I476" s="160">
        <v>3.62</v>
      </c>
      <c r="J476" s="159">
        <v>3.62</v>
      </c>
      <c r="K476" s="161">
        <v>521.28</v>
      </c>
      <c r="L476" s="159">
        <v>521.28</v>
      </c>
      <c r="M476" s="160">
        <v>521.28</v>
      </c>
      <c r="N476" s="145">
        <v>1600</v>
      </c>
      <c r="O476" s="156" t="s">
        <v>135</v>
      </c>
      <c r="P476" s="144" t="s">
        <v>2468</v>
      </c>
      <c r="Q476" s="147">
        <v>46722</v>
      </c>
      <c r="R476" s="146"/>
      <c r="S476" s="157"/>
      <c r="T476" s="144" t="s">
        <v>29</v>
      </c>
      <c r="U476" s="150" t="s">
        <v>20</v>
      </c>
      <c r="V476" s="146">
        <v>2648</v>
      </c>
      <c r="W476" s="148" t="s">
        <v>3364</v>
      </c>
      <c r="X476" s="149">
        <v>45689</v>
      </c>
      <c r="Y476" s="165" t="s">
        <v>2612</v>
      </c>
    </row>
    <row r="477" spans="1:25">
      <c r="A477" s="163" t="s">
        <v>7</v>
      </c>
      <c r="B477" s="144" t="s">
        <v>2463</v>
      </c>
      <c r="C477" s="164" t="s">
        <v>3365</v>
      </c>
      <c r="D477" s="144" t="s">
        <v>503</v>
      </c>
      <c r="E477" s="150" t="s">
        <v>2466</v>
      </c>
      <c r="F477" s="144" t="s">
        <v>2467</v>
      </c>
      <c r="G477" s="166"/>
      <c r="H477" s="151">
        <v>142</v>
      </c>
      <c r="I477" s="160">
        <v>3.8</v>
      </c>
      <c r="J477" s="159">
        <v>3.8</v>
      </c>
      <c r="K477" s="161">
        <v>539.6</v>
      </c>
      <c r="L477" s="159">
        <v>539.6</v>
      </c>
      <c r="M477" s="160">
        <v>539.6</v>
      </c>
      <c r="N477" s="145">
        <v>720</v>
      </c>
      <c r="O477" s="156" t="s">
        <v>135</v>
      </c>
      <c r="P477" s="144" t="s">
        <v>2468</v>
      </c>
      <c r="Q477" s="147"/>
      <c r="R477" s="146"/>
      <c r="S477" s="157"/>
      <c r="T477" s="144" t="s">
        <v>29</v>
      </c>
      <c r="U477" s="150" t="s">
        <v>20</v>
      </c>
      <c r="V477" s="146">
        <v>2936</v>
      </c>
      <c r="W477" s="148" t="s">
        <v>3366</v>
      </c>
      <c r="X477" s="149">
        <v>45778</v>
      </c>
      <c r="Y477" s="165"/>
    </row>
    <row r="478" spans="1:25">
      <c r="A478" s="163" t="s">
        <v>7</v>
      </c>
      <c r="B478" s="144" t="s">
        <v>2463</v>
      </c>
      <c r="C478" s="164" t="s">
        <v>3367</v>
      </c>
      <c r="D478" s="144" t="s">
        <v>503</v>
      </c>
      <c r="E478" s="150" t="s">
        <v>2476</v>
      </c>
      <c r="F478" s="144" t="s">
        <v>2477</v>
      </c>
      <c r="G478" s="166"/>
      <c r="H478" s="151">
        <v>38</v>
      </c>
      <c r="I478" s="160">
        <v>4.4000000000000004</v>
      </c>
      <c r="J478" s="159">
        <v>4.4000000000000004</v>
      </c>
      <c r="K478" s="161">
        <v>167.2</v>
      </c>
      <c r="L478" s="159">
        <v>167.2</v>
      </c>
      <c r="M478" s="160">
        <v>167.2</v>
      </c>
      <c r="N478" s="145"/>
      <c r="O478" s="156" t="s">
        <v>135</v>
      </c>
      <c r="P478" s="144" t="s">
        <v>2478</v>
      </c>
      <c r="Q478" s="147"/>
      <c r="R478" s="146"/>
      <c r="S478" s="157"/>
      <c r="T478" s="144" t="s">
        <v>29</v>
      </c>
      <c r="U478" s="150" t="s">
        <v>2479</v>
      </c>
      <c r="V478" s="146">
        <v>2935</v>
      </c>
      <c r="W478" s="148" t="s">
        <v>3366</v>
      </c>
      <c r="X478" s="149">
        <v>45778</v>
      </c>
      <c r="Y478" s="165"/>
    </row>
    <row r="479" spans="1:25">
      <c r="A479" s="163" t="s">
        <v>309</v>
      </c>
      <c r="B479" s="144" t="s">
        <v>2463</v>
      </c>
      <c r="C479" s="164" t="s">
        <v>3368</v>
      </c>
      <c r="D479" s="144" t="s">
        <v>963</v>
      </c>
      <c r="E479" s="150" t="s">
        <v>2466</v>
      </c>
      <c r="F479" s="144" t="s">
        <v>2467</v>
      </c>
      <c r="G479" s="166"/>
      <c r="H479" s="151">
        <v>4</v>
      </c>
      <c r="I479" s="160">
        <v>26</v>
      </c>
      <c r="J479" s="159">
        <v>26</v>
      </c>
      <c r="K479" s="161">
        <v>104</v>
      </c>
      <c r="L479" s="159">
        <v>104</v>
      </c>
      <c r="M479" s="160">
        <v>104</v>
      </c>
      <c r="N479" s="145">
        <v>208</v>
      </c>
      <c r="O479" s="156" t="s">
        <v>28</v>
      </c>
      <c r="P479" s="144" t="s">
        <v>2468</v>
      </c>
      <c r="Q479" s="147">
        <v>46997</v>
      </c>
      <c r="R479" s="146">
        <v>2053</v>
      </c>
      <c r="S479" s="157"/>
      <c r="T479" s="144" t="s">
        <v>28</v>
      </c>
      <c r="U479" s="150" t="s">
        <v>20</v>
      </c>
      <c r="V479" s="146">
        <v>2304</v>
      </c>
      <c r="W479" s="148" t="s">
        <v>3369</v>
      </c>
      <c r="X479" s="149">
        <v>45901</v>
      </c>
      <c r="Y479" s="165" t="s">
        <v>2712</v>
      </c>
    </row>
    <row r="480" spans="1:25">
      <c r="A480" s="163" t="s">
        <v>309</v>
      </c>
      <c r="B480" s="144" t="s">
        <v>2463</v>
      </c>
      <c r="C480" s="164" t="s">
        <v>3368</v>
      </c>
      <c r="D480" s="144" t="s">
        <v>963</v>
      </c>
      <c r="E480" s="150" t="s">
        <v>2485</v>
      </c>
      <c r="F480" s="144" t="s">
        <v>2486</v>
      </c>
      <c r="G480" s="166"/>
      <c r="H480" s="151">
        <v>68</v>
      </c>
      <c r="I480" s="160">
        <v>6</v>
      </c>
      <c r="J480" s="159">
        <v>6</v>
      </c>
      <c r="K480" s="161">
        <v>408</v>
      </c>
      <c r="L480" s="159">
        <v>408</v>
      </c>
      <c r="M480" s="160">
        <v>408</v>
      </c>
      <c r="N480" s="145"/>
      <c r="O480" s="156" t="s">
        <v>28</v>
      </c>
      <c r="P480" s="144" t="s">
        <v>2478</v>
      </c>
      <c r="Q480" s="147">
        <v>47392</v>
      </c>
      <c r="R480" s="146">
        <v>2053</v>
      </c>
      <c r="S480" s="157"/>
      <c r="T480" s="144" t="s">
        <v>28</v>
      </c>
      <c r="U480" s="150" t="s">
        <v>17</v>
      </c>
      <c r="V480" s="146">
        <v>2304</v>
      </c>
      <c r="W480" s="148" t="s">
        <v>3369</v>
      </c>
      <c r="X480" s="149">
        <v>45901</v>
      </c>
      <c r="Y480" s="165" t="s">
        <v>2712</v>
      </c>
    </row>
    <row r="481" spans="1:25">
      <c r="A481" s="163" t="s">
        <v>423</v>
      </c>
      <c r="B481" s="144" t="s">
        <v>2463</v>
      </c>
      <c r="C481" s="164" t="s">
        <v>3370</v>
      </c>
      <c r="D481" s="144" t="s">
        <v>252</v>
      </c>
      <c r="E481" s="150" t="s">
        <v>2466</v>
      </c>
      <c r="F481" s="144" t="s">
        <v>2467</v>
      </c>
      <c r="G481" s="166"/>
      <c r="H481" s="151">
        <v>1</v>
      </c>
      <c r="I481" s="160">
        <v>250</v>
      </c>
      <c r="J481" s="159">
        <v>250</v>
      </c>
      <c r="K481" s="161">
        <v>250</v>
      </c>
      <c r="L481" s="159">
        <v>250</v>
      </c>
      <c r="M481" s="160">
        <v>250</v>
      </c>
      <c r="N481" s="145">
        <v>1000</v>
      </c>
      <c r="O481" s="156" t="s">
        <v>135</v>
      </c>
      <c r="P481" s="144" t="s">
        <v>2468</v>
      </c>
      <c r="Q481" s="147"/>
      <c r="R481" s="146"/>
      <c r="S481" s="157"/>
      <c r="T481" s="144" t="s">
        <v>29</v>
      </c>
      <c r="U481" s="150" t="s">
        <v>20</v>
      </c>
      <c r="V481" s="146">
        <v>2987</v>
      </c>
      <c r="W481" s="148" t="s">
        <v>3371</v>
      </c>
      <c r="X481" s="149">
        <v>45901</v>
      </c>
      <c r="Y481" s="165" t="s">
        <v>3372</v>
      </c>
    </row>
    <row r="482" spans="1:25">
      <c r="A482" s="163" t="s">
        <v>7</v>
      </c>
      <c r="B482" s="144" t="s">
        <v>2463</v>
      </c>
      <c r="C482" s="164" t="s">
        <v>3373</v>
      </c>
      <c r="D482" s="144" t="s">
        <v>3374</v>
      </c>
      <c r="E482" s="150" t="s">
        <v>2466</v>
      </c>
      <c r="F482" s="144" t="s">
        <v>2467</v>
      </c>
      <c r="G482" s="166"/>
      <c r="H482" s="151">
        <v>1</v>
      </c>
      <c r="I482" s="160">
        <v>400</v>
      </c>
      <c r="J482" s="159">
        <v>400</v>
      </c>
      <c r="K482" s="161">
        <v>400</v>
      </c>
      <c r="L482" s="159">
        <v>400</v>
      </c>
      <c r="M482" s="160">
        <v>400</v>
      </c>
      <c r="N482" s="145">
        <v>1600</v>
      </c>
      <c r="O482" s="156" t="s">
        <v>135</v>
      </c>
      <c r="P482" s="144" t="s">
        <v>2468</v>
      </c>
      <c r="Q482" s="147"/>
      <c r="R482" s="146"/>
      <c r="S482" s="157"/>
      <c r="T482" s="144" t="s">
        <v>29</v>
      </c>
      <c r="U482" s="150" t="s">
        <v>20</v>
      </c>
      <c r="V482" s="146">
        <v>3099</v>
      </c>
      <c r="W482" s="148"/>
      <c r="X482" s="149">
        <v>45901</v>
      </c>
      <c r="Y482" s="165" t="s">
        <v>2596</v>
      </c>
    </row>
    <row r="483" spans="1:25">
      <c r="A483" s="163" t="s">
        <v>309</v>
      </c>
      <c r="B483" s="144" t="s">
        <v>2463</v>
      </c>
      <c r="C483" s="164" t="s">
        <v>3375</v>
      </c>
      <c r="D483" s="144" t="s">
        <v>3376</v>
      </c>
      <c r="E483" s="150" t="s">
        <v>2476</v>
      </c>
      <c r="F483" s="144" t="s">
        <v>2477</v>
      </c>
      <c r="G483" s="166"/>
      <c r="H483" s="151">
        <v>1</v>
      </c>
      <c r="I483" s="160">
        <v>250</v>
      </c>
      <c r="J483" s="159">
        <v>250</v>
      </c>
      <c r="K483" s="161">
        <v>250</v>
      </c>
      <c r="L483" s="159">
        <v>250</v>
      </c>
      <c r="M483" s="160">
        <v>250</v>
      </c>
      <c r="N483" s="145"/>
      <c r="O483" s="156" t="s">
        <v>135</v>
      </c>
      <c r="P483" s="144" t="s">
        <v>2478</v>
      </c>
      <c r="Q483" s="147"/>
      <c r="R483" s="146"/>
      <c r="S483" s="157"/>
      <c r="T483" s="144" t="s">
        <v>29</v>
      </c>
      <c r="U483" s="150" t="s">
        <v>2479</v>
      </c>
      <c r="V483" s="146">
        <v>3115</v>
      </c>
      <c r="W483" s="148"/>
      <c r="X483" s="149"/>
      <c r="Y483" s="165"/>
    </row>
    <row r="484" spans="1:25">
      <c r="A484" s="163" t="s">
        <v>309</v>
      </c>
      <c r="B484" s="144" t="s">
        <v>2463</v>
      </c>
      <c r="C484" s="164" t="s">
        <v>3375</v>
      </c>
      <c r="D484" s="144" t="s">
        <v>3376</v>
      </c>
      <c r="E484" s="150" t="s">
        <v>2485</v>
      </c>
      <c r="F484" s="144" t="s">
        <v>2486</v>
      </c>
      <c r="G484" s="166"/>
      <c r="H484" s="151">
        <v>1</v>
      </c>
      <c r="I484" s="160">
        <v>1200</v>
      </c>
      <c r="J484" s="159">
        <v>1200</v>
      </c>
      <c r="K484" s="161">
        <v>1200</v>
      </c>
      <c r="L484" s="159">
        <v>1200</v>
      </c>
      <c r="M484" s="160">
        <v>1200</v>
      </c>
      <c r="N484" s="145"/>
      <c r="O484" s="156" t="s">
        <v>135</v>
      </c>
      <c r="P484" s="144" t="s">
        <v>2478</v>
      </c>
      <c r="Q484" s="147"/>
      <c r="R484" s="146"/>
      <c r="S484" s="157"/>
      <c r="T484" s="144" t="s">
        <v>29</v>
      </c>
      <c r="U484" s="150" t="s">
        <v>17</v>
      </c>
      <c r="V484" s="146">
        <v>3115</v>
      </c>
      <c r="W484" s="148"/>
      <c r="X484" s="149"/>
      <c r="Y484" s="165"/>
    </row>
    <row r="485" spans="1:25">
      <c r="A485" s="163" t="s">
        <v>565</v>
      </c>
      <c r="B485" s="144" t="s">
        <v>2463</v>
      </c>
      <c r="C485" s="164" t="s">
        <v>3377</v>
      </c>
      <c r="D485" s="144" t="s">
        <v>3378</v>
      </c>
      <c r="E485" s="150" t="s">
        <v>2466</v>
      </c>
      <c r="F485" s="144" t="s">
        <v>2467</v>
      </c>
      <c r="G485" s="166"/>
      <c r="H485" s="151">
        <v>1</v>
      </c>
      <c r="I485" s="160">
        <v>350</v>
      </c>
      <c r="J485" s="159">
        <v>350</v>
      </c>
      <c r="K485" s="161">
        <v>350</v>
      </c>
      <c r="L485" s="159">
        <v>350</v>
      </c>
      <c r="M485" s="160">
        <v>350</v>
      </c>
      <c r="N485" s="145">
        <v>0</v>
      </c>
      <c r="O485" s="156" t="s">
        <v>135</v>
      </c>
      <c r="P485" s="144" t="s">
        <v>2468</v>
      </c>
      <c r="Q485" s="147"/>
      <c r="R485" s="146"/>
      <c r="S485" s="157"/>
      <c r="T485" s="144" t="s">
        <v>29</v>
      </c>
      <c r="U485" s="150" t="s">
        <v>20</v>
      </c>
      <c r="V485" s="146">
        <v>2857</v>
      </c>
      <c r="W485" s="148" t="s">
        <v>3379</v>
      </c>
      <c r="X485" s="149">
        <v>45901</v>
      </c>
      <c r="Y485" s="165" t="s">
        <v>3380</v>
      </c>
    </row>
    <row r="486" spans="1:25">
      <c r="A486" s="163" t="s">
        <v>565</v>
      </c>
      <c r="B486" s="144" t="s">
        <v>2463</v>
      </c>
      <c r="C486" s="164" t="s">
        <v>3381</v>
      </c>
      <c r="D486" s="144" t="s">
        <v>3382</v>
      </c>
      <c r="E486" s="150" t="s">
        <v>2485</v>
      </c>
      <c r="F486" s="144" t="s">
        <v>2486</v>
      </c>
      <c r="G486" s="166"/>
      <c r="H486" s="151">
        <v>1</v>
      </c>
      <c r="I486" s="160">
        <v>232</v>
      </c>
      <c r="J486" s="159">
        <v>232</v>
      </c>
      <c r="K486" s="161">
        <v>232</v>
      </c>
      <c r="L486" s="159">
        <v>232</v>
      </c>
      <c r="M486" s="160">
        <v>232</v>
      </c>
      <c r="N486" s="145"/>
      <c r="O486" s="156" t="s">
        <v>135</v>
      </c>
      <c r="P486" s="144" t="s">
        <v>2478</v>
      </c>
      <c r="Q486" s="147"/>
      <c r="R486" s="146"/>
      <c r="S486" s="157"/>
      <c r="T486" s="144" t="s">
        <v>29</v>
      </c>
      <c r="U486" s="150" t="s">
        <v>17</v>
      </c>
      <c r="V486" s="146">
        <v>2229</v>
      </c>
      <c r="W486" s="148" t="s">
        <v>3383</v>
      </c>
      <c r="X486" s="149">
        <v>45901</v>
      </c>
      <c r="Y486" s="165" t="s">
        <v>2632</v>
      </c>
    </row>
    <row r="487" spans="1:25">
      <c r="A487" s="163" t="s">
        <v>380</v>
      </c>
      <c r="B487" s="144" t="s">
        <v>2463</v>
      </c>
      <c r="C487" s="164" t="s">
        <v>3384</v>
      </c>
      <c r="D487" s="144" t="s">
        <v>3385</v>
      </c>
      <c r="E487" s="150" t="s">
        <v>2491</v>
      </c>
      <c r="F487" s="144" t="s">
        <v>2477</v>
      </c>
      <c r="G487" s="166"/>
      <c r="H487" s="151">
        <v>1</v>
      </c>
      <c r="I487" s="160"/>
      <c r="J487" s="159">
        <v>250</v>
      </c>
      <c r="K487" s="161"/>
      <c r="L487" s="159">
        <v>250</v>
      </c>
      <c r="M487" s="160">
        <v>250</v>
      </c>
      <c r="N487" s="145"/>
      <c r="O487" s="156" t="s">
        <v>135</v>
      </c>
      <c r="P487" s="144" t="s">
        <v>2478</v>
      </c>
      <c r="Q487" s="147"/>
      <c r="R487" s="146"/>
      <c r="S487" s="157"/>
      <c r="T487" s="144" t="s">
        <v>29</v>
      </c>
      <c r="U487" s="150" t="s">
        <v>2479</v>
      </c>
      <c r="V487" s="146">
        <v>1943</v>
      </c>
      <c r="W487" s="148" t="s">
        <v>3386</v>
      </c>
      <c r="X487" s="149">
        <v>45689</v>
      </c>
      <c r="Y487" s="165" t="s">
        <v>3067</v>
      </c>
    </row>
    <row r="488" spans="1:25">
      <c r="A488" s="163" t="s">
        <v>380</v>
      </c>
      <c r="B488" s="144" t="s">
        <v>2463</v>
      </c>
      <c r="C488" s="164" t="s">
        <v>3384</v>
      </c>
      <c r="D488" s="144" t="s">
        <v>3385</v>
      </c>
      <c r="E488" s="150" t="s">
        <v>2466</v>
      </c>
      <c r="F488" s="144" t="s">
        <v>2467</v>
      </c>
      <c r="G488" s="166"/>
      <c r="H488" s="151">
        <v>1</v>
      </c>
      <c r="I488" s="160"/>
      <c r="J488" s="159">
        <v>150</v>
      </c>
      <c r="K488" s="161"/>
      <c r="L488" s="159">
        <v>150</v>
      </c>
      <c r="M488" s="160">
        <v>150</v>
      </c>
      <c r="N488" s="145">
        <v>450</v>
      </c>
      <c r="O488" s="156" t="s">
        <v>135</v>
      </c>
      <c r="P488" s="144" t="s">
        <v>2468</v>
      </c>
      <c r="Q488" s="147"/>
      <c r="R488" s="146"/>
      <c r="S488" s="157"/>
      <c r="T488" s="144" t="s">
        <v>29</v>
      </c>
      <c r="U488" s="150" t="s">
        <v>20</v>
      </c>
      <c r="V488" s="146">
        <v>1943</v>
      </c>
      <c r="W488" s="148" t="s">
        <v>3386</v>
      </c>
      <c r="X488" s="149">
        <v>45689</v>
      </c>
      <c r="Y488" s="165" t="s">
        <v>3067</v>
      </c>
    </row>
    <row r="489" spans="1:25">
      <c r="A489" s="163" t="s">
        <v>309</v>
      </c>
      <c r="B489" s="144" t="s">
        <v>163</v>
      </c>
      <c r="C489" s="164" t="s">
        <v>3387</v>
      </c>
      <c r="D489" s="144" t="s">
        <v>3388</v>
      </c>
      <c r="E489" s="150" t="s">
        <v>2506</v>
      </c>
      <c r="F489" s="144" t="s">
        <v>2507</v>
      </c>
      <c r="G489" s="166" t="s">
        <v>3389</v>
      </c>
      <c r="H489" s="151">
        <v>4</v>
      </c>
      <c r="I489" s="160"/>
      <c r="J489" s="159">
        <v>3.3</v>
      </c>
      <c r="K489" s="161"/>
      <c r="L489" s="159">
        <v>13.2</v>
      </c>
      <c r="M489" s="160">
        <v>13.2</v>
      </c>
      <c r="N489" s="145"/>
      <c r="O489" s="156" t="s">
        <v>166</v>
      </c>
      <c r="P489" s="144" t="s">
        <v>2480</v>
      </c>
      <c r="Q489" s="147"/>
      <c r="R489" s="146">
        <v>2036</v>
      </c>
      <c r="S489" s="157"/>
      <c r="T489" s="144" t="s">
        <v>25</v>
      </c>
      <c r="U489" s="150" t="s">
        <v>15</v>
      </c>
      <c r="V489" s="146">
        <v>1325</v>
      </c>
      <c r="W489" s="148"/>
      <c r="X489" s="149">
        <v>45566</v>
      </c>
      <c r="Y489" s="165" t="s">
        <v>2509</v>
      </c>
    </row>
    <row r="490" spans="1:25">
      <c r="A490" s="163" t="s">
        <v>309</v>
      </c>
      <c r="B490" s="144" t="s">
        <v>163</v>
      </c>
      <c r="C490" s="164" t="s">
        <v>3387</v>
      </c>
      <c r="D490" s="144" t="s">
        <v>3388</v>
      </c>
      <c r="E490" s="150" t="s">
        <v>2506</v>
      </c>
      <c r="F490" s="144" t="s">
        <v>2507</v>
      </c>
      <c r="G490" s="166" t="s">
        <v>3389</v>
      </c>
      <c r="H490" s="151">
        <v>16</v>
      </c>
      <c r="I490" s="160"/>
      <c r="J490" s="159">
        <v>1.99</v>
      </c>
      <c r="K490" s="161"/>
      <c r="L490" s="159">
        <v>31.81</v>
      </c>
      <c r="M490" s="160">
        <v>31.81</v>
      </c>
      <c r="N490" s="145"/>
      <c r="O490" s="156" t="s">
        <v>166</v>
      </c>
      <c r="P490" s="144" t="s">
        <v>2480</v>
      </c>
      <c r="Q490" s="147"/>
      <c r="R490" s="146">
        <v>2036</v>
      </c>
      <c r="S490" s="157"/>
      <c r="T490" s="144" t="s">
        <v>25</v>
      </c>
      <c r="U490" s="150" t="s">
        <v>15</v>
      </c>
      <c r="V490" s="146">
        <v>1325</v>
      </c>
      <c r="W490" s="148"/>
      <c r="X490" s="149">
        <v>45566</v>
      </c>
      <c r="Y490" s="165" t="s">
        <v>2509</v>
      </c>
    </row>
    <row r="491" spans="1:25">
      <c r="A491" s="163" t="s">
        <v>7</v>
      </c>
      <c r="B491" s="144" t="s">
        <v>2463</v>
      </c>
      <c r="C491" s="164" t="s">
        <v>3390</v>
      </c>
      <c r="D491" s="144" t="s">
        <v>252</v>
      </c>
      <c r="E491" s="150" t="s">
        <v>2466</v>
      </c>
      <c r="F491" s="144" t="s">
        <v>2467</v>
      </c>
      <c r="G491" s="166"/>
      <c r="H491" s="151">
        <v>1</v>
      </c>
      <c r="I491" s="160">
        <v>3.38</v>
      </c>
      <c r="J491" s="159">
        <v>3.38</v>
      </c>
      <c r="K491" s="161">
        <v>3.38</v>
      </c>
      <c r="L491" s="159">
        <v>3.38</v>
      </c>
      <c r="M491" s="160">
        <v>3.38</v>
      </c>
      <c r="N491" s="145">
        <v>500</v>
      </c>
      <c r="O491" s="156" t="s">
        <v>135</v>
      </c>
      <c r="P491" s="144" t="s">
        <v>2468</v>
      </c>
      <c r="Q491" s="147"/>
      <c r="R491" s="146"/>
      <c r="S491" s="157"/>
      <c r="T491" s="144" t="s">
        <v>29</v>
      </c>
      <c r="U491" s="150" t="s">
        <v>20</v>
      </c>
      <c r="V491" s="146">
        <v>2721</v>
      </c>
      <c r="W491" s="148" t="s">
        <v>3391</v>
      </c>
      <c r="X491" s="149">
        <v>45901</v>
      </c>
      <c r="Y491" s="165" t="s">
        <v>3372</v>
      </c>
    </row>
    <row r="492" spans="1:25">
      <c r="A492" s="163" t="s">
        <v>7</v>
      </c>
      <c r="B492" s="144" t="s">
        <v>2463</v>
      </c>
      <c r="C492" s="164" t="s">
        <v>3392</v>
      </c>
      <c r="D492" s="144" t="s">
        <v>252</v>
      </c>
      <c r="E492" s="150" t="s">
        <v>2476</v>
      </c>
      <c r="F492" s="144" t="s">
        <v>2477</v>
      </c>
      <c r="G492" s="166"/>
      <c r="H492" s="151">
        <v>32</v>
      </c>
      <c r="I492" s="160">
        <v>3.91</v>
      </c>
      <c r="J492" s="159">
        <v>3.91</v>
      </c>
      <c r="K492" s="161">
        <v>125.12</v>
      </c>
      <c r="L492" s="159">
        <v>125.12</v>
      </c>
      <c r="M492" s="160">
        <v>125.12</v>
      </c>
      <c r="N492" s="145"/>
      <c r="O492" s="156" t="s">
        <v>135</v>
      </c>
      <c r="P492" s="144" t="s">
        <v>2478</v>
      </c>
      <c r="Q492" s="147"/>
      <c r="R492" s="146"/>
      <c r="S492" s="157"/>
      <c r="T492" s="144" t="s">
        <v>29</v>
      </c>
      <c r="U492" s="150" t="s">
        <v>2479</v>
      </c>
      <c r="V492" s="146">
        <v>2720</v>
      </c>
      <c r="W492" s="148" t="s">
        <v>3391</v>
      </c>
      <c r="X492" s="149">
        <v>45901</v>
      </c>
      <c r="Y492" s="165" t="s">
        <v>3372</v>
      </c>
    </row>
    <row r="493" spans="1:25">
      <c r="A493" s="163" t="s">
        <v>423</v>
      </c>
      <c r="B493" s="144" t="s">
        <v>2463</v>
      </c>
      <c r="C493" s="164" t="s">
        <v>3393</v>
      </c>
      <c r="D493" s="144" t="s">
        <v>3196</v>
      </c>
      <c r="E493" s="150" t="s">
        <v>2466</v>
      </c>
      <c r="F493" s="144" t="s">
        <v>2467</v>
      </c>
      <c r="G493" s="166"/>
      <c r="H493" s="151">
        <v>1</v>
      </c>
      <c r="I493" s="160">
        <v>360</v>
      </c>
      <c r="J493" s="159">
        <v>360</v>
      </c>
      <c r="K493" s="161">
        <v>360</v>
      </c>
      <c r="L493" s="159">
        <v>360</v>
      </c>
      <c r="M493" s="160">
        <v>360</v>
      </c>
      <c r="N493" s="145">
        <v>1440</v>
      </c>
      <c r="O493" s="156" t="s">
        <v>135</v>
      </c>
      <c r="P493" s="144" t="s">
        <v>2468</v>
      </c>
      <c r="Q493" s="147"/>
      <c r="R493" s="146"/>
      <c r="S493" s="157"/>
      <c r="T493" s="144" t="s">
        <v>29</v>
      </c>
      <c r="U493" s="150" t="s">
        <v>20</v>
      </c>
      <c r="V493" s="146">
        <v>3090</v>
      </c>
      <c r="W493" s="148"/>
      <c r="X493" s="149"/>
      <c r="Y493" s="165"/>
    </row>
    <row r="494" spans="1:25">
      <c r="A494" s="163" t="s">
        <v>309</v>
      </c>
      <c r="B494" s="144" t="s">
        <v>2463</v>
      </c>
      <c r="C494" s="164" t="s">
        <v>3394</v>
      </c>
      <c r="D494" s="144" t="s">
        <v>927</v>
      </c>
      <c r="E494" s="150" t="s">
        <v>2466</v>
      </c>
      <c r="F494" s="144" t="s">
        <v>2467</v>
      </c>
      <c r="G494" s="166"/>
      <c r="H494" s="151">
        <v>144</v>
      </c>
      <c r="I494" s="160">
        <v>2.4</v>
      </c>
      <c r="J494" s="159">
        <v>2.4</v>
      </c>
      <c r="K494" s="161">
        <v>345.6</v>
      </c>
      <c r="L494" s="159">
        <v>345.6</v>
      </c>
      <c r="M494" s="160">
        <v>345.6</v>
      </c>
      <c r="N494" s="145">
        <v>530</v>
      </c>
      <c r="O494" s="156" t="s">
        <v>135</v>
      </c>
      <c r="P494" s="144" t="s">
        <v>2468</v>
      </c>
      <c r="Q494" s="147"/>
      <c r="R494" s="146"/>
      <c r="S494" s="157"/>
      <c r="T494" s="144" t="s">
        <v>29</v>
      </c>
      <c r="U494" s="150" t="s">
        <v>20</v>
      </c>
      <c r="V494" s="146">
        <v>2608</v>
      </c>
      <c r="W494" s="148" t="s">
        <v>3395</v>
      </c>
      <c r="X494" s="149">
        <v>45689</v>
      </c>
      <c r="Y494" s="165" t="s">
        <v>2538</v>
      </c>
    </row>
    <row r="495" spans="1:25">
      <c r="A495" s="163" t="s">
        <v>423</v>
      </c>
      <c r="B495" s="144" t="s">
        <v>2463</v>
      </c>
      <c r="C495" s="164" t="s">
        <v>3396</v>
      </c>
      <c r="D495" s="144" t="s">
        <v>3397</v>
      </c>
      <c r="E495" s="150" t="s">
        <v>2630</v>
      </c>
      <c r="F495" s="144" t="s">
        <v>2486</v>
      </c>
      <c r="G495" s="166"/>
      <c r="H495" s="151">
        <v>140</v>
      </c>
      <c r="I495" s="160">
        <v>15</v>
      </c>
      <c r="J495" s="159">
        <v>15</v>
      </c>
      <c r="K495" s="161">
        <v>2100</v>
      </c>
      <c r="L495" s="159">
        <v>2100</v>
      </c>
      <c r="M495" s="160">
        <v>2100</v>
      </c>
      <c r="N495" s="145"/>
      <c r="O495" s="156" t="s">
        <v>135</v>
      </c>
      <c r="P495" s="144" t="s">
        <v>2478</v>
      </c>
      <c r="Q495" s="147">
        <v>48549</v>
      </c>
      <c r="R495" s="146"/>
      <c r="S495" s="157"/>
      <c r="T495" s="144" t="s">
        <v>29</v>
      </c>
      <c r="U495" s="150" t="s">
        <v>17</v>
      </c>
      <c r="V495" s="146">
        <v>2027</v>
      </c>
      <c r="W495" s="148" t="s">
        <v>3398</v>
      </c>
      <c r="X495" s="149">
        <v>45689</v>
      </c>
      <c r="Y495" s="165" t="s">
        <v>2558</v>
      </c>
    </row>
    <row r="496" spans="1:25">
      <c r="A496" s="163" t="s">
        <v>423</v>
      </c>
      <c r="B496" s="144" t="s">
        <v>163</v>
      </c>
      <c r="C496" s="164" t="s">
        <v>460</v>
      </c>
      <c r="D496" s="144" t="s">
        <v>461</v>
      </c>
      <c r="E496" s="150" t="s">
        <v>2491</v>
      </c>
      <c r="F496" s="144" t="s">
        <v>2477</v>
      </c>
      <c r="G496" s="166" t="s">
        <v>885</v>
      </c>
      <c r="H496" s="151">
        <v>57</v>
      </c>
      <c r="I496" s="160">
        <v>1.64</v>
      </c>
      <c r="J496" s="159">
        <v>1.64</v>
      </c>
      <c r="K496" s="161">
        <v>93.48</v>
      </c>
      <c r="L496" s="159">
        <v>93.48</v>
      </c>
      <c r="M496" s="160">
        <v>93.48</v>
      </c>
      <c r="N496" s="145"/>
      <c r="O496" s="156" t="s">
        <v>166</v>
      </c>
      <c r="P496" s="144" t="s">
        <v>2478</v>
      </c>
      <c r="Q496" s="147">
        <v>45717</v>
      </c>
      <c r="R496" s="146">
        <v>2054</v>
      </c>
      <c r="S496" s="157"/>
      <c r="T496" s="144" t="s">
        <v>25</v>
      </c>
      <c r="U496" s="150" t="s">
        <v>2479</v>
      </c>
      <c r="V496" s="146">
        <v>1982</v>
      </c>
      <c r="W496" s="148"/>
      <c r="X496" s="149">
        <v>45901</v>
      </c>
      <c r="Y496" s="165" t="s">
        <v>2578</v>
      </c>
    </row>
    <row r="497" spans="1:25" ht="20.6">
      <c r="A497" s="163" t="s">
        <v>309</v>
      </c>
      <c r="B497" s="144" t="s">
        <v>163</v>
      </c>
      <c r="C497" s="164" t="s">
        <v>315</v>
      </c>
      <c r="D497" s="144" t="s">
        <v>316</v>
      </c>
      <c r="E497" s="150" t="s">
        <v>2639</v>
      </c>
      <c r="F497" s="144" t="s">
        <v>2640</v>
      </c>
      <c r="G497" s="166" t="s">
        <v>317</v>
      </c>
      <c r="H497" s="151">
        <v>1</v>
      </c>
      <c r="I497" s="160"/>
      <c r="J497" s="159">
        <v>280</v>
      </c>
      <c r="K497" s="161"/>
      <c r="L497" s="159">
        <v>280</v>
      </c>
      <c r="M497" s="160">
        <v>280</v>
      </c>
      <c r="N497" s="145"/>
      <c r="O497" s="156" t="s">
        <v>3313</v>
      </c>
      <c r="P497" s="144" t="s">
        <v>2468</v>
      </c>
      <c r="Q497" s="147"/>
      <c r="R497" s="146">
        <v>2029</v>
      </c>
      <c r="S497" s="157">
        <v>47208</v>
      </c>
      <c r="T497" s="144" t="s">
        <v>24</v>
      </c>
      <c r="U497" s="150" t="s">
        <v>12</v>
      </c>
      <c r="V497" s="146">
        <v>1077</v>
      </c>
      <c r="W497" s="148"/>
      <c r="X497" s="149">
        <v>45689</v>
      </c>
      <c r="Y497" s="165" t="s">
        <v>2842</v>
      </c>
    </row>
    <row r="498" spans="1:25" ht="20.6">
      <c r="A498" s="163" t="s">
        <v>309</v>
      </c>
      <c r="B498" s="144" t="s">
        <v>163</v>
      </c>
      <c r="C498" s="164" t="s">
        <v>315</v>
      </c>
      <c r="D498" s="144" t="s">
        <v>316</v>
      </c>
      <c r="E498" s="150" t="s">
        <v>2639</v>
      </c>
      <c r="F498" s="144" t="s">
        <v>2640</v>
      </c>
      <c r="G498" s="166" t="s">
        <v>318</v>
      </c>
      <c r="H498" s="151">
        <v>1</v>
      </c>
      <c r="I498" s="160"/>
      <c r="J498" s="159">
        <v>280</v>
      </c>
      <c r="K498" s="161"/>
      <c r="L498" s="159">
        <v>280</v>
      </c>
      <c r="M498" s="160">
        <v>280</v>
      </c>
      <c r="N498" s="145"/>
      <c r="O498" s="156" t="s">
        <v>3313</v>
      </c>
      <c r="P498" s="144" t="s">
        <v>2468</v>
      </c>
      <c r="Q498" s="147"/>
      <c r="R498" s="146">
        <v>2029</v>
      </c>
      <c r="S498" s="157">
        <v>47208</v>
      </c>
      <c r="T498" s="144" t="s">
        <v>24</v>
      </c>
      <c r="U498" s="150" t="s">
        <v>12</v>
      </c>
      <c r="V498" s="146">
        <v>1077</v>
      </c>
      <c r="W498" s="148"/>
      <c r="X498" s="149">
        <v>45689</v>
      </c>
      <c r="Y498" s="165" t="s">
        <v>2842</v>
      </c>
    </row>
    <row r="499" spans="1:25" ht="20.6">
      <c r="A499" s="163" t="s">
        <v>309</v>
      </c>
      <c r="B499" s="144" t="s">
        <v>163</v>
      </c>
      <c r="C499" s="164" t="s">
        <v>315</v>
      </c>
      <c r="D499" s="144" t="s">
        <v>316</v>
      </c>
      <c r="E499" s="150" t="s">
        <v>2639</v>
      </c>
      <c r="F499" s="144" t="s">
        <v>2640</v>
      </c>
      <c r="G499" s="166" t="s">
        <v>319</v>
      </c>
      <c r="H499" s="151">
        <v>1</v>
      </c>
      <c r="I499" s="160"/>
      <c r="J499" s="159">
        <v>280</v>
      </c>
      <c r="K499" s="161"/>
      <c r="L499" s="159">
        <v>280</v>
      </c>
      <c r="M499" s="160">
        <v>280</v>
      </c>
      <c r="N499" s="145"/>
      <c r="O499" s="156" t="s">
        <v>3313</v>
      </c>
      <c r="P499" s="144" t="s">
        <v>2468</v>
      </c>
      <c r="Q499" s="147"/>
      <c r="R499" s="146">
        <v>2029</v>
      </c>
      <c r="S499" s="157">
        <v>47208</v>
      </c>
      <c r="T499" s="144" t="s">
        <v>24</v>
      </c>
      <c r="U499" s="150" t="s">
        <v>12</v>
      </c>
      <c r="V499" s="146">
        <v>1077</v>
      </c>
      <c r="W499" s="148"/>
      <c r="X499" s="149">
        <v>45689</v>
      </c>
      <c r="Y499" s="165" t="s">
        <v>2842</v>
      </c>
    </row>
    <row r="500" spans="1:25" ht="20.6">
      <c r="A500" s="163" t="s">
        <v>309</v>
      </c>
      <c r="B500" s="144" t="s">
        <v>163</v>
      </c>
      <c r="C500" s="164" t="s">
        <v>315</v>
      </c>
      <c r="D500" s="144" t="s">
        <v>316</v>
      </c>
      <c r="E500" s="150" t="s">
        <v>2639</v>
      </c>
      <c r="F500" s="144" t="s">
        <v>2640</v>
      </c>
      <c r="G500" s="166" t="s">
        <v>320</v>
      </c>
      <c r="H500" s="151">
        <v>1</v>
      </c>
      <c r="I500" s="160"/>
      <c r="J500" s="159">
        <v>280</v>
      </c>
      <c r="K500" s="161"/>
      <c r="L500" s="159">
        <v>280</v>
      </c>
      <c r="M500" s="160">
        <v>280</v>
      </c>
      <c r="N500" s="145"/>
      <c r="O500" s="156" t="s">
        <v>3313</v>
      </c>
      <c r="P500" s="144" t="s">
        <v>2468</v>
      </c>
      <c r="Q500" s="147"/>
      <c r="R500" s="146">
        <v>2029</v>
      </c>
      <c r="S500" s="157">
        <v>47208</v>
      </c>
      <c r="T500" s="144" t="s">
        <v>24</v>
      </c>
      <c r="U500" s="150" t="s">
        <v>12</v>
      </c>
      <c r="V500" s="146">
        <v>1077</v>
      </c>
      <c r="W500" s="148"/>
      <c r="X500" s="149">
        <v>45689</v>
      </c>
      <c r="Y500" s="165" t="s">
        <v>2842</v>
      </c>
    </row>
    <row r="501" spans="1:25" ht="20.6">
      <c r="A501" s="163" t="s">
        <v>309</v>
      </c>
      <c r="B501" s="144" t="s">
        <v>163</v>
      </c>
      <c r="C501" s="164" t="s">
        <v>315</v>
      </c>
      <c r="D501" s="144" t="s">
        <v>316</v>
      </c>
      <c r="E501" s="150" t="s">
        <v>2639</v>
      </c>
      <c r="F501" s="144" t="s">
        <v>2640</v>
      </c>
      <c r="G501" s="166" t="s">
        <v>321</v>
      </c>
      <c r="H501" s="151">
        <v>1</v>
      </c>
      <c r="I501" s="160"/>
      <c r="J501" s="159">
        <v>280</v>
      </c>
      <c r="K501" s="161"/>
      <c r="L501" s="159">
        <v>280</v>
      </c>
      <c r="M501" s="160">
        <v>280</v>
      </c>
      <c r="N501" s="145"/>
      <c r="O501" s="156" t="s">
        <v>3313</v>
      </c>
      <c r="P501" s="144" t="s">
        <v>2468</v>
      </c>
      <c r="Q501" s="147"/>
      <c r="R501" s="146">
        <v>2029</v>
      </c>
      <c r="S501" s="157">
        <v>47208</v>
      </c>
      <c r="T501" s="144" t="s">
        <v>24</v>
      </c>
      <c r="U501" s="150" t="s">
        <v>12</v>
      </c>
      <c r="V501" s="146">
        <v>1077</v>
      </c>
      <c r="W501" s="148"/>
      <c r="X501" s="149">
        <v>45689</v>
      </c>
      <c r="Y501" s="165" t="s">
        <v>2842</v>
      </c>
    </row>
    <row r="502" spans="1:25" ht="20.6">
      <c r="A502" s="163" t="s">
        <v>309</v>
      </c>
      <c r="B502" s="144" t="s">
        <v>163</v>
      </c>
      <c r="C502" s="164" t="s">
        <v>315</v>
      </c>
      <c r="D502" s="144" t="s">
        <v>316</v>
      </c>
      <c r="E502" s="150" t="s">
        <v>2639</v>
      </c>
      <c r="F502" s="144" t="s">
        <v>2640</v>
      </c>
      <c r="G502" s="166" t="s">
        <v>322</v>
      </c>
      <c r="H502" s="151">
        <v>1</v>
      </c>
      <c r="I502" s="160"/>
      <c r="J502" s="159">
        <v>280</v>
      </c>
      <c r="K502" s="161"/>
      <c r="L502" s="159">
        <v>280</v>
      </c>
      <c r="M502" s="160">
        <v>280</v>
      </c>
      <c r="N502" s="145"/>
      <c r="O502" s="156" t="s">
        <v>3313</v>
      </c>
      <c r="P502" s="144" t="s">
        <v>2468</v>
      </c>
      <c r="Q502" s="147"/>
      <c r="R502" s="146">
        <v>2029</v>
      </c>
      <c r="S502" s="157">
        <v>47208</v>
      </c>
      <c r="T502" s="144" t="s">
        <v>24</v>
      </c>
      <c r="U502" s="150" t="s">
        <v>12</v>
      </c>
      <c r="V502" s="146">
        <v>1077</v>
      </c>
      <c r="W502" s="148"/>
      <c r="X502" s="149">
        <v>45689</v>
      </c>
      <c r="Y502" s="165" t="s">
        <v>2842</v>
      </c>
    </row>
    <row r="503" spans="1:25">
      <c r="A503" s="163" t="s">
        <v>7</v>
      </c>
      <c r="B503" s="144" t="s">
        <v>2463</v>
      </c>
      <c r="C503" s="164" t="s">
        <v>843</v>
      </c>
      <c r="D503" s="144" t="s">
        <v>252</v>
      </c>
      <c r="E503" s="150" t="s">
        <v>2491</v>
      </c>
      <c r="F503" s="144" t="s">
        <v>2477</v>
      </c>
      <c r="G503" s="166"/>
      <c r="H503" s="151">
        <v>15</v>
      </c>
      <c r="I503" s="160"/>
      <c r="J503" s="159">
        <v>4</v>
      </c>
      <c r="K503" s="161"/>
      <c r="L503" s="159">
        <v>60</v>
      </c>
      <c r="M503" s="160">
        <v>60</v>
      </c>
      <c r="N503" s="145"/>
      <c r="O503" s="156" t="s">
        <v>28</v>
      </c>
      <c r="P503" s="144" t="s">
        <v>2478</v>
      </c>
      <c r="Q503" s="147"/>
      <c r="R503" s="146">
        <v>2067</v>
      </c>
      <c r="S503" s="157"/>
      <c r="T503" s="144" t="s">
        <v>28</v>
      </c>
      <c r="U503" s="150" t="s">
        <v>2479</v>
      </c>
      <c r="V503" s="146">
        <v>2894</v>
      </c>
      <c r="W503" s="148"/>
      <c r="X503" s="149">
        <v>45901</v>
      </c>
      <c r="Y503" s="165" t="s">
        <v>2589</v>
      </c>
    </row>
    <row r="504" spans="1:25">
      <c r="A504" s="163" t="s">
        <v>7</v>
      </c>
      <c r="B504" s="144" t="s">
        <v>2463</v>
      </c>
      <c r="C504" s="164" t="s">
        <v>843</v>
      </c>
      <c r="D504" s="144" t="s">
        <v>252</v>
      </c>
      <c r="E504" s="150" t="s">
        <v>2466</v>
      </c>
      <c r="F504" s="144" t="s">
        <v>2467</v>
      </c>
      <c r="G504" s="166"/>
      <c r="H504" s="151">
        <v>1</v>
      </c>
      <c r="I504" s="160"/>
      <c r="J504" s="159">
        <v>60</v>
      </c>
      <c r="K504" s="161"/>
      <c r="L504" s="159">
        <v>60</v>
      </c>
      <c r="M504" s="160">
        <v>60</v>
      </c>
      <c r="N504" s="145">
        <v>104</v>
      </c>
      <c r="O504" s="156" t="s">
        <v>28</v>
      </c>
      <c r="P504" s="144" t="s">
        <v>2468</v>
      </c>
      <c r="Q504" s="147"/>
      <c r="R504" s="146">
        <v>2067</v>
      </c>
      <c r="S504" s="157"/>
      <c r="T504" s="144" t="s">
        <v>28</v>
      </c>
      <c r="U504" s="150" t="s">
        <v>20</v>
      </c>
      <c r="V504" s="146">
        <v>2894</v>
      </c>
      <c r="W504" s="148"/>
      <c r="X504" s="149">
        <v>45901</v>
      </c>
      <c r="Y504" s="165" t="s">
        <v>2589</v>
      </c>
    </row>
    <row r="505" spans="1:25">
      <c r="A505" s="163" t="s">
        <v>7</v>
      </c>
      <c r="B505" s="144" t="s">
        <v>2463</v>
      </c>
      <c r="C505" s="164" t="s">
        <v>3399</v>
      </c>
      <c r="D505" s="144" t="s">
        <v>2465</v>
      </c>
      <c r="E505" s="150" t="s">
        <v>2466</v>
      </c>
      <c r="F505" s="144" t="s">
        <v>2467</v>
      </c>
      <c r="G505" s="166"/>
      <c r="H505" s="151">
        <v>1</v>
      </c>
      <c r="I505" s="160">
        <v>152</v>
      </c>
      <c r="J505" s="159">
        <v>152</v>
      </c>
      <c r="K505" s="161">
        <v>152</v>
      </c>
      <c r="L505" s="159">
        <v>152</v>
      </c>
      <c r="M505" s="160">
        <v>152</v>
      </c>
      <c r="N505" s="145">
        <v>400</v>
      </c>
      <c r="O505" s="156" t="s">
        <v>135</v>
      </c>
      <c r="P505" s="144" t="s">
        <v>2468</v>
      </c>
      <c r="Q505" s="147"/>
      <c r="R505" s="146"/>
      <c r="S505" s="157"/>
      <c r="T505" s="144" t="s">
        <v>29</v>
      </c>
      <c r="U505" s="150" t="s">
        <v>20</v>
      </c>
      <c r="V505" s="146">
        <v>2714</v>
      </c>
      <c r="W505" s="148" t="s">
        <v>3400</v>
      </c>
      <c r="X505" s="149">
        <v>45689</v>
      </c>
      <c r="Y505" s="165" t="s">
        <v>2470</v>
      </c>
    </row>
    <row r="506" spans="1:25">
      <c r="A506" s="163" t="s">
        <v>7</v>
      </c>
      <c r="B506" s="144" t="s">
        <v>163</v>
      </c>
      <c r="C506" s="164" t="s">
        <v>3401</v>
      </c>
      <c r="D506" s="144" t="s">
        <v>296</v>
      </c>
      <c r="E506" s="150" t="s">
        <v>2593</v>
      </c>
      <c r="F506" s="144" t="s">
        <v>2482</v>
      </c>
      <c r="G506" s="166" t="s">
        <v>3402</v>
      </c>
      <c r="H506" s="151">
        <v>1</v>
      </c>
      <c r="I506" s="160">
        <v>5</v>
      </c>
      <c r="J506" s="159">
        <v>5</v>
      </c>
      <c r="K506" s="161">
        <v>5</v>
      </c>
      <c r="L506" s="159">
        <v>5</v>
      </c>
      <c r="M506" s="160">
        <v>5</v>
      </c>
      <c r="N506" s="145"/>
      <c r="O506" s="156" t="s">
        <v>166</v>
      </c>
      <c r="P506" s="144" t="s">
        <v>2480</v>
      </c>
      <c r="Q506" s="147"/>
      <c r="R506" s="146"/>
      <c r="S506" s="157"/>
      <c r="T506" s="144" t="s">
        <v>25</v>
      </c>
      <c r="U506" s="150" t="s">
        <v>18</v>
      </c>
      <c r="V506" s="146">
        <v>1078</v>
      </c>
      <c r="W506" s="148"/>
      <c r="X506" s="149">
        <v>45566</v>
      </c>
      <c r="Y506" s="165" t="s">
        <v>2558</v>
      </c>
    </row>
    <row r="507" spans="1:25">
      <c r="A507" s="163" t="s">
        <v>7</v>
      </c>
      <c r="B507" s="144" t="s">
        <v>2463</v>
      </c>
      <c r="C507" s="164" t="s">
        <v>3403</v>
      </c>
      <c r="D507" s="144" t="s">
        <v>3404</v>
      </c>
      <c r="E507" s="150" t="s">
        <v>2636</v>
      </c>
      <c r="F507" s="144" t="s">
        <v>2482</v>
      </c>
      <c r="G507" s="166"/>
      <c r="H507" s="151">
        <v>1</v>
      </c>
      <c r="I507" s="160">
        <v>770</v>
      </c>
      <c r="J507" s="159">
        <v>770</v>
      </c>
      <c r="K507" s="161">
        <v>770</v>
      </c>
      <c r="L507" s="159">
        <v>770</v>
      </c>
      <c r="M507" s="160">
        <v>770</v>
      </c>
      <c r="N507" s="145">
        <v>7700</v>
      </c>
      <c r="O507" s="156" t="s">
        <v>135</v>
      </c>
      <c r="P507" s="144" t="s">
        <v>2468</v>
      </c>
      <c r="Q507" s="147"/>
      <c r="R507" s="146"/>
      <c r="S507" s="157"/>
      <c r="T507" s="144" t="s">
        <v>29</v>
      </c>
      <c r="U507" s="150" t="s">
        <v>18</v>
      </c>
      <c r="V507" s="146">
        <v>2941</v>
      </c>
      <c r="W507" s="148"/>
      <c r="X507" s="149">
        <v>45901</v>
      </c>
      <c r="Y507" s="165" t="s">
        <v>2660</v>
      </c>
    </row>
    <row r="508" spans="1:25">
      <c r="A508" s="163" t="s">
        <v>423</v>
      </c>
      <c r="B508" s="144" t="s">
        <v>2463</v>
      </c>
      <c r="C508" s="164" t="s">
        <v>3405</v>
      </c>
      <c r="D508" s="144" t="s">
        <v>3406</v>
      </c>
      <c r="E508" s="150" t="s">
        <v>2466</v>
      </c>
      <c r="F508" s="144" t="s">
        <v>2467</v>
      </c>
      <c r="G508" s="166"/>
      <c r="H508" s="151">
        <v>1</v>
      </c>
      <c r="I508" s="160"/>
      <c r="J508" s="159">
        <v>250</v>
      </c>
      <c r="K508" s="161"/>
      <c r="L508" s="159">
        <v>250</v>
      </c>
      <c r="M508" s="160">
        <v>250</v>
      </c>
      <c r="N508" s="145">
        <v>250</v>
      </c>
      <c r="O508" s="156" t="s">
        <v>135</v>
      </c>
      <c r="P508" s="144" t="s">
        <v>2468</v>
      </c>
      <c r="Q508" s="147"/>
      <c r="R508" s="146"/>
      <c r="S508" s="157"/>
      <c r="T508" s="144" t="s">
        <v>29</v>
      </c>
      <c r="U508" s="150" t="s">
        <v>20</v>
      </c>
      <c r="V508" s="146">
        <v>2244</v>
      </c>
      <c r="W508" s="148" t="s">
        <v>3407</v>
      </c>
      <c r="X508" s="149">
        <v>45689</v>
      </c>
      <c r="Y508" s="165" t="s">
        <v>2500</v>
      </c>
    </row>
    <row r="509" spans="1:25">
      <c r="A509" s="163" t="s">
        <v>7</v>
      </c>
      <c r="B509" s="144" t="s">
        <v>2463</v>
      </c>
      <c r="C509" s="164" t="s">
        <v>3408</v>
      </c>
      <c r="D509" s="144" t="s">
        <v>3409</v>
      </c>
      <c r="E509" s="150" t="s">
        <v>2476</v>
      </c>
      <c r="F509" s="144" t="s">
        <v>2477</v>
      </c>
      <c r="G509" s="166"/>
      <c r="H509" s="151">
        <v>1</v>
      </c>
      <c r="I509" s="160">
        <v>200</v>
      </c>
      <c r="J509" s="159">
        <v>200</v>
      </c>
      <c r="K509" s="161">
        <v>200</v>
      </c>
      <c r="L509" s="159">
        <v>200</v>
      </c>
      <c r="M509" s="160">
        <v>200</v>
      </c>
      <c r="N509" s="145"/>
      <c r="O509" s="156" t="s">
        <v>135</v>
      </c>
      <c r="P509" s="144" t="s">
        <v>2478</v>
      </c>
      <c r="Q509" s="147"/>
      <c r="R509" s="146"/>
      <c r="S509" s="157"/>
      <c r="T509" s="144" t="s">
        <v>29</v>
      </c>
      <c r="U509" s="150" t="s">
        <v>2479</v>
      </c>
      <c r="V509" s="146">
        <v>2178</v>
      </c>
      <c r="W509" s="148" t="s">
        <v>3410</v>
      </c>
      <c r="X509" s="149">
        <v>45901</v>
      </c>
      <c r="Y509" s="165" t="s">
        <v>2632</v>
      </c>
    </row>
    <row r="510" spans="1:25">
      <c r="A510" s="163" t="s">
        <v>423</v>
      </c>
      <c r="B510" s="144" t="s">
        <v>163</v>
      </c>
      <c r="C510" s="164" t="s">
        <v>3411</v>
      </c>
      <c r="D510" s="144" t="s">
        <v>523</v>
      </c>
      <c r="E510" s="150" t="s">
        <v>2593</v>
      </c>
      <c r="F510" s="144" t="s">
        <v>2482</v>
      </c>
      <c r="G510" s="166" t="s">
        <v>3412</v>
      </c>
      <c r="H510" s="151">
        <v>1</v>
      </c>
      <c r="I510" s="160">
        <v>1.9</v>
      </c>
      <c r="J510" s="159">
        <v>1.9</v>
      </c>
      <c r="K510" s="161">
        <v>1.9</v>
      </c>
      <c r="L510" s="159">
        <v>1.9</v>
      </c>
      <c r="M510" s="160">
        <v>1.9</v>
      </c>
      <c r="N510" s="145"/>
      <c r="O510" s="156" t="s">
        <v>166</v>
      </c>
      <c r="P510" s="144" t="s">
        <v>2480</v>
      </c>
      <c r="Q510" s="147"/>
      <c r="R510" s="146">
        <v>2044</v>
      </c>
      <c r="S510" s="157"/>
      <c r="T510" s="144" t="s">
        <v>25</v>
      </c>
      <c r="U510" s="150" t="s">
        <v>18</v>
      </c>
      <c r="V510" s="146">
        <v>1079</v>
      </c>
      <c r="W510" s="148"/>
      <c r="X510" s="149">
        <v>45566</v>
      </c>
      <c r="Y510" s="165" t="s">
        <v>2730</v>
      </c>
    </row>
    <row r="511" spans="1:25">
      <c r="A511" s="163" t="s">
        <v>7</v>
      </c>
      <c r="B511" s="144" t="s">
        <v>163</v>
      </c>
      <c r="C511" s="164" t="s">
        <v>3413</v>
      </c>
      <c r="D511" s="144" t="s">
        <v>350</v>
      </c>
      <c r="E511" s="150" t="s">
        <v>2506</v>
      </c>
      <c r="F511" s="144" t="s">
        <v>2507</v>
      </c>
      <c r="G511" s="166" t="s">
        <v>3414</v>
      </c>
      <c r="H511" s="151">
        <v>12</v>
      </c>
      <c r="I511" s="160"/>
      <c r="J511" s="159">
        <v>1.07</v>
      </c>
      <c r="K511" s="161"/>
      <c r="L511" s="159">
        <v>12.78</v>
      </c>
      <c r="M511" s="160">
        <v>12.78</v>
      </c>
      <c r="N511" s="145"/>
      <c r="O511" s="156" t="s">
        <v>166</v>
      </c>
      <c r="P511" s="144" t="s">
        <v>2480</v>
      </c>
      <c r="Q511" s="147"/>
      <c r="R511" s="146">
        <v>2027</v>
      </c>
      <c r="S511" s="157"/>
      <c r="T511" s="144" t="s">
        <v>25</v>
      </c>
      <c r="U511" s="150" t="s">
        <v>15</v>
      </c>
      <c r="V511" s="146">
        <v>1360</v>
      </c>
      <c r="W511" s="148"/>
      <c r="X511" s="149">
        <v>45566</v>
      </c>
      <c r="Y511" s="165" t="s">
        <v>2836</v>
      </c>
    </row>
    <row r="512" spans="1:25">
      <c r="A512" s="163" t="s">
        <v>7</v>
      </c>
      <c r="B512" s="144" t="s">
        <v>2463</v>
      </c>
      <c r="C512" s="164" t="s">
        <v>3415</v>
      </c>
      <c r="D512" s="144" t="s">
        <v>3404</v>
      </c>
      <c r="E512" s="150" t="s">
        <v>2636</v>
      </c>
      <c r="F512" s="144" t="s">
        <v>2482</v>
      </c>
      <c r="G512" s="166"/>
      <c r="H512" s="151">
        <v>1</v>
      </c>
      <c r="I512" s="160">
        <v>642</v>
      </c>
      <c r="J512" s="159">
        <v>642</v>
      </c>
      <c r="K512" s="161">
        <v>642</v>
      </c>
      <c r="L512" s="159">
        <v>642</v>
      </c>
      <c r="M512" s="160">
        <v>642</v>
      </c>
      <c r="N512" s="145">
        <v>6420</v>
      </c>
      <c r="O512" s="156" t="s">
        <v>135</v>
      </c>
      <c r="P512" s="144" t="s">
        <v>2468</v>
      </c>
      <c r="Q512" s="147"/>
      <c r="R512" s="146"/>
      <c r="S512" s="157"/>
      <c r="T512" s="144" t="s">
        <v>29</v>
      </c>
      <c r="U512" s="150" t="s">
        <v>18</v>
      </c>
      <c r="V512" s="146">
        <v>2942</v>
      </c>
      <c r="W512" s="148"/>
      <c r="X512" s="149">
        <v>45901</v>
      </c>
      <c r="Y512" s="165" t="s">
        <v>2660</v>
      </c>
    </row>
    <row r="513" spans="1:25">
      <c r="A513" s="163" t="s">
        <v>423</v>
      </c>
      <c r="B513" s="144" t="s">
        <v>2463</v>
      </c>
      <c r="C513" s="164" t="s">
        <v>3416</v>
      </c>
      <c r="D513" s="144" t="s">
        <v>3107</v>
      </c>
      <c r="E513" s="150" t="s">
        <v>2466</v>
      </c>
      <c r="F513" s="144" t="s">
        <v>2467</v>
      </c>
      <c r="G513" s="166"/>
      <c r="H513" s="151">
        <v>85</v>
      </c>
      <c r="I513" s="160">
        <v>0</v>
      </c>
      <c r="J513" s="159">
        <v>4.71</v>
      </c>
      <c r="K513" s="161">
        <v>0</v>
      </c>
      <c r="L513" s="159">
        <v>400.35</v>
      </c>
      <c r="M513" s="160">
        <v>400.35</v>
      </c>
      <c r="N513" s="145">
        <v>1600</v>
      </c>
      <c r="O513" s="156" t="s">
        <v>135</v>
      </c>
      <c r="P513" s="144" t="s">
        <v>2468</v>
      </c>
      <c r="Q513" s="147"/>
      <c r="R513" s="146"/>
      <c r="S513" s="157"/>
      <c r="T513" s="144" t="s">
        <v>29</v>
      </c>
      <c r="U513" s="150" t="s">
        <v>20</v>
      </c>
      <c r="V513" s="146">
        <v>2846</v>
      </c>
      <c r="W513" s="148" t="s">
        <v>3417</v>
      </c>
      <c r="X513" s="149"/>
      <c r="Y513" s="165" t="s">
        <v>3051</v>
      </c>
    </row>
    <row r="514" spans="1:25">
      <c r="A514" s="163" t="s">
        <v>423</v>
      </c>
      <c r="B514" s="144" t="s">
        <v>2463</v>
      </c>
      <c r="C514" s="164" t="s">
        <v>3418</v>
      </c>
      <c r="D514" s="144" t="s">
        <v>3205</v>
      </c>
      <c r="E514" s="150" t="s">
        <v>2466</v>
      </c>
      <c r="F514" s="144" t="s">
        <v>2467</v>
      </c>
      <c r="G514" s="166"/>
      <c r="H514" s="151">
        <v>1</v>
      </c>
      <c r="I514" s="160">
        <v>400</v>
      </c>
      <c r="J514" s="159">
        <v>400</v>
      </c>
      <c r="K514" s="161">
        <v>400</v>
      </c>
      <c r="L514" s="159">
        <v>400</v>
      </c>
      <c r="M514" s="160">
        <v>400</v>
      </c>
      <c r="N514" s="145">
        <v>0</v>
      </c>
      <c r="O514" s="156" t="s">
        <v>135</v>
      </c>
      <c r="P514" s="144" t="s">
        <v>2468</v>
      </c>
      <c r="Q514" s="147"/>
      <c r="R514" s="146"/>
      <c r="S514" s="157"/>
      <c r="T514" s="144" t="s">
        <v>29</v>
      </c>
      <c r="U514" s="150" t="s">
        <v>20</v>
      </c>
      <c r="V514" s="146">
        <v>2396</v>
      </c>
      <c r="W514" s="148" t="s">
        <v>3419</v>
      </c>
      <c r="X514" s="149">
        <v>45689</v>
      </c>
      <c r="Y514" s="165" t="s">
        <v>3207</v>
      </c>
    </row>
    <row r="515" spans="1:25">
      <c r="A515" s="163" t="s">
        <v>423</v>
      </c>
      <c r="B515" s="144" t="s">
        <v>163</v>
      </c>
      <c r="C515" s="164" t="s">
        <v>1142</v>
      </c>
      <c r="D515" s="144" t="s">
        <v>1125</v>
      </c>
      <c r="E515" s="150" t="s">
        <v>2491</v>
      </c>
      <c r="F515" s="144" t="s">
        <v>2477</v>
      </c>
      <c r="G515" s="166" t="s">
        <v>3420</v>
      </c>
      <c r="H515" s="151">
        <v>30</v>
      </c>
      <c r="I515" s="160"/>
      <c r="J515" s="159">
        <v>4.2</v>
      </c>
      <c r="K515" s="161"/>
      <c r="L515" s="159">
        <v>126</v>
      </c>
      <c r="M515" s="160">
        <v>126</v>
      </c>
      <c r="N515" s="145"/>
      <c r="O515" s="156" t="s">
        <v>166</v>
      </c>
      <c r="P515" s="144" t="s">
        <v>2478</v>
      </c>
      <c r="Q515" s="147">
        <v>45383</v>
      </c>
      <c r="R515" s="146">
        <v>2053</v>
      </c>
      <c r="S515" s="157"/>
      <c r="T515" s="144" t="s">
        <v>25</v>
      </c>
      <c r="U515" s="150" t="s">
        <v>2479</v>
      </c>
      <c r="V515" s="146">
        <v>1623</v>
      </c>
      <c r="W515" s="148"/>
      <c r="X515" s="149">
        <v>45901</v>
      </c>
      <c r="Y515" s="165" t="s">
        <v>3032</v>
      </c>
    </row>
    <row r="516" spans="1:25">
      <c r="A516" s="163" t="s">
        <v>423</v>
      </c>
      <c r="B516" s="144" t="s">
        <v>163</v>
      </c>
      <c r="C516" s="164" t="s">
        <v>3421</v>
      </c>
      <c r="D516" s="144" t="s">
        <v>1656</v>
      </c>
      <c r="E516" s="150" t="s">
        <v>2491</v>
      </c>
      <c r="F516" s="144" t="s">
        <v>2477</v>
      </c>
      <c r="G516" s="166" t="s">
        <v>1657</v>
      </c>
      <c r="H516" s="151">
        <v>48</v>
      </c>
      <c r="I516" s="160">
        <v>1.88</v>
      </c>
      <c r="J516" s="159">
        <v>2.75</v>
      </c>
      <c r="K516" s="161">
        <v>90</v>
      </c>
      <c r="L516" s="159">
        <v>132</v>
      </c>
      <c r="M516" s="160">
        <v>132</v>
      </c>
      <c r="N516" s="145"/>
      <c r="O516" s="156" t="s">
        <v>166</v>
      </c>
      <c r="P516" s="144" t="s">
        <v>2478</v>
      </c>
      <c r="Q516" s="147">
        <v>44287</v>
      </c>
      <c r="R516" s="146">
        <v>2051</v>
      </c>
      <c r="S516" s="157"/>
      <c r="T516" s="144" t="s">
        <v>25</v>
      </c>
      <c r="U516" s="150" t="s">
        <v>2479</v>
      </c>
      <c r="V516" s="146">
        <v>1541</v>
      </c>
      <c r="W516" s="148"/>
      <c r="X516" s="149">
        <v>45689</v>
      </c>
      <c r="Y516" s="165" t="s">
        <v>3051</v>
      </c>
    </row>
    <row r="517" spans="1:25">
      <c r="A517" s="163" t="s">
        <v>309</v>
      </c>
      <c r="B517" s="144" t="s">
        <v>2463</v>
      </c>
      <c r="C517" s="164" t="s">
        <v>3422</v>
      </c>
      <c r="D517" s="144" t="s">
        <v>3423</v>
      </c>
      <c r="E517" s="150" t="s">
        <v>2476</v>
      </c>
      <c r="F517" s="144" t="s">
        <v>2477</v>
      </c>
      <c r="G517" s="166"/>
      <c r="H517" s="151">
        <v>1</v>
      </c>
      <c r="I517" s="160">
        <v>1000</v>
      </c>
      <c r="J517" s="159">
        <v>1000</v>
      </c>
      <c r="K517" s="161">
        <v>1000</v>
      </c>
      <c r="L517" s="159">
        <v>1000</v>
      </c>
      <c r="M517" s="160">
        <v>1000</v>
      </c>
      <c r="N517" s="145"/>
      <c r="O517" s="156" t="s">
        <v>135</v>
      </c>
      <c r="P517" s="144" t="s">
        <v>2478</v>
      </c>
      <c r="Q517" s="147"/>
      <c r="R517" s="146"/>
      <c r="S517" s="157"/>
      <c r="T517" s="144" t="s">
        <v>29</v>
      </c>
      <c r="U517" s="150" t="s">
        <v>2479</v>
      </c>
      <c r="V517" s="146">
        <v>3070</v>
      </c>
      <c r="W517" s="148" t="s">
        <v>3424</v>
      </c>
      <c r="X517" s="149">
        <v>45901</v>
      </c>
      <c r="Y517" s="165" t="s">
        <v>3142</v>
      </c>
    </row>
    <row r="518" spans="1:25">
      <c r="A518" s="163" t="s">
        <v>309</v>
      </c>
      <c r="B518" s="144" t="s">
        <v>2463</v>
      </c>
      <c r="C518" s="164" t="s">
        <v>3422</v>
      </c>
      <c r="D518" s="144" t="s">
        <v>3423</v>
      </c>
      <c r="E518" s="150" t="s">
        <v>2466</v>
      </c>
      <c r="F518" s="144" t="s">
        <v>2477</v>
      </c>
      <c r="G518" s="166"/>
      <c r="H518" s="151">
        <v>1</v>
      </c>
      <c r="I518" s="160">
        <v>1000</v>
      </c>
      <c r="J518" s="159">
        <v>1000</v>
      </c>
      <c r="K518" s="161">
        <v>1000</v>
      </c>
      <c r="L518" s="159">
        <v>1000</v>
      </c>
      <c r="M518" s="160">
        <v>1000</v>
      </c>
      <c r="N518" s="145">
        <v>0</v>
      </c>
      <c r="O518" s="156" t="s">
        <v>135</v>
      </c>
      <c r="P518" s="144" t="s">
        <v>2468</v>
      </c>
      <c r="Q518" s="147"/>
      <c r="R518" s="146"/>
      <c r="S518" s="157"/>
      <c r="T518" s="144" t="s">
        <v>29</v>
      </c>
      <c r="U518" s="150" t="s">
        <v>20</v>
      </c>
      <c r="V518" s="146">
        <v>3070</v>
      </c>
      <c r="W518" s="148" t="s">
        <v>3424</v>
      </c>
      <c r="X518" s="149">
        <v>45901</v>
      </c>
      <c r="Y518" s="165" t="s">
        <v>3142</v>
      </c>
    </row>
    <row r="519" spans="1:25">
      <c r="A519" s="163" t="s">
        <v>423</v>
      </c>
      <c r="B519" s="144" t="s">
        <v>2463</v>
      </c>
      <c r="C519" s="164" t="s">
        <v>462</v>
      </c>
      <c r="D519" s="144" t="s">
        <v>463</v>
      </c>
      <c r="E519" s="150" t="s">
        <v>2466</v>
      </c>
      <c r="F519" s="144" t="s">
        <v>2467</v>
      </c>
      <c r="G519" s="166"/>
      <c r="H519" s="151">
        <v>112</v>
      </c>
      <c r="I519" s="160">
        <v>2.9</v>
      </c>
      <c r="J519" s="159">
        <v>4.2</v>
      </c>
      <c r="K519" s="161">
        <v>324.8</v>
      </c>
      <c r="L519" s="159">
        <v>470.4</v>
      </c>
      <c r="M519" s="160" t="s">
        <v>3425</v>
      </c>
      <c r="N519" s="145">
        <v>500</v>
      </c>
      <c r="O519" s="156" t="s">
        <v>27</v>
      </c>
      <c r="P519" s="144" t="s">
        <v>2468</v>
      </c>
      <c r="Q519" s="147">
        <v>46692</v>
      </c>
      <c r="R519" s="146">
        <v>2054</v>
      </c>
      <c r="S519" s="157"/>
      <c r="T519" s="144" t="s">
        <v>27</v>
      </c>
      <c r="U519" s="150" t="s">
        <v>20</v>
      </c>
      <c r="V519" s="146">
        <v>1912</v>
      </c>
      <c r="W519" s="148" t="s">
        <v>3426</v>
      </c>
      <c r="X519" s="149">
        <v>45901</v>
      </c>
      <c r="Y519" s="165" t="s">
        <v>2490</v>
      </c>
    </row>
    <row r="520" spans="1:25">
      <c r="A520" s="163" t="s">
        <v>380</v>
      </c>
      <c r="B520" s="144" t="s">
        <v>2463</v>
      </c>
      <c r="C520" s="164" t="s">
        <v>3427</v>
      </c>
      <c r="D520" s="144" t="s">
        <v>3428</v>
      </c>
      <c r="E520" s="150" t="s">
        <v>2636</v>
      </c>
      <c r="F520" s="144" t="s">
        <v>2482</v>
      </c>
      <c r="G520" s="166"/>
      <c r="H520" s="151">
        <v>1</v>
      </c>
      <c r="I520" s="160">
        <v>0</v>
      </c>
      <c r="J520" s="159">
        <v>230</v>
      </c>
      <c r="K520" s="161">
        <v>0</v>
      </c>
      <c r="L520" s="159">
        <v>230</v>
      </c>
      <c r="M520" s="160">
        <v>230</v>
      </c>
      <c r="N520" s="145">
        <v>1840</v>
      </c>
      <c r="O520" s="156" t="s">
        <v>135</v>
      </c>
      <c r="P520" s="144" t="s">
        <v>2468</v>
      </c>
      <c r="Q520" s="147"/>
      <c r="R520" s="146"/>
      <c r="S520" s="157"/>
      <c r="T520" s="144" t="s">
        <v>29</v>
      </c>
      <c r="U520" s="150" t="s">
        <v>18</v>
      </c>
      <c r="V520" s="146">
        <v>1491</v>
      </c>
      <c r="W520" s="148"/>
      <c r="X520" s="149">
        <v>45689</v>
      </c>
      <c r="Y520" s="165" t="s">
        <v>2520</v>
      </c>
    </row>
    <row r="521" spans="1:25">
      <c r="A521" s="163" t="s">
        <v>7</v>
      </c>
      <c r="B521" s="144" t="s">
        <v>2463</v>
      </c>
      <c r="C521" s="164" t="s">
        <v>3429</v>
      </c>
      <c r="D521" s="144" t="s">
        <v>3430</v>
      </c>
      <c r="E521" s="150" t="s">
        <v>2485</v>
      </c>
      <c r="F521" s="144" t="s">
        <v>2486</v>
      </c>
      <c r="G521" s="166"/>
      <c r="H521" s="151">
        <v>83</v>
      </c>
      <c r="I521" s="160">
        <v>0</v>
      </c>
      <c r="J521" s="159">
        <v>6.02</v>
      </c>
      <c r="K521" s="161">
        <v>0</v>
      </c>
      <c r="L521" s="159">
        <v>499.66</v>
      </c>
      <c r="M521" s="160">
        <v>499.66</v>
      </c>
      <c r="N521" s="145"/>
      <c r="O521" s="156" t="s">
        <v>135</v>
      </c>
      <c r="P521" s="144" t="s">
        <v>2478</v>
      </c>
      <c r="Q521" s="147"/>
      <c r="R521" s="146"/>
      <c r="S521" s="157"/>
      <c r="T521" s="144" t="s">
        <v>29</v>
      </c>
      <c r="U521" s="150" t="s">
        <v>17</v>
      </c>
      <c r="V521" s="146">
        <v>2988</v>
      </c>
      <c r="W521" s="148"/>
      <c r="X521" s="149">
        <v>45778</v>
      </c>
      <c r="Y521" s="165"/>
    </row>
    <row r="522" spans="1:25">
      <c r="A522" s="163" t="s">
        <v>423</v>
      </c>
      <c r="B522" s="144" t="s">
        <v>2463</v>
      </c>
      <c r="C522" s="164" t="s">
        <v>783</v>
      </c>
      <c r="D522" s="144" t="s">
        <v>784</v>
      </c>
      <c r="E522" s="150" t="s">
        <v>2466</v>
      </c>
      <c r="F522" s="144" t="s">
        <v>2467</v>
      </c>
      <c r="G522" s="166"/>
      <c r="H522" s="151">
        <v>1</v>
      </c>
      <c r="I522" s="160">
        <v>150</v>
      </c>
      <c r="J522" s="159">
        <v>150</v>
      </c>
      <c r="K522" s="161">
        <v>150</v>
      </c>
      <c r="L522" s="159">
        <v>150</v>
      </c>
      <c r="M522" s="160">
        <v>150</v>
      </c>
      <c r="N522" s="145">
        <v>600</v>
      </c>
      <c r="O522" s="156" t="s">
        <v>135</v>
      </c>
      <c r="P522" s="144" t="s">
        <v>2468</v>
      </c>
      <c r="Q522" s="147"/>
      <c r="R522" s="146">
        <v>2047</v>
      </c>
      <c r="S522" s="157"/>
      <c r="T522" s="144" t="s">
        <v>29</v>
      </c>
      <c r="U522" s="150" t="s">
        <v>20</v>
      </c>
      <c r="V522" s="146">
        <v>2543</v>
      </c>
      <c r="W522" s="148" t="s">
        <v>3431</v>
      </c>
      <c r="X522" s="149">
        <v>45689</v>
      </c>
      <c r="Y522" s="165" t="s">
        <v>2590</v>
      </c>
    </row>
    <row r="523" spans="1:25">
      <c r="A523" s="163" t="s">
        <v>423</v>
      </c>
      <c r="B523" s="144" t="s">
        <v>163</v>
      </c>
      <c r="C523" s="164" t="s">
        <v>817</v>
      </c>
      <c r="D523" s="144" t="s">
        <v>818</v>
      </c>
      <c r="E523" s="150" t="s">
        <v>2485</v>
      </c>
      <c r="F523" s="144" t="s">
        <v>2486</v>
      </c>
      <c r="G523" s="166" t="s">
        <v>3432</v>
      </c>
      <c r="H523" s="151">
        <v>40</v>
      </c>
      <c r="I523" s="160">
        <v>6.2</v>
      </c>
      <c r="J523" s="159">
        <v>6.2</v>
      </c>
      <c r="K523" s="161">
        <v>248</v>
      </c>
      <c r="L523" s="159">
        <v>248</v>
      </c>
      <c r="M523" s="160">
        <v>248</v>
      </c>
      <c r="N523" s="145"/>
      <c r="O523" s="156" t="s">
        <v>164</v>
      </c>
      <c r="P523" s="144" t="s">
        <v>2478</v>
      </c>
      <c r="Q523" s="147">
        <v>45992</v>
      </c>
      <c r="R523" s="146">
        <v>2055</v>
      </c>
      <c r="S523" s="157"/>
      <c r="T523" s="144" t="s">
        <v>25</v>
      </c>
      <c r="U523" s="150" t="s">
        <v>17</v>
      </c>
      <c r="V523" s="146">
        <v>1487</v>
      </c>
      <c r="W523" s="148" t="s">
        <v>3433</v>
      </c>
      <c r="X523" s="149">
        <v>45901</v>
      </c>
      <c r="Y523" s="165" t="s">
        <v>2490</v>
      </c>
    </row>
    <row r="524" spans="1:25">
      <c r="A524" s="163" t="s">
        <v>423</v>
      </c>
      <c r="B524" s="144" t="s">
        <v>163</v>
      </c>
      <c r="C524" s="164" t="s">
        <v>817</v>
      </c>
      <c r="D524" s="144" t="s">
        <v>818</v>
      </c>
      <c r="E524" s="150" t="s">
        <v>2485</v>
      </c>
      <c r="F524" s="144" t="s">
        <v>2486</v>
      </c>
      <c r="G524" s="166" t="s">
        <v>3434</v>
      </c>
      <c r="H524" s="151">
        <v>42</v>
      </c>
      <c r="I524" s="160">
        <v>6.2</v>
      </c>
      <c r="J524" s="159">
        <v>6.2</v>
      </c>
      <c r="K524" s="161">
        <v>260.39999999999998</v>
      </c>
      <c r="L524" s="159">
        <v>260.39999999999998</v>
      </c>
      <c r="M524" s="160">
        <v>260.39999999999998</v>
      </c>
      <c r="N524" s="145"/>
      <c r="O524" s="156" t="s">
        <v>164</v>
      </c>
      <c r="P524" s="144" t="s">
        <v>2478</v>
      </c>
      <c r="Q524" s="147">
        <v>45992</v>
      </c>
      <c r="R524" s="146">
        <v>2055</v>
      </c>
      <c r="S524" s="157"/>
      <c r="T524" s="144" t="s">
        <v>25</v>
      </c>
      <c r="U524" s="150" t="s">
        <v>17</v>
      </c>
      <c r="V524" s="146">
        <v>1487</v>
      </c>
      <c r="W524" s="148" t="s">
        <v>3433</v>
      </c>
      <c r="X524" s="149">
        <v>45901</v>
      </c>
      <c r="Y524" s="165" t="s">
        <v>2490</v>
      </c>
    </row>
    <row r="525" spans="1:25">
      <c r="A525" s="163" t="s">
        <v>423</v>
      </c>
      <c r="B525" s="144" t="s">
        <v>163</v>
      </c>
      <c r="C525" s="164" t="s">
        <v>817</v>
      </c>
      <c r="D525" s="144" t="s">
        <v>818</v>
      </c>
      <c r="E525" s="150" t="s">
        <v>2485</v>
      </c>
      <c r="F525" s="144" t="s">
        <v>2486</v>
      </c>
      <c r="G525" s="166" t="s">
        <v>3435</v>
      </c>
      <c r="H525" s="151">
        <v>40</v>
      </c>
      <c r="I525" s="160">
        <v>6.2</v>
      </c>
      <c r="J525" s="159">
        <v>6.2</v>
      </c>
      <c r="K525" s="161">
        <v>248</v>
      </c>
      <c r="L525" s="159">
        <v>248</v>
      </c>
      <c r="M525" s="160">
        <v>248</v>
      </c>
      <c r="N525" s="145"/>
      <c r="O525" s="156" t="s">
        <v>164</v>
      </c>
      <c r="P525" s="144" t="s">
        <v>2478</v>
      </c>
      <c r="Q525" s="147">
        <v>45992</v>
      </c>
      <c r="R525" s="146">
        <v>2055</v>
      </c>
      <c r="S525" s="157"/>
      <c r="T525" s="144" t="s">
        <v>25</v>
      </c>
      <c r="U525" s="150" t="s">
        <v>17</v>
      </c>
      <c r="V525" s="146">
        <v>1487</v>
      </c>
      <c r="W525" s="148" t="s">
        <v>3433</v>
      </c>
      <c r="X525" s="149">
        <v>45901</v>
      </c>
      <c r="Y525" s="165" t="s">
        <v>2490</v>
      </c>
    </row>
    <row r="526" spans="1:25">
      <c r="A526" s="163" t="s">
        <v>423</v>
      </c>
      <c r="B526" s="144" t="s">
        <v>2463</v>
      </c>
      <c r="C526" s="164" t="s">
        <v>878</v>
      </c>
      <c r="D526" s="144" t="s">
        <v>879</v>
      </c>
      <c r="E526" s="150" t="s">
        <v>2485</v>
      </c>
      <c r="F526" s="144" t="s">
        <v>2486</v>
      </c>
      <c r="G526" s="166"/>
      <c r="H526" s="151">
        <v>93</v>
      </c>
      <c r="I526" s="160">
        <v>5.99</v>
      </c>
      <c r="J526" s="159">
        <v>5.99</v>
      </c>
      <c r="K526" s="161">
        <v>557.07000000000005</v>
      </c>
      <c r="L526" s="159">
        <v>557.07000000000005</v>
      </c>
      <c r="M526" s="160">
        <v>557.07000000000005</v>
      </c>
      <c r="N526" s="145"/>
      <c r="O526" s="156" t="s">
        <v>27</v>
      </c>
      <c r="P526" s="144" t="s">
        <v>2478</v>
      </c>
      <c r="Q526" s="147">
        <v>46447</v>
      </c>
      <c r="R526" s="146">
        <v>2057</v>
      </c>
      <c r="S526" s="157"/>
      <c r="T526" s="144" t="s">
        <v>27</v>
      </c>
      <c r="U526" s="150" t="s">
        <v>17</v>
      </c>
      <c r="V526" s="146">
        <v>1990</v>
      </c>
      <c r="W526" s="148" t="s">
        <v>3436</v>
      </c>
      <c r="X526" s="149">
        <v>45901</v>
      </c>
      <c r="Y526" s="165" t="s">
        <v>2475</v>
      </c>
    </row>
    <row r="527" spans="1:25">
      <c r="A527" s="163" t="s">
        <v>309</v>
      </c>
      <c r="B527" s="144" t="s">
        <v>2463</v>
      </c>
      <c r="C527" s="164" t="s">
        <v>3437</v>
      </c>
      <c r="D527" s="144" t="s">
        <v>3438</v>
      </c>
      <c r="E527" s="150" t="s">
        <v>2491</v>
      </c>
      <c r="F527" s="144" t="s">
        <v>2477</v>
      </c>
      <c r="G527" s="166"/>
      <c r="H527" s="151">
        <v>1</v>
      </c>
      <c r="I527" s="160"/>
      <c r="J527" s="159">
        <v>160</v>
      </c>
      <c r="K527" s="161"/>
      <c r="L527" s="159">
        <v>160</v>
      </c>
      <c r="M527" s="160">
        <v>160</v>
      </c>
      <c r="N527" s="145"/>
      <c r="O527" s="156" t="s">
        <v>135</v>
      </c>
      <c r="P527" s="144" t="s">
        <v>2478</v>
      </c>
      <c r="Q527" s="147"/>
      <c r="R527" s="146"/>
      <c r="S527" s="157"/>
      <c r="T527" s="144" t="s">
        <v>29</v>
      </c>
      <c r="U527" s="150" t="s">
        <v>2479</v>
      </c>
      <c r="V527" s="146">
        <v>3066</v>
      </c>
      <c r="W527" s="148" t="s">
        <v>3439</v>
      </c>
      <c r="X527" s="149">
        <v>45901</v>
      </c>
      <c r="Y527" s="165" t="s">
        <v>2668</v>
      </c>
    </row>
    <row r="528" spans="1:25">
      <c r="A528" s="163" t="s">
        <v>309</v>
      </c>
      <c r="B528" s="144" t="s">
        <v>2463</v>
      </c>
      <c r="C528" s="164" t="s">
        <v>3437</v>
      </c>
      <c r="D528" s="144" t="s">
        <v>3438</v>
      </c>
      <c r="E528" s="150" t="s">
        <v>2466</v>
      </c>
      <c r="F528" s="144" t="s">
        <v>2477</v>
      </c>
      <c r="G528" s="166"/>
      <c r="H528" s="151">
        <v>1</v>
      </c>
      <c r="I528" s="160">
        <v>200</v>
      </c>
      <c r="J528" s="159">
        <v>200</v>
      </c>
      <c r="K528" s="161">
        <v>200</v>
      </c>
      <c r="L528" s="159">
        <v>200</v>
      </c>
      <c r="M528" s="160">
        <v>200</v>
      </c>
      <c r="N528" s="145">
        <v>400</v>
      </c>
      <c r="O528" s="156" t="s">
        <v>135</v>
      </c>
      <c r="P528" s="144" t="s">
        <v>2468</v>
      </c>
      <c r="Q528" s="147"/>
      <c r="R528" s="146"/>
      <c r="S528" s="157"/>
      <c r="T528" s="144" t="s">
        <v>29</v>
      </c>
      <c r="U528" s="150" t="s">
        <v>20</v>
      </c>
      <c r="V528" s="146">
        <v>3066</v>
      </c>
      <c r="W528" s="148" t="s">
        <v>3439</v>
      </c>
      <c r="X528" s="149">
        <v>45901</v>
      </c>
      <c r="Y528" s="165" t="s">
        <v>2668</v>
      </c>
    </row>
    <row r="529" spans="1:25">
      <c r="A529" s="163" t="s">
        <v>309</v>
      </c>
      <c r="B529" s="144" t="s">
        <v>2463</v>
      </c>
      <c r="C529" s="164" t="s">
        <v>3440</v>
      </c>
      <c r="D529" s="144" t="s">
        <v>3441</v>
      </c>
      <c r="E529" s="150" t="s">
        <v>2485</v>
      </c>
      <c r="F529" s="144" t="s">
        <v>2486</v>
      </c>
      <c r="G529" s="166"/>
      <c r="H529" s="151">
        <v>107</v>
      </c>
      <c r="I529" s="160">
        <v>6.2</v>
      </c>
      <c r="J529" s="159">
        <v>6.2</v>
      </c>
      <c r="K529" s="161">
        <v>663.4</v>
      </c>
      <c r="L529" s="159">
        <v>663.4</v>
      </c>
      <c r="M529" s="160">
        <v>663.4</v>
      </c>
      <c r="N529" s="145"/>
      <c r="O529" s="156" t="s">
        <v>135</v>
      </c>
      <c r="P529" s="144" t="s">
        <v>2478</v>
      </c>
      <c r="Q529" s="147"/>
      <c r="R529" s="146"/>
      <c r="S529" s="157"/>
      <c r="T529" s="144" t="s">
        <v>29</v>
      </c>
      <c r="U529" s="150" t="s">
        <v>17</v>
      </c>
      <c r="V529" s="146">
        <v>3063</v>
      </c>
      <c r="W529" s="148" t="s">
        <v>3442</v>
      </c>
      <c r="X529" s="149">
        <v>45901</v>
      </c>
      <c r="Y529" s="165" t="s">
        <v>3006</v>
      </c>
    </row>
    <row r="530" spans="1:25">
      <c r="A530" s="163" t="s">
        <v>7</v>
      </c>
      <c r="B530" s="144" t="s">
        <v>163</v>
      </c>
      <c r="C530" s="164" t="s">
        <v>1592</v>
      </c>
      <c r="D530" s="144" t="s">
        <v>1593</v>
      </c>
      <c r="E530" s="150" t="s">
        <v>2491</v>
      </c>
      <c r="F530" s="144" t="s">
        <v>2477</v>
      </c>
      <c r="G530" s="166" t="s">
        <v>1594</v>
      </c>
      <c r="H530" s="151">
        <v>31</v>
      </c>
      <c r="I530" s="160"/>
      <c r="J530" s="159">
        <v>2.25</v>
      </c>
      <c r="K530" s="161"/>
      <c r="L530" s="159">
        <v>69.75</v>
      </c>
      <c r="M530" s="160">
        <v>69.75</v>
      </c>
      <c r="N530" s="145"/>
      <c r="O530" s="156" t="s">
        <v>166</v>
      </c>
      <c r="P530" s="144" t="s">
        <v>2478</v>
      </c>
      <c r="Q530" s="147">
        <v>44501</v>
      </c>
      <c r="R530" s="146">
        <v>2050</v>
      </c>
      <c r="S530" s="157"/>
      <c r="T530" s="144" t="s">
        <v>25</v>
      </c>
      <c r="U530" s="150" t="s">
        <v>2479</v>
      </c>
      <c r="V530" s="146">
        <v>1400</v>
      </c>
      <c r="W530" s="148"/>
      <c r="X530" s="149">
        <v>45689</v>
      </c>
      <c r="Y530" s="165" t="s">
        <v>3067</v>
      </c>
    </row>
    <row r="531" spans="1:25">
      <c r="A531" s="163" t="s">
        <v>423</v>
      </c>
      <c r="B531" s="144" t="s">
        <v>2463</v>
      </c>
      <c r="C531" s="164" t="s">
        <v>3443</v>
      </c>
      <c r="D531" s="144" t="s">
        <v>228</v>
      </c>
      <c r="E531" s="150" t="s">
        <v>2466</v>
      </c>
      <c r="F531" s="144" t="s">
        <v>2467</v>
      </c>
      <c r="G531" s="166"/>
      <c r="H531" s="151">
        <v>1</v>
      </c>
      <c r="I531" s="160">
        <v>400</v>
      </c>
      <c r="J531" s="159">
        <v>400</v>
      </c>
      <c r="K531" s="161">
        <v>400</v>
      </c>
      <c r="L531" s="159">
        <v>400</v>
      </c>
      <c r="M531" s="160">
        <v>400</v>
      </c>
      <c r="N531" s="145">
        <v>400</v>
      </c>
      <c r="O531" s="156" t="s">
        <v>135</v>
      </c>
      <c r="P531" s="144" t="s">
        <v>2468</v>
      </c>
      <c r="Q531" s="147"/>
      <c r="R531" s="146"/>
      <c r="S531" s="157"/>
      <c r="T531" s="144" t="s">
        <v>29</v>
      </c>
      <c r="U531" s="150" t="s">
        <v>20</v>
      </c>
      <c r="V531" s="146">
        <v>2570</v>
      </c>
      <c r="W531" s="148" t="s">
        <v>3444</v>
      </c>
      <c r="X531" s="149">
        <v>45901</v>
      </c>
      <c r="Y531" s="165" t="s">
        <v>2620</v>
      </c>
    </row>
    <row r="532" spans="1:25">
      <c r="A532" s="163" t="s">
        <v>423</v>
      </c>
      <c r="B532" s="144" t="s">
        <v>2463</v>
      </c>
      <c r="C532" s="164" t="s">
        <v>424</v>
      </c>
      <c r="D532" s="144" t="s">
        <v>254</v>
      </c>
      <c r="E532" s="150" t="s">
        <v>2491</v>
      </c>
      <c r="F532" s="144" t="s">
        <v>2477</v>
      </c>
      <c r="G532" s="166" t="s">
        <v>425</v>
      </c>
      <c r="H532" s="151">
        <v>1</v>
      </c>
      <c r="I532" s="160">
        <v>250</v>
      </c>
      <c r="J532" s="159">
        <v>250</v>
      </c>
      <c r="K532" s="161">
        <v>250</v>
      </c>
      <c r="L532" s="159">
        <v>250</v>
      </c>
      <c r="M532" s="160">
        <v>250</v>
      </c>
      <c r="N532" s="145"/>
      <c r="O532" s="156" t="s">
        <v>27</v>
      </c>
      <c r="P532" s="144" t="s">
        <v>2478</v>
      </c>
      <c r="Q532" s="147">
        <v>46296</v>
      </c>
      <c r="R532" s="146">
        <v>2061</v>
      </c>
      <c r="S532" s="157"/>
      <c r="T532" s="144" t="s">
        <v>27</v>
      </c>
      <c r="U532" s="150" t="s">
        <v>2479</v>
      </c>
      <c r="V532" s="146">
        <v>2793</v>
      </c>
      <c r="W532" s="148"/>
      <c r="X532" s="149">
        <v>45901</v>
      </c>
      <c r="Y532" s="165" t="s">
        <v>2810</v>
      </c>
    </row>
    <row r="533" spans="1:25">
      <c r="A533" s="163" t="s">
        <v>565</v>
      </c>
      <c r="B533" s="144" t="s">
        <v>163</v>
      </c>
      <c r="C533" s="164" t="s">
        <v>3445</v>
      </c>
      <c r="D533" s="144" t="s">
        <v>1137</v>
      </c>
      <c r="E533" s="150" t="s">
        <v>2593</v>
      </c>
      <c r="F533" s="144" t="s">
        <v>2482</v>
      </c>
      <c r="G533" s="166" t="s">
        <v>3446</v>
      </c>
      <c r="H533" s="151">
        <v>3</v>
      </c>
      <c r="I533" s="160">
        <v>144</v>
      </c>
      <c r="J533" s="159">
        <v>144</v>
      </c>
      <c r="K533" s="161">
        <v>432</v>
      </c>
      <c r="L533" s="159">
        <v>432</v>
      </c>
      <c r="M533" s="160">
        <v>432</v>
      </c>
      <c r="N533" s="145"/>
      <c r="O533" s="156" t="s">
        <v>166</v>
      </c>
      <c r="P533" s="144" t="s">
        <v>2468</v>
      </c>
      <c r="Q533" s="147"/>
      <c r="R533" s="146">
        <v>2100</v>
      </c>
      <c r="S533" s="157"/>
      <c r="T533" s="144" t="s">
        <v>25</v>
      </c>
      <c r="U533" s="150" t="s">
        <v>18</v>
      </c>
      <c r="V533" s="146">
        <v>1081</v>
      </c>
      <c r="W533" s="148"/>
      <c r="X533" s="149">
        <v>45689</v>
      </c>
      <c r="Y533" s="165" t="s">
        <v>2541</v>
      </c>
    </row>
    <row r="534" spans="1:25">
      <c r="A534" s="163" t="s">
        <v>7</v>
      </c>
      <c r="B534" s="144" t="s">
        <v>2463</v>
      </c>
      <c r="C534" s="164" t="s">
        <v>3447</v>
      </c>
      <c r="D534" s="144" t="s">
        <v>3448</v>
      </c>
      <c r="E534" s="150" t="s">
        <v>2466</v>
      </c>
      <c r="F534" s="144" t="s">
        <v>2467</v>
      </c>
      <c r="G534" s="166"/>
      <c r="H534" s="151">
        <v>1</v>
      </c>
      <c r="I534" s="160">
        <v>0</v>
      </c>
      <c r="J534" s="159">
        <v>450</v>
      </c>
      <c r="K534" s="161">
        <v>0</v>
      </c>
      <c r="L534" s="159">
        <v>450</v>
      </c>
      <c r="M534" s="160">
        <v>450</v>
      </c>
      <c r="N534" s="145">
        <v>1370</v>
      </c>
      <c r="O534" s="156" t="s">
        <v>135</v>
      </c>
      <c r="P534" s="144" t="s">
        <v>2468</v>
      </c>
      <c r="Q534" s="147"/>
      <c r="R534" s="146"/>
      <c r="S534" s="157"/>
      <c r="T534" s="144" t="s">
        <v>29</v>
      </c>
      <c r="U534" s="150" t="s">
        <v>20</v>
      </c>
      <c r="V534" s="146">
        <v>2191</v>
      </c>
      <c r="W534" s="148"/>
      <c r="X534" s="149">
        <v>45901</v>
      </c>
      <c r="Y534" s="165" t="s">
        <v>2620</v>
      </c>
    </row>
    <row r="535" spans="1:25">
      <c r="A535" s="163" t="s">
        <v>7</v>
      </c>
      <c r="B535" s="144" t="s">
        <v>2463</v>
      </c>
      <c r="C535" s="164" t="s">
        <v>499</v>
      </c>
      <c r="D535" s="144" t="s">
        <v>500</v>
      </c>
      <c r="E535" s="150" t="s">
        <v>2491</v>
      </c>
      <c r="F535" s="144" t="s">
        <v>2477</v>
      </c>
      <c r="G535" s="166"/>
      <c r="H535" s="151">
        <v>140</v>
      </c>
      <c r="I535" s="160"/>
      <c r="J535" s="159">
        <v>4.2</v>
      </c>
      <c r="K535" s="161"/>
      <c r="L535" s="159">
        <v>588</v>
      </c>
      <c r="M535" s="160">
        <v>588</v>
      </c>
      <c r="N535" s="145"/>
      <c r="O535" s="156" t="s">
        <v>27</v>
      </c>
      <c r="P535" s="144" t="s">
        <v>2478</v>
      </c>
      <c r="Q535" s="147">
        <v>46447</v>
      </c>
      <c r="R535" s="146">
        <v>2067</v>
      </c>
      <c r="S535" s="157"/>
      <c r="T535" s="144" t="s">
        <v>27</v>
      </c>
      <c r="U535" s="150" t="s">
        <v>2479</v>
      </c>
      <c r="V535" s="146">
        <v>2190</v>
      </c>
      <c r="W535" s="148" t="s">
        <v>3449</v>
      </c>
      <c r="X535" s="149">
        <v>45901</v>
      </c>
      <c r="Y535" s="165" t="s">
        <v>2620</v>
      </c>
    </row>
    <row r="536" spans="1:25">
      <c r="A536" s="163" t="s">
        <v>7</v>
      </c>
      <c r="B536" s="144" t="s">
        <v>2463</v>
      </c>
      <c r="C536" s="164" t="s">
        <v>499</v>
      </c>
      <c r="D536" s="144" t="s">
        <v>500</v>
      </c>
      <c r="E536" s="150" t="s">
        <v>2466</v>
      </c>
      <c r="F536" s="144" t="s">
        <v>2467</v>
      </c>
      <c r="G536" s="166"/>
      <c r="H536" s="151">
        <v>56</v>
      </c>
      <c r="I536" s="160"/>
      <c r="J536" s="159">
        <v>0.89</v>
      </c>
      <c r="K536" s="161"/>
      <c r="L536" s="159">
        <v>49.84</v>
      </c>
      <c r="M536" s="160">
        <v>49.84</v>
      </c>
      <c r="N536" s="145">
        <v>500</v>
      </c>
      <c r="O536" s="156" t="s">
        <v>27</v>
      </c>
      <c r="P536" s="144" t="s">
        <v>2468</v>
      </c>
      <c r="Q536" s="147">
        <v>46447</v>
      </c>
      <c r="R536" s="146"/>
      <c r="S536" s="157"/>
      <c r="T536" s="144" t="s">
        <v>27</v>
      </c>
      <c r="U536" s="150" t="s">
        <v>20</v>
      </c>
      <c r="V536" s="146">
        <v>2190</v>
      </c>
      <c r="W536" s="148" t="s">
        <v>3449</v>
      </c>
      <c r="X536" s="149">
        <v>45901</v>
      </c>
      <c r="Y536" s="165" t="s">
        <v>2620</v>
      </c>
    </row>
    <row r="537" spans="1:25">
      <c r="A537" s="163" t="s">
        <v>380</v>
      </c>
      <c r="B537" s="144" t="s">
        <v>2463</v>
      </c>
      <c r="C537" s="164" t="s">
        <v>3450</v>
      </c>
      <c r="D537" s="144" t="s">
        <v>3451</v>
      </c>
      <c r="E537" s="150" t="s">
        <v>2466</v>
      </c>
      <c r="F537" s="144" t="s">
        <v>2467</v>
      </c>
      <c r="G537" s="166"/>
      <c r="H537" s="151">
        <v>1</v>
      </c>
      <c r="I537" s="160"/>
      <c r="J537" s="159">
        <v>215</v>
      </c>
      <c r="K537" s="161"/>
      <c r="L537" s="159">
        <v>215</v>
      </c>
      <c r="M537" s="160">
        <v>215</v>
      </c>
      <c r="N537" s="145">
        <v>430</v>
      </c>
      <c r="O537" s="156" t="s">
        <v>135</v>
      </c>
      <c r="P537" s="144" t="s">
        <v>2468</v>
      </c>
      <c r="Q537" s="147"/>
      <c r="R537" s="146">
        <v>2047</v>
      </c>
      <c r="S537" s="157"/>
      <c r="T537" s="144" t="s">
        <v>29</v>
      </c>
      <c r="U537" s="150" t="s">
        <v>20</v>
      </c>
      <c r="V537" s="146">
        <v>2911</v>
      </c>
      <c r="W537" s="148" t="s">
        <v>3452</v>
      </c>
      <c r="X537" s="149">
        <v>45778</v>
      </c>
      <c r="Y537" s="165"/>
    </row>
    <row r="538" spans="1:25">
      <c r="A538" s="163" t="s">
        <v>380</v>
      </c>
      <c r="B538" s="144" t="s">
        <v>2463</v>
      </c>
      <c r="C538" s="164" t="s">
        <v>3453</v>
      </c>
      <c r="D538" s="144" t="s">
        <v>710</v>
      </c>
      <c r="E538" s="150" t="s">
        <v>2466</v>
      </c>
      <c r="F538" s="144" t="s">
        <v>2467</v>
      </c>
      <c r="G538" s="166"/>
      <c r="H538" s="151">
        <v>1</v>
      </c>
      <c r="I538" s="160">
        <v>300</v>
      </c>
      <c r="J538" s="159">
        <v>300</v>
      </c>
      <c r="K538" s="161">
        <v>300</v>
      </c>
      <c r="L538" s="159">
        <v>300</v>
      </c>
      <c r="M538" s="160">
        <v>300</v>
      </c>
      <c r="N538" s="145">
        <v>1200</v>
      </c>
      <c r="O538" s="156" t="s">
        <v>135</v>
      </c>
      <c r="P538" s="144" t="s">
        <v>2468</v>
      </c>
      <c r="Q538" s="147"/>
      <c r="R538" s="146">
        <v>2049</v>
      </c>
      <c r="S538" s="157"/>
      <c r="T538" s="144" t="s">
        <v>29</v>
      </c>
      <c r="U538" s="150" t="s">
        <v>20</v>
      </c>
      <c r="V538" s="146">
        <v>2904</v>
      </c>
      <c r="W538" s="148" t="s">
        <v>3454</v>
      </c>
      <c r="X538" s="149">
        <v>45778</v>
      </c>
      <c r="Y538" s="165"/>
    </row>
    <row r="539" spans="1:25">
      <c r="A539" s="163" t="s">
        <v>380</v>
      </c>
      <c r="B539" s="144" t="s">
        <v>2463</v>
      </c>
      <c r="C539" s="164" t="s">
        <v>403</v>
      </c>
      <c r="D539" s="144" t="s">
        <v>404</v>
      </c>
      <c r="E539" s="150" t="s">
        <v>2485</v>
      </c>
      <c r="F539" s="144" t="s">
        <v>2486</v>
      </c>
      <c r="G539" s="166"/>
      <c r="H539" s="151">
        <v>100</v>
      </c>
      <c r="I539" s="160">
        <v>0.02</v>
      </c>
      <c r="J539" s="159">
        <v>6</v>
      </c>
      <c r="K539" s="161">
        <v>2</v>
      </c>
      <c r="L539" s="159">
        <v>600</v>
      </c>
      <c r="M539" s="160" t="s">
        <v>3455</v>
      </c>
      <c r="N539" s="145"/>
      <c r="O539" s="156" t="s">
        <v>28</v>
      </c>
      <c r="P539" s="144" t="s">
        <v>2478</v>
      </c>
      <c r="Q539" s="147">
        <v>47453</v>
      </c>
      <c r="R539" s="146">
        <v>2059</v>
      </c>
      <c r="S539" s="157"/>
      <c r="T539" s="144" t="s">
        <v>28</v>
      </c>
      <c r="U539" s="150" t="s">
        <v>17</v>
      </c>
      <c r="V539" s="146">
        <v>2757</v>
      </c>
      <c r="W539" s="148" t="s">
        <v>3456</v>
      </c>
      <c r="X539" s="149">
        <v>45901</v>
      </c>
      <c r="Y539" s="165" t="s">
        <v>2589</v>
      </c>
    </row>
    <row r="540" spans="1:25">
      <c r="A540" s="163" t="s">
        <v>380</v>
      </c>
      <c r="B540" s="144" t="s">
        <v>163</v>
      </c>
      <c r="C540" s="164" t="s">
        <v>405</v>
      </c>
      <c r="D540" s="144" t="s">
        <v>406</v>
      </c>
      <c r="E540" s="150" t="s">
        <v>2485</v>
      </c>
      <c r="F540" s="144" t="s">
        <v>2486</v>
      </c>
      <c r="G540" s="166" t="s">
        <v>407</v>
      </c>
      <c r="H540" s="151">
        <v>38</v>
      </c>
      <c r="I540" s="160">
        <v>0</v>
      </c>
      <c r="J540" s="159">
        <v>5.5</v>
      </c>
      <c r="K540" s="161">
        <v>0</v>
      </c>
      <c r="L540" s="159">
        <v>209</v>
      </c>
      <c r="M540" s="160">
        <v>209</v>
      </c>
      <c r="N540" s="145"/>
      <c r="O540" s="156" t="s">
        <v>166</v>
      </c>
      <c r="P540" s="144" t="s">
        <v>2478</v>
      </c>
      <c r="Q540" s="147">
        <v>45627</v>
      </c>
      <c r="R540" s="146">
        <v>2048</v>
      </c>
      <c r="S540" s="157"/>
      <c r="T540" s="144" t="s">
        <v>25</v>
      </c>
      <c r="U540" s="150" t="s">
        <v>17</v>
      </c>
      <c r="V540" s="146">
        <v>1964</v>
      </c>
      <c r="W540" s="148" t="s">
        <v>3457</v>
      </c>
      <c r="X540" s="149">
        <v>45778</v>
      </c>
      <c r="Y540" s="165" t="s">
        <v>2500</v>
      </c>
    </row>
    <row r="541" spans="1:25">
      <c r="A541" s="163" t="s">
        <v>380</v>
      </c>
      <c r="B541" s="144" t="s">
        <v>163</v>
      </c>
      <c r="C541" s="164" t="s">
        <v>408</v>
      </c>
      <c r="D541" s="144" t="s">
        <v>409</v>
      </c>
      <c r="E541" s="150" t="s">
        <v>2485</v>
      </c>
      <c r="F541" s="144" t="s">
        <v>2486</v>
      </c>
      <c r="G541" s="166" t="s">
        <v>410</v>
      </c>
      <c r="H541" s="151">
        <v>37</v>
      </c>
      <c r="I541" s="160">
        <v>0</v>
      </c>
      <c r="J541" s="159">
        <v>5.5</v>
      </c>
      <c r="K541" s="161">
        <v>0</v>
      </c>
      <c r="L541" s="159">
        <v>203.5</v>
      </c>
      <c r="M541" s="160">
        <v>203.5</v>
      </c>
      <c r="N541" s="145"/>
      <c r="O541" s="156" t="s">
        <v>166</v>
      </c>
      <c r="P541" s="144" t="s">
        <v>2478</v>
      </c>
      <c r="Q541" s="147">
        <v>45627</v>
      </c>
      <c r="R541" s="146">
        <v>2049</v>
      </c>
      <c r="S541" s="157"/>
      <c r="T541" s="144" t="s">
        <v>25</v>
      </c>
      <c r="U541" s="150" t="s">
        <v>17</v>
      </c>
      <c r="V541" s="146">
        <v>2404</v>
      </c>
      <c r="W541" s="148" t="s">
        <v>3457</v>
      </c>
      <c r="X541" s="149">
        <v>45901</v>
      </c>
      <c r="Y541" s="165" t="s">
        <v>2671</v>
      </c>
    </row>
    <row r="542" spans="1:25">
      <c r="A542" s="163" t="s">
        <v>423</v>
      </c>
      <c r="B542" s="144" t="s">
        <v>2463</v>
      </c>
      <c r="C542" s="164" t="s">
        <v>3458</v>
      </c>
      <c r="D542" s="144" t="s">
        <v>3459</v>
      </c>
      <c r="E542" s="150" t="s">
        <v>2466</v>
      </c>
      <c r="F542" s="144" t="s">
        <v>2467</v>
      </c>
      <c r="G542" s="166"/>
      <c r="H542" s="151">
        <v>1</v>
      </c>
      <c r="I542" s="160">
        <v>100</v>
      </c>
      <c r="J542" s="159">
        <v>100</v>
      </c>
      <c r="K542" s="161">
        <v>100</v>
      </c>
      <c r="L542" s="159">
        <v>100</v>
      </c>
      <c r="M542" s="160">
        <v>100</v>
      </c>
      <c r="N542" s="145">
        <v>0</v>
      </c>
      <c r="O542" s="156" t="s">
        <v>135</v>
      </c>
      <c r="P542" s="144" t="s">
        <v>2468</v>
      </c>
      <c r="Q542" s="147"/>
      <c r="R542" s="146"/>
      <c r="S542" s="157"/>
      <c r="T542" s="144" t="s">
        <v>29</v>
      </c>
      <c r="U542" s="150" t="s">
        <v>20</v>
      </c>
      <c r="V542" s="146">
        <v>2738</v>
      </c>
      <c r="W542" s="148" t="s">
        <v>3460</v>
      </c>
      <c r="X542" s="149">
        <v>45901</v>
      </c>
      <c r="Y542" s="165" t="s">
        <v>2708</v>
      </c>
    </row>
    <row r="543" spans="1:25">
      <c r="A543" s="163" t="s">
        <v>7</v>
      </c>
      <c r="B543" s="144" t="s">
        <v>163</v>
      </c>
      <c r="C543" s="164" t="s">
        <v>3461</v>
      </c>
      <c r="D543" s="144" t="s">
        <v>1665</v>
      </c>
      <c r="E543" s="150" t="s">
        <v>2506</v>
      </c>
      <c r="F543" s="144" t="s">
        <v>3046</v>
      </c>
      <c r="G543" s="166" t="s">
        <v>3462</v>
      </c>
      <c r="H543" s="151">
        <v>1</v>
      </c>
      <c r="I543" s="160">
        <v>1.26</v>
      </c>
      <c r="J543" s="159">
        <v>1.26</v>
      </c>
      <c r="K543" s="161">
        <v>1.26</v>
      </c>
      <c r="L543" s="159">
        <v>1.26</v>
      </c>
      <c r="M543" s="160">
        <v>1.26</v>
      </c>
      <c r="N543" s="145"/>
      <c r="O543" s="156" t="s">
        <v>166</v>
      </c>
      <c r="P543" s="144" t="s">
        <v>2480</v>
      </c>
      <c r="Q543" s="147"/>
      <c r="R543" s="146">
        <v>2025</v>
      </c>
      <c r="S543" s="157"/>
      <c r="T543" s="144" t="s">
        <v>25</v>
      </c>
      <c r="U543" s="150" t="s">
        <v>19</v>
      </c>
      <c r="V543" s="146">
        <v>1329</v>
      </c>
      <c r="W543" s="148"/>
      <c r="X543" s="149">
        <v>45566</v>
      </c>
      <c r="Y543" s="165" t="s">
        <v>2836</v>
      </c>
    </row>
    <row r="544" spans="1:25">
      <c r="A544" s="163" t="s">
        <v>7</v>
      </c>
      <c r="B544" s="144" t="s">
        <v>2463</v>
      </c>
      <c r="C544" s="164" t="s">
        <v>3463</v>
      </c>
      <c r="D544" s="144" t="s">
        <v>3464</v>
      </c>
      <c r="E544" s="150" t="s">
        <v>2485</v>
      </c>
      <c r="F544" s="144" t="s">
        <v>2486</v>
      </c>
      <c r="G544" s="166"/>
      <c r="H544" s="151">
        <v>121</v>
      </c>
      <c r="I544" s="160">
        <v>1</v>
      </c>
      <c r="J544" s="159">
        <v>1</v>
      </c>
      <c r="K544" s="161">
        <v>121</v>
      </c>
      <c r="L544" s="159">
        <v>121</v>
      </c>
      <c r="M544" s="160">
        <v>121</v>
      </c>
      <c r="N544" s="145"/>
      <c r="O544" s="156" t="s">
        <v>135</v>
      </c>
      <c r="P544" s="144" t="s">
        <v>2478</v>
      </c>
      <c r="Q544" s="147"/>
      <c r="R544" s="146"/>
      <c r="S544" s="157"/>
      <c r="T544" s="144" t="s">
        <v>29</v>
      </c>
      <c r="U544" s="150" t="s">
        <v>17</v>
      </c>
      <c r="V544" s="146">
        <v>1624</v>
      </c>
      <c r="W544" s="148"/>
      <c r="X544" s="149">
        <v>45901</v>
      </c>
      <c r="Y544" s="165" t="s">
        <v>3465</v>
      </c>
    </row>
    <row r="545" spans="1:25">
      <c r="A545" s="163" t="s">
        <v>565</v>
      </c>
      <c r="B545" s="144" t="s">
        <v>163</v>
      </c>
      <c r="C545" s="164" t="s">
        <v>2165</v>
      </c>
      <c r="D545" s="144" t="s">
        <v>3466</v>
      </c>
      <c r="E545" s="150" t="s">
        <v>2485</v>
      </c>
      <c r="F545" s="144" t="s">
        <v>2486</v>
      </c>
      <c r="G545" s="166" t="s">
        <v>3467</v>
      </c>
      <c r="H545" s="151">
        <v>31</v>
      </c>
      <c r="I545" s="160">
        <v>3.6</v>
      </c>
      <c r="J545" s="159">
        <v>3.6</v>
      </c>
      <c r="K545" s="161">
        <v>111.6</v>
      </c>
      <c r="L545" s="159">
        <v>111.6</v>
      </c>
      <c r="M545" s="160">
        <v>111.6</v>
      </c>
      <c r="N545" s="145"/>
      <c r="O545" s="156" t="s">
        <v>166</v>
      </c>
      <c r="P545" s="144" t="s">
        <v>2478</v>
      </c>
      <c r="Q545" s="147">
        <v>44166</v>
      </c>
      <c r="R545" s="146">
        <v>2055</v>
      </c>
      <c r="S545" s="157"/>
      <c r="T545" s="144" t="s">
        <v>25</v>
      </c>
      <c r="U545" s="150" t="s">
        <v>17</v>
      </c>
      <c r="V545" s="146">
        <v>1322</v>
      </c>
      <c r="W545" s="148"/>
      <c r="X545" s="149">
        <v>45778</v>
      </c>
      <c r="Y545" s="165" t="s">
        <v>3468</v>
      </c>
    </row>
    <row r="546" spans="1:25">
      <c r="A546" s="163" t="s">
        <v>423</v>
      </c>
      <c r="B546" s="144" t="s">
        <v>2463</v>
      </c>
      <c r="C546" s="164" t="s">
        <v>3469</v>
      </c>
      <c r="D546" s="144" t="s">
        <v>3470</v>
      </c>
      <c r="E546" s="150" t="s">
        <v>2630</v>
      </c>
      <c r="F546" s="144" t="s">
        <v>2486</v>
      </c>
      <c r="G546" s="166"/>
      <c r="H546" s="151">
        <v>1</v>
      </c>
      <c r="I546" s="160">
        <v>2508</v>
      </c>
      <c r="J546" s="159">
        <v>2508</v>
      </c>
      <c r="K546" s="161">
        <v>2508</v>
      </c>
      <c r="L546" s="159">
        <v>2508</v>
      </c>
      <c r="M546" s="160">
        <v>2508</v>
      </c>
      <c r="N546" s="145"/>
      <c r="O546" s="156" t="s">
        <v>135</v>
      </c>
      <c r="P546" s="144" t="s">
        <v>2478</v>
      </c>
      <c r="Q546" s="147"/>
      <c r="R546" s="146"/>
      <c r="S546" s="157"/>
      <c r="T546" s="144" t="s">
        <v>29</v>
      </c>
      <c r="U546" s="150" t="s">
        <v>17</v>
      </c>
      <c r="V546" s="146">
        <v>2403</v>
      </c>
      <c r="W546" s="148" t="s">
        <v>3471</v>
      </c>
      <c r="X546" s="149">
        <v>45901</v>
      </c>
      <c r="Y546" s="165" t="s">
        <v>3472</v>
      </c>
    </row>
    <row r="547" spans="1:25">
      <c r="A547" s="163" t="s">
        <v>565</v>
      </c>
      <c r="B547" s="144" t="s">
        <v>2463</v>
      </c>
      <c r="C547" s="164" t="s">
        <v>3473</v>
      </c>
      <c r="D547" s="144" t="s">
        <v>710</v>
      </c>
      <c r="E547" s="150" t="s">
        <v>2466</v>
      </c>
      <c r="F547" s="144" t="s">
        <v>2467</v>
      </c>
      <c r="G547" s="166"/>
      <c r="H547" s="151">
        <v>1</v>
      </c>
      <c r="I547" s="160">
        <v>100</v>
      </c>
      <c r="J547" s="159">
        <v>100</v>
      </c>
      <c r="K547" s="161">
        <v>100</v>
      </c>
      <c r="L547" s="159">
        <v>100</v>
      </c>
      <c r="M547" s="160">
        <v>100</v>
      </c>
      <c r="N547" s="145">
        <v>150</v>
      </c>
      <c r="O547" s="156" t="s">
        <v>135</v>
      </c>
      <c r="P547" s="144" t="s">
        <v>2468</v>
      </c>
      <c r="Q547" s="147">
        <v>47088</v>
      </c>
      <c r="R547" s="146">
        <v>2050</v>
      </c>
      <c r="S547" s="157"/>
      <c r="T547" s="144" t="s">
        <v>29</v>
      </c>
      <c r="U547" s="150" t="s">
        <v>20</v>
      </c>
      <c r="V547" s="146">
        <v>2233</v>
      </c>
      <c r="W547" s="148" t="s">
        <v>3474</v>
      </c>
      <c r="X547" s="149">
        <v>45689</v>
      </c>
      <c r="Y547" s="165" t="s">
        <v>2474</v>
      </c>
    </row>
    <row r="548" spans="1:25">
      <c r="A548" s="163" t="s">
        <v>7</v>
      </c>
      <c r="B548" s="144" t="s">
        <v>2463</v>
      </c>
      <c r="C548" s="164" t="s">
        <v>3475</v>
      </c>
      <c r="D548" s="144" t="s">
        <v>710</v>
      </c>
      <c r="E548" s="150" t="s">
        <v>2466</v>
      </c>
      <c r="F548" s="144" t="s">
        <v>2467</v>
      </c>
      <c r="G548" s="166"/>
      <c r="H548" s="151">
        <v>1</v>
      </c>
      <c r="I548" s="160"/>
      <c r="J548" s="159">
        <v>500</v>
      </c>
      <c r="K548" s="161"/>
      <c r="L548" s="159">
        <v>500</v>
      </c>
      <c r="M548" s="160">
        <v>500</v>
      </c>
      <c r="N548" s="145">
        <v>2000</v>
      </c>
      <c r="O548" s="156" t="s">
        <v>135</v>
      </c>
      <c r="P548" s="144" t="s">
        <v>2468</v>
      </c>
      <c r="Q548" s="147">
        <v>47088</v>
      </c>
      <c r="R548" s="146"/>
      <c r="S548" s="157"/>
      <c r="T548" s="144" t="s">
        <v>29</v>
      </c>
      <c r="U548" s="150" t="s">
        <v>20</v>
      </c>
      <c r="V548" s="146">
        <v>1869</v>
      </c>
      <c r="W548" s="148" t="s">
        <v>3476</v>
      </c>
      <c r="X548" s="149">
        <v>45689</v>
      </c>
      <c r="Y548" s="165" t="s">
        <v>2574</v>
      </c>
    </row>
    <row r="549" spans="1:25">
      <c r="A549" s="163" t="s">
        <v>423</v>
      </c>
      <c r="B549" s="144" t="s">
        <v>2463</v>
      </c>
      <c r="C549" s="164" t="s">
        <v>3477</v>
      </c>
      <c r="D549" s="144" t="s">
        <v>3478</v>
      </c>
      <c r="E549" s="150" t="s">
        <v>2630</v>
      </c>
      <c r="F549" s="144" t="s">
        <v>2486</v>
      </c>
      <c r="G549" s="166"/>
      <c r="H549" s="151">
        <v>1</v>
      </c>
      <c r="I549" s="160">
        <v>1500</v>
      </c>
      <c r="J549" s="159">
        <v>1500</v>
      </c>
      <c r="K549" s="161">
        <v>1500</v>
      </c>
      <c r="L549" s="159">
        <v>1500</v>
      </c>
      <c r="M549" s="160">
        <v>1500</v>
      </c>
      <c r="N549" s="145"/>
      <c r="O549" s="156" t="s">
        <v>135</v>
      </c>
      <c r="P549" s="144" t="s">
        <v>2478</v>
      </c>
      <c r="Q549" s="147"/>
      <c r="R549" s="146"/>
      <c r="S549" s="157"/>
      <c r="T549" s="144" t="s">
        <v>29</v>
      </c>
      <c r="U549" s="150" t="s">
        <v>17</v>
      </c>
      <c r="V549" s="146">
        <v>2337</v>
      </c>
      <c r="W549" s="148" t="s">
        <v>3479</v>
      </c>
      <c r="X549" s="149">
        <v>45901</v>
      </c>
      <c r="Y549" s="165" t="s">
        <v>2632</v>
      </c>
    </row>
    <row r="550" spans="1:25">
      <c r="A550" s="163" t="s">
        <v>309</v>
      </c>
      <c r="B550" s="144" t="s">
        <v>2463</v>
      </c>
      <c r="C550" s="164" t="s">
        <v>3480</v>
      </c>
      <c r="D550" s="144" t="s">
        <v>3337</v>
      </c>
      <c r="E550" s="150" t="s">
        <v>2466</v>
      </c>
      <c r="F550" s="144" t="s">
        <v>2467</v>
      </c>
      <c r="G550" s="166"/>
      <c r="H550" s="151">
        <v>1</v>
      </c>
      <c r="I550" s="160">
        <v>750</v>
      </c>
      <c r="J550" s="159">
        <v>750</v>
      </c>
      <c r="K550" s="161">
        <v>750</v>
      </c>
      <c r="L550" s="159">
        <v>750</v>
      </c>
      <c r="M550" s="160">
        <v>750</v>
      </c>
      <c r="N550" s="145">
        <v>0</v>
      </c>
      <c r="O550" s="156" t="s">
        <v>135</v>
      </c>
      <c r="P550" s="144" t="s">
        <v>2468</v>
      </c>
      <c r="Q550" s="147"/>
      <c r="R550" s="146"/>
      <c r="S550" s="157"/>
      <c r="T550" s="144" t="s">
        <v>29</v>
      </c>
      <c r="U550" s="150" t="s">
        <v>20</v>
      </c>
      <c r="V550" s="146">
        <v>2833</v>
      </c>
      <c r="W550" s="148" t="s">
        <v>3481</v>
      </c>
      <c r="X550" s="149">
        <v>45901</v>
      </c>
      <c r="Y550" s="165" t="s">
        <v>3003</v>
      </c>
    </row>
    <row r="551" spans="1:25">
      <c r="A551" s="163" t="s">
        <v>309</v>
      </c>
      <c r="B551" s="144" t="s">
        <v>163</v>
      </c>
      <c r="C551" s="164" t="s">
        <v>721</v>
      </c>
      <c r="D551" s="144" t="s">
        <v>722</v>
      </c>
      <c r="E551" s="150" t="s">
        <v>2466</v>
      </c>
      <c r="F551" s="144" t="s">
        <v>2467</v>
      </c>
      <c r="G551" s="166" t="s">
        <v>723</v>
      </c>
      <c r="H551" s="151">
        <v>1</v>
      </c>
      <c r="I551" s="160"/>
      <c r="J551" s="159">
        <v>200</v>
      </c>
      <c r="K551" s="161"/>
      <c r="L551" s="159">
        <v>200</v>
      </c>
      <c r="M551" s="160">
        <v>200</v>
      </c>
      <c r="N551" s="145">
        <v>400</v>
      </c>
      <c r="O551" s="156" t="s">
        <v>164</v>
      </c>
      <c r="P551" s="144" t="s">
        <v>2468</v>
      </c>
      <c r="Q551" s="147">
        <v>45809</v>
      </c>
      <c r="R551" s="146">
        <v>2044</v>
      </c>
      <c r="S551" s="157"/>
      <c r="T551" s="144" t="s">
        <v>25</v>
      </c>
      <c r="U551" s="150" t="s">
        <v>20</v>
      </c>
      <c r="V551" s="146">
        <v>2170</v>
      </c>
      <c r="W551" s="148" t="s">
        <v>3482</v>
      </c>
      <c r="X551" s="149">
        <v>45901</v>
      </c>
      <c r="Y551" s="165" t="s">
        <v>2671</v>
      </c>
    </row>
    <row r="552" spans="1:25">
      <c r="A552" s="163" t="s">
        <v>7</v>
      </c>
      <c r="B552" s="144" t="s">
        <v>2463</v>
      </c>
      <c r="C552" s="164" t="s">
        <v>3483</v>
      </c>
      <c r="D552" s="144" t="s">
        <v>3484</v>
      </c>
      <c r="E552" s="150" t="s">
        <v>2476</v>
      </c>
      <c r="F552" s="144" t="s">
        <v>2477</v>
      </c>
      <c r="G552" s="166"/>
      <c r="H552" s="151">
        <v>1</v>
      </c>
      <c r="I552" s="160">
        <v>45</v>
      </c>
      <c r="J552" s="159">
        <v>45</v>
      </c>
      <c r="K552" s="161">
        <v>45</v>
      </c>
      <c r="L552" s="159">
        <v>45</v>
      </c>
      <c r="M552" s="160">
        <v>45</v>
      </c>
      <c r="N552" s="145"/>
      <c r="O552" s="156" t="s">
        <v>135</v>
      </c>
      <c r="P552" s="144" t="s">
        <v>2480</v>
      </c>
      <c r="Q552" s="147"/>
      <c r="R552" s="146"/>
      <c r="S552" s="157"/>
      <c r="T552" s="144" t="s">
        <v>29</v>
      </c>
      <c r="U552" s="150" t="s">
        <v>2479</v>
      </c>
      <c r="V552" s="146">
        <v>1543</v>
      </c>
      <c r="W552" s="148" t="s">
        <v>3485</v>
      </c>
      <c r="X552" s="149">
        <v>45901</v>
      </c>
      <c r="Y552" s="165" t="s">
        <v>3486</v>
      </c>
    </row>
    <row r="553" spans="1:25">
      <c r="A553" s="163" t="s">
        <v>7</v>
      </c>
      <c r="B553" s="144" t="s">
        <v>2463</v>
      </c>
      <c r="C553" s="164" t="s">
        <v>3487</v>
      </c>
      <c r="D553" s="144" t="s">
        <v>610</v>
      </c>
      <c r="E553" s="150" t="s">
        <v>2466</v>
      </c>
      <c r="F553" s="144" t="s">
        <v>2467</v>
      </c>
      <c r="G553" s="166"/>
      <c r="H553" s="151">
        <v>1</v>
      </c>
      <c r="I553" s="160"/>
      <c r="J553" s="159">
        <v>100</v>
      </c>
      <c r="K553" s="161"/>
      <c r="L553" s="159">
        <v>100</v>
      </c>
      <c r="M553" s="160">
        <v>100</v>
      </c>
      <c r="N553" s="145">
        <v>800</v>
      </c>
      <c r="O553" s="156" t="s">
        <v>135</v>
      </c>
      <c r="P553" s="144" t="s">
        <v>2468</v>
      </c>
      <c r="Q553" s="147"/>
      <c r="R553" s="146"/>
      <c r="S553" s="157"/>
      <c r="T553" s="144" t="s">
        <v>29</v>
      </c>
      <c r="U553" s="150" t="s">
        <v>20</v>
      </c>
      <c r="V553" s="146">
        <v>2758</v>
      </c>
      <c r="W553" s="148" t="s">
        <v>3488</v>
      </c>
      <c r="X553" s="149">
        <v>45901</v>
      </c>
      <c r="Y553" s="165" t="s">
        <v>2840</v>
      </c>
    </row>
    <row r="554" spans="1:25">
      <c r="A554" s="163" t="s">
        <v>7</v>
      </c>
      <c r="B554" s="144" t="s">
        <v>163</v>
      </c>
      <c r="C554" s="164" t="s">
        <v>2171</v>
      </c>
      <c r="D554" s="144" t="s">
        <v>3489</v>
      </c>
      <c r="E554" s="150" t="s">
        <v>2491</v>
      </c>
      <c r="F554" s="144" t="s">
        <v>2477</v>
      </c>
      <c r="G554" s="166" t="s">
        <v>3490</v>
      </c>
      <c r="H554" s="151">
        <v>12</v>
      </c>
      <c r="I554" s="160">
        <v>0</v>
      </c>
      <c r="J554" s="159">
        <v>2.27</v>
      </c>
      <c r="K554" s="161">
        <v>0</v>
      </c>
      <c r="L554" s="159">
        <v>27.19</v>
      </c>
      <c r="M554" s="160">
        <v>27.19</v>
      </c>
      <c r="N554" s="145"/>
      <c r="O554" s="156" t="s">
        <v>166</v>
      </c>
      <c r="P554" s="144" t="s">
        <v>2480</v>
      </c>
      <c r="Q554" s="147"/>
      <c r="R554" s="146">
        <v>2042</v>
      </c>
      <c r="S554" s="157"/>
      <c r="T554" s="144" t="s">
        <v>25</v>
      </c>
      <c r="U554" s="150" t="s">
        <v>2479</v>
      </c>
      <c r="V554" s="146">
        <v>1403</v>
      </c>
      <c r="W554" s="148"/>
      <c r="X554" s="149">
        <v>45566</v>
      </c>
      <c r="Y554" s="165" t="s">
        <v>3491</v>
      </c>
    </row>
    <row r="555" spans="1:25">
      <c r="A555" s="163" t="s">
        <v>309</v>
      </c>
      <c r="B555" s="144" t="s">
        <v>163</v>
      </c>
      <c r="C555" s="164" t="s">
        <v>2135</v>
      </c>
      <c r="D555" s="144" t="s">
        <v>3492</v>
      </c>
      <c r="E555" s="150" t="s">
        <v>2506</v>
      </c>
      <c r="F555" s="144" t="s">
        <v>2507</v>
      </c>
      <c r="G555" s="166" t="s">
        <v>3493</v>
      </c>
      <c r="H555" s="151">
        <v>7</v>
      </c>
      <c r="I555" s="160"/>
      <c r="J555" s="159">
        <v>3</v>
      </c>
      <c r="K555" s="161"/>
      <c r="L555" s="159">
        <v>21</v>
      </c>
      <c r="M555" s="160">
        <v>21</v>
      </c>
      <c r="N555" s="145"/>
      <c r="O555" s="156" t="s">
        <v>166</v>
      </c>
      <c r="P555" s="144" t="s">
        <v>2480</v>
      </c>
      <c r="Q555" s="147"/>
      <c r="R555" s="146">
        <v>2038</v>
      </c>
      <c r="S555" s="157"/>
      <c r="T555" s="144" t="s">
        <v>25</v>
      </c>
      <c r="U555" s="150" t="s">
        <v>15</v>
      </c>
      <c r="V555" s="146">
        <v>1428</v>
      </c>
      <c r="W555" s="148"/>
      <c r="X555" s="149">
        <v>45566</v>
      </c>
      <c r="Y555" s="165" t="s">
        <v>2836</v>
      </c>
    </row>
    <row r="556" spans="1:25">
      <c r="A556" s="163" t="s">
        <v>309</v>
      </c>
      <c r="B556" s="144" t="s">
        <v>2463</v>
      </c>
      <c r="C556" s="164" t="s">
        <v>3494</v>
      </c>
      <c r="D556" s="144" t="s">
        <v>3492</v>
      </c>
      <c r="E556" s="150" t="s">
        <v>2506</v>
      </c>
      <c r="F556" s="144" t="s">
        <v>2786</v>
      </c>
      <c r="G556" s="166"/>
      <c r="H556" s="151">
        <v>1</v>
      </c>
      <c r="I556" s="160">
        <v>15.21</v>
      </c>
      <c r="J556" s="159">
        <v>15.21</v>
      </c>
      <c r="K556" s="161">
        <v>15.21</v>
      </c>
      <c r="L556" s="159">
        <v>15.21</v>
      </c>
      <c r="M556" s="160">
        <v>15.21</v>
      </c>
      <c r="N556" s="145"/>
      <c r="O556" s="156" t="s">
        <v>135</v>
      </c>
      <c r="P556" s="144" t="s">
        <v>2480</v>
      </c>
      <c r="Q556" s="147"/>
      <c r="R556" s="146">
        <v>2038</v>
      </c>
      <c r="S556" s="157"/>
      <c r="T556" s="144" t="s">
        <v>29</v>
      </c>
      <c r="U556" s="150" t="s">
        <v>15</v>
      </c>
      <c r="V556" s="146">
        <v>1582</v>
      </c>
      <c r="W556" s="148"/>
      <c r="X556" s="149">
        <v>44621</v>
      </c>
      <c r="Y556" s="165" t="s">
        <v>2836</v>
      </c>
    </row>
    <row r="557" spans="1:25">
      <c r="A557" s="163" t="s">
        <v>565</v>
      </c>
      <c r="B557" s="144" t="s">
        <v>2463</v>
      </c>
      <c r="C557" s="164" t="s">
        <v>3495</v>
      </c>
      <c r="D557" s="144" t="s">
        <v>2756</v>
      </c>
      <c r="E557" s="150" t="s">
        <v>2485</v>
      </c>
      <c r="F557" s="144" t="s">
        <v>2486</v>
      </c>
      <c r="G557" s="166"/>
      <c r="H557" s="151">
        <v>73</v>
      </c>
      <c r="I557" s="160"/>
      <c r="J557" s="159">
        <v>7.2</v>
      </c>
      <c r="K557" s="161"/>
      <c r="L557" s="159">
        <v>525.6</v>
      </c>
      <c r="M557" s="160">
        <v>525.6</v>
      </c>
      <c r="N557" s="145"/>
      <c r="O557" s="156" t="s">
        <v>135</v>
      </c>
      <c r="P557" s="144" t="s">
        <v>2478</v>
      </c>
      <c r="Q557" s="147"/>
      <c r="R557" s="146"/>
      <c r="S557" s="157"/>
      <c r="T557" s="144" t="s">
        <v>29</v>
      </c>
      <c r="U557" s="150" t="s">
        <v>17</v>
      </c>
      <c r="V557" s="146">
        <v>2008</v>
      </c>
      <c r="W557" s="148" t="s">
        <v>3496</v>
      </c>
      <c r="X557" s="149">
        <v>45689</v>
      </c>
      <c r="Y557" s="165" t="s">
        <v>2520</v>
      </c>
    </row>
    <row r="558" spans="1:25">
      <c r="A558" s="163" t="s">
        <v>7</v>
      </c>
      <c r="B558" s="144" t="s">
        <v>2463</v>
      </c>
      <c r="C558" s="164" t="s">
        <v>3497</v>
      </c>
      <c r="D558" s="144" t="s">
        <v>3498</v>
      </c>
      <c r="E558" s="150" t="s">
        <v>2466</v>
      </c>
      <c r="F558" s="144" t="s">
        <v>2467</v>
      </c>
      <c r="G558" s="166"/>
      <c r="H558" s="151">
        <v>1</v>
      </c>
      <c r="I558" s="160"/>
      <c r="J558" s="159">
        <v>500</v>
      </c>
      <c r="K558" s="161"/>
      <c r="L558" s="159">
        <v>500</v>
      </c>
      <c r="M558" s="160">
        <v>500</v>
      </c>
      <c r="N558" s="145">
        <v>500</v>
      </c>
      <c r="O558" s="156" t="s">
        <v>135</v>
      </c>
      <c r="P558" s="144" t="s">
        <v>2468</v>
      </c>
      <c r="Q558" s="147"/>
      <c r="R558" s="146"/>
      <c r="S558" s="157"/>
      <c r="T558" s="144" t="s">
        <v>29</v>
      </c>
      <c r="U558" s="150" t="s">
        <v>20</v>
      </c>
      <c r="V558" s="146">
        <v>2689</v>
      </c>
      <c r="W558" s="148" t="s">
        <v>3499</v>
      </c>
      <c r="X558" s="149">
        <v>45689</v>
      </c>
      <c r="Y558" s="165" t="s">
        <v>2612</v>
      </c>
    </row>
    <row r="559" spans="1:25">
      <c r="A559" s="163" t="s">
        <v>7</v>
      </c>
      <c r="B559" s="144" t="s">
        <v>163</v>
      </c>
      <c r="C559" s="164" t="s">
        <v>2127</v>
      </c>
      <c r="D559" s="144" t="s">
        <v>3500</v>
      </c>
      <c r="E559" s="150" t="s">
        <v>2476</v>
      </c>
      <c r="F559" s="144" t="s">
        <v>2477</v>
      </c>
      <c r="G559" s="166" t="s">
        <v>3501</v>
      </c>
      <c r="H559" s="151">
        <v>4</v>
      </c>
      <c r="I559" s="160">
        <v>2.5</v>
      </c>
      <c r="J559" s="159">
        <v>2.5</v>
      </c>
      <c r="K559" s="161">
        <v>10</v>
      </c>
      <c r="L559" s="159">
        <v>10</v>
      </c>
      <c r="M559" s="160">
        <v>10</v>
      </c>
      <c r="N559" s="145"/>
      <c r="O559" s="156" t="s">
        <v>166</v>
      </c>
      <c r="P559" s="144" t="s">
        <v>2478</v>
      </c>
      <c r="Q559" s="147"/>
      <c r="R559" s="146">
        <v>2100</v>
      </c>
      <c r="S559" s="157"/>
      <c r="T559" s="144" t="s">
        <v>25</v>
      </c>
      <c r="U559" s="150" t="s">
        <v>2479</v>
      </c>
      <c r="V559" s="146">
        <v>1432</v>
      </c>
      <c r="W559" s="148"/>
      <c r="X559" s="149">
        <v>45689</v>
      </c>
      <c r="Y559" s="165" t="s">
        <v>2538</v>
      </c>
    </row>
    <row r="560" spans="1:25">
      <c r="A560" s="163" t="s">
        <v>7</v>
      </c>
      <c r="B560" s="144" t="s">
        <v>163</v>
      </c>
      <c r="C560" s="164" t="s">
        <v>2310</v>
      </c>
      <c r="D560" s="144" t="s">
        <v>3500</v>
      </c>
      <c r="E560" s="150" t="s">
        <v>2485</v>
      </c>
      <c r="F560" s="144" t="s">
        <v>2486</v>
      </c>
      <c r="G560" s="166" t="s">
        <v>3502</v>
      </c>
      <c r="H560" s="151">
        <v>17</v>
      </c>
      <c r="I560" s="160">
        <v>1.5</v>
      </c>
      <c r="J560" s="159">
        <v>1.5</v>
      </c>
      <c r="K560" s="161">
        <v>25.5</v>
      </c>
      <c r="L560" s="159">
        <v>25.5</v>
      </c>
      <c r="M560" s="160">
        <v>25.5</v>
      </c>
      <c r="N560" s="145"/>
      <c r="O560" s="156" t="s">
        <v>166</v>
      </c>
      <c r="P560" s="144" t="s">
        <v>2478</v>
      </c>
      <c r="Q560" s="147"/>
      <c r="R560" s="146">
        <v>2100</v>
      </c>
      <c r="S560" s="157"/>
      <c r="T560" s="144" t="s">
        <v>25</v>
      </c>
      <c r="U560" s="150" t="s">
        <v>17</v>
      </c>
      <c r="V560" s="146">
        <v>1422</v>
      </c>
      <c r="W560" s="148"/>
      <c r="X560" s="149">
        <v>45689</v>
      </c>
      <c r="Y560" s="165" t="s">
        <v>2538</v>
      </c>
    </row>
    <row r="561" spans="1:25">
      <c r="A561" s="163" t="s">
        <v>7</v>
      </c>
      <c r="B561" s="144" t="s">
        <v>163</v>
      </c>
      <c r="C561" s="164" t="s">
        <v>2310</v>
      </c>
      <c r="D561" s="144" t="s">
        <v>3500</v>
      </c>
      <c r="E561" s="150" t="s">
        <v>2485</v>
      </c>
      <c r="F561" s="144" t="s">
        <v>2486</v>
      </c>
      <c r="G561" s="166" t="s">
        <v>3502</v>
      </c>
      <c r="H561" s="151">
        <v>56</v>
      </c>
      <c r="I561" s="160">
        <v>2.5</v>
      </c>
      <c r="J561" s="159">
        <v>2.5</v>
      </c>
      <c r="K561" s="161">
        <v>140</v>
      </c>
      <c r="L561" s="159">
        <v>140</v>
      </c>
      <c r="M561" s="160">
        <v>140</v>
      </c>
      <c r="N561" s="145"/>
      <c r="O561" s="156" t="s">
        <v>166</v>
      </c>
      <c r="P561" s="144" t="s">
        <v>2478</v>
      </c>
      <c r="Q561" s="147"/>
      <c r="R561" s="146">
        <v>2100</v>
      </c>
      <c r="S561" s="157"/>
      <c r="T561" s="144" t="s">
        <v>25</v>
      </c>
      <c r="U561" s="150" t="s">
        <v>17</v>
      </c>
      <c r="V561" s="146">
        <v>1422</v>
      </c>
      <c r="W561" s="148"/>
      <c r="X561" s="149">
        <v>45689</v>
      </c>
      <c r="Y561" s="165" t="s">
        <v>2538</v>
      </c>
    </row>
    <row r="562" spans="1:25">
      <c r="A562" s="163" t="s">
        <v>7</v>
      </c>
      <c r="B562" s="144" t="s">
        <v>163</v>
      </c>
      <c r="C562" s="164" t="s">
        <v>1371</v>
      </c>
      <c r="D562" s="144" t="s">
        <v>1372</v>
      </c>
      <c r="E562" s="150" t="s">
        <v>2485</v>
      </c>
      <c r="F562" s="144" t="s">
        <v>2486</v>
      </c>
      <c r="G562" s="166" t="s">
        <v>1373</v>
      </c>
      <c r="H562" s="151">
        <v>31</v>
      </c>
      <c r="I562" s="160">
        <v>3.57</v>
      </c>
      <c r="J562" s="159">
        <v>3.57</v>
      </c>
      <c r="K562" s="161">
        <v>110.67</v>
      </c>
      <c r="L562" s="159">
        <v>110.67</v>
      </c>
      <c r="M562" s="160">
        <v>110.67</v>
      </c>
      <c r="N562" s="145"/>
      <c r="O562" s="156" t="s">
        <v>166</v>
      </c>
      <c r="P562" s="144" t="s">
        <v>2478</v>
      </c>
      <c r="Q562" s="147">
        <v>45261</v>
      </c>
      <c r="R562" s="146">
        <v>2120</v>
      </c>
      <c r="S562" s="157"/>
      <c r="T562" s="144" t="s">
        <v>25</v>
      </c>
      <c r="U562" s="150" t="s">
        <v>17</v>
      </c>
      <c r="V562" s="146">
        <v>1588</v>
      </c>
      <c r="W562" s="148"/>
      <c r="X562" s="149">
        <v>45689</v>
      </c>
      <c r="Y562" s="165" t="s">
        <v>2538</v>
      </c>
    </row>
    <row r="563" spans="1:25">
      <c r="A563" s="163" t="s">
        <v>7</v>
      </c>
      <c r="B563" s="144" t="s">
        <v>2463</v>
      </c>
      <c r="C563" s="164" t="s">
        <v>3503</v>
      </c>
      <c r="D563" s="144" t="s">
        <v>3448</v>
      </c>
      <c r="E563" s="150" t="s">
        <v>2491</v>
      </c>
      <c r="F563" s="144" t="s">
        <v>2477</v>
      </c>
      <c r="G563" s="166"/>
      <c r="H563" s="151">
        <v>1</v>
      </c>
      <c r="I563" s="160"/>
      <c r="J563" s="159">
        <v>300</v>
      </c>
      <c r="K563" s="161"/>
      <c r="L563" s="159">
        <v>300</v>
      </c>
      <c r="M563" s="160">
        <v>300</v>
      </c>
      <c r="N563" s="145"/>
      <c r="O563" s="156" t="s">
        <v>135</v>
      </c>
      <c r="P563" s="144" t="s">
        <v>2478</v>
      </c>
      <c r="Q563" s="147"/>
      <c r="R563" s="146"/>
      <c r="S563" s="157"/>
      <c r="T563" s="144" t="s">
        <v>29</v>
      </c>
      <c r="U563" s="150" t="s">
        <v>2479</v>
      </c>
      <c r="V563" s="146">
        <v>2212</v>
      </c>
      <c r="W563" s="148" t="s">
        <v>3504</v>
      </c>
      <c r="X563" s="149">
        <v>45901</v>
      </c>
      <c r="Y563" s="165" t="s">
        <v>2620</v>
      </c>
    </row>
    <row r="564" spans="1:25">
      <c r="A564" s="163" t="s">
        <v>7</v>
      </c>
      <c r="B564" s="144" t="s">
        <v>2463</v>
      </c>
      <c r="C564" s="164" t="s">
        <v>3503</v>
      </c>
      <c r="D564" s="144" t="s">
        <v>3448</v>
      </c>
      <c r="E564" s="150" t="s">
        <v>2466</v>
      </c>
      <c r="F564" s="144" t="s">
        <v>2467</v>
      </c>
      <c r="G564" s="166"/>
      <c r="H564" s="151">
        <v>1</v>
      </c>
      <c r="I564" s="160"/>
      <c r="J564" s="159">
        <v>300</v>
      </c>
      <c r="K564" s="161"/>
      <c r="L564" s="159">
        <v>300</v>
      </c>
      <c r="M564" s="160">
        <v>300</v>
      </c>
      <c r="N564" s="145">
        <v>600</v>
      </c>
      <c r="O564" s="156" t="s">
        <v>135</v>
      </c>
      <c r="P564" s="144" t="s">
        <v>2468</v>
      </c>
      <c r="Q564" s="147"/>
      <c r="R564" s="146"/>
      <c r="S564" s="157"/>
      <c r="T564" s="144" t="s">
        <v>29</v>
      </c>
      <c r="U564" s="150" t="s">
        <v>20</v>
      </c>
      <c r="V564" s="146">
        <v>2212</v>
      </c>
      <c r="W564" s="148" t="s">
        <v>3504</v>
      </c>
      <c r="X564" s="149">
        <v>45901</v>
      </c>
      <c r="Y564" s="165" t="s">
        <v>2620</v>
      </c>
    </row>
    <row r="565" spans="1:25">
      <c r="A565" s="163" t="s">
        <v>7</v>
      </c>
      <c r="B565" s="144" t="s">
        <v>2463</v>
      </c>
      <c r="C565" s="164" t="s">
        <v>3505</v>
      </c>
      <c r="D565" s="144" t="s">
        <v>3506</v>
      </c>
      <c r="E565" s="150" t="s">
        <v>2466</v>
      </c>
      <c r="F565" s="144" t="s">
        <v>2467</v>
      </c>
      <c r="G565" s="166"/>
      <c r="H565" s="151">
        <v>1</v>
      </c>
      <c r="I565" s="160">
        <v>70</v>
      </c>
      <c r="J565" s="159">
        <v>70</v>
      </c>
      <c r="K565" s="161">
        <v>70</v>
      </c>
      <c r="L565" s="159">
        <v>70</v>
      </c>
      <c r="M565" s="160">
        <v>70</v>
      </c>
      <c r="N565" s="145">
        <v>0</v>
      </c>
      <c r="O565" s="156" t="s">
        <v>135</v>
      </c>
      <c r="P565" s="144" t="s">
        <v>2468</v>
      </c>
      <c r="Q565" s="147"/>
      <c r="R565" s="146"/>
      <c r="S565" s="157"/>
      <c r="T565" s="144" t="s">
        <v>29</v>
      </c>
      <c r="U565" s="150" t="s">
        <v>20</v>
      </c>
      <c r="V565" s="146">
        <v>2217</v>
      </c>
      <c r="W565" s="148" t="s">
        <v>3507</v>
      </c>
      <c r="X565" s="149">
        <v>45901</v>
      </c>
      <c r="Y565" s="165" t="s">
        <v>2740</v>
      </c>
    </row>
    <row r="566" spans="1:25">
      <c r="A566" s="163" t="s">
        <v>7</v>
      </c>
      <c r="B566" s="144" t="s">
        <v>2463</v>
      </c>
      <c r="C566" s="164" t="s">
        <v>3508</v>
      </c>
      <c r="D566" s="144" t="s">
        <v>3509</v>
      </c>
      <c r="E566" s="150" t="s">
        <v>2466</v>
      </c>
      <c r="F566" s="144" t="s">
        <v>2467</v>
      </c>
      <c r="G566" s="166"/>
      <c r="H566" s="151">
        <v>25</v>
      </c>
      <c r="I566" s="160">
        <v>4</v>
      </c>
      <c r="J566" s="159">
        <v>4</v>
      </c>
      <c r="K566" s="161">
        <v>100</v>
      </c>
      <c r="L566" s="159">
        <v>100</v>
      </c>
      <c r="M566" s="160">
        <v>100</v>
      </c>
      <c r="N566" s="145">
        <v>0</v>
      </c>
      <c r="O566" s="156" t="s">
        <v>135</v>
      </c>
      <c r="P566" s="144" t="s">
        <v>2468</v>
      </c>
      <c r="Q566" s="147"/>
      <c r="R566" s="146"/>
      <c r="S566" s="157"/>
      <c r="T566" s="144" t="s">
        <v>29</v>
      </c>
      <c r="U566" s="150" t="s">
        <v>20</v>
      </c>
      <c r="V566" s="146">
        <v>2713</v>
      </c>
      <c r="W566" s="148" t="s">
        <v>3510</v>
      </c>
      <c r="X566" s="149">
        <v>45901</v>
      </c>
      <c r="Y566" s="165" t="s">
        <v>2708</v>
      </c>
    </row>
    <row r="567" spans="1:25">
      <c r="A567" s="163" t="s">
        <v>7</v>
      </c>
      <c r="B567" s="144" t="s">
        <v>163</v>
      </c>
      <c r="C567" s="164" t="s">
        <v>1638</v>
      </c>
      <c r="D567" s="144" t="s">
        <v>3511</v>
      </c>
      <c r="E567" s="150" t="s">
        <v>2491</v>
      </c>
      <c r="F567" s="144" t="s">
        <v>2477</v>
      </c>
      <c r="G567" s="166" t="s">
        <v>3512</v>
      </c>
      <c r="H567" s="151">
        <v>1</v>
      </c>
      <c r="I567" s="160">
        <v>0</v>
      </c>
      <c r="J567" s="159">
        <v>110</v>
      </c>
      <c r="K567" s="161">
        <v>0</v>
      </c>
      <c r="L567" s="159">
        <v>110</v>
      </c>
      <c r="M567" s="160">
        <v>110</v>
      </c>
      <c r="N567" s="145"/>
      <c r="O567" s="156" t="s">
        <v>166</v>
      </c>
      <c r="P567" s="144" t="s">
        <v>2478</v>
      </c>
      <c r="Q567" s="147">
        <v>44470</v>
      </c>
      <c r="R567" s="146">
        <v>2056</v>
      </c>
      <c r="S567" s="157"/>
      <c r="T567" s="144" t="s">
        <v>25</v>
      </c>
      <c r="U567" s="150" t="s">
        <v>2479</v>
      </c>
      <c r="V567" s="146">
        <v>1585</v>
      </c>
      <c r="W567" s="148"/>
      <c r="X567" s="149">
        <v>45689</v>
      </c>
      <c r="Y567" s="165" t="s">
        <v>2500</v>
      </c>
    </row>
    <row r="568" spans="1:25">
      <c r="A568" s="163" t="s">
        <v>7</v>
      </c>
      <c r="B568" s="144" t="s">
        <v>2463</v>
      </c>
      <c r="C568" s="164" t="s">
        <v>3513</v>
      </c>
      <c r="D568" s="144" t="s">
        <v>3514</v>
      </c>
      <c r="E568" s="150" t="s">
        <v>2476</v>
      </c>
      <c r="F568" s="144" t="s">
        <v>2477</v>
      </c>
      <c r="G568" s="166"/>
      <c r="H568" s="151">
        <v>70</v>
      </c>
      <c r="I568" s="160">
        <v>3.4</v>
      </c>
      <c r="J568" s="159">
        <v>4.2</v>
      </c>
      <c r="K568" s="161">
        <v>238</v>
      </c>
      <c r="L568" s="159">
        <v>294</v>
      </c>
      <c r="M568" s="160" t="s">
        <v>3515</v>
      </c>
      <c r="N568" s="145"/>
      <c r="O568" s="156" t="s">
        <v>135</v>
      </c>
      <c r="P568" s="144" t="s">
        <v>2478</v>
      </c>
      <c r="Q568" s="147"/>
      <c r="R568" s="146"/>
      <c r="S568" s="157"/>
      <c r="T568" s="144" t="s">
        <v>29</v>
      </c>
      <c r="U568" s="150" t="s">
        <v>2479</v>
      </c>
      <c r="V568" s="146">
        <v>2186</v>
      </c>
      <c r="W568" s="148" t="s">
        <v>3516</v>
      </c>
      <c r="X568" s="149">
        <v>45901</v>
      </c>
      <c r="Y568" s="165" t="s">
        <v>3517</v>
      </c>
    </row>
    <row r="569" spans="1:25">
      <c r="A569" s="163" t="s">
        <v>7</v>
      </c>
      <c r="B569" s="144" t="s">
        <v>2463</v>
      </c>
      <c r="C569" s="164" t="s">
        <v>3513</v>
      </c>
      <c r="D569" s="144" t="s">
        <v>3514</v>
      </c>
      <c r="E569" s="150" t="s">
        <v>2466</v>
      </c>
      <c r="F569" s="144" t="s">
        <v>2467</v>
      </c>
      <c r="G569" s="166"/>
      <c r="H569" s="151">
        <v>1</v>
      </c>
      <c r="I569" s="160">
        <v>200</v>
      </c>
      <c r="J569" s="159">
        <v>200</v>
      </c>
      <c r="K569" s="161">
        <v>200</v>
      </c>
      <c r="L569" s="159">
        <v>200</v>
      </c>
      <c r="M569" s="160">
        <v>200</v>
      </c>
      <c r="N569" s="145">
        <v>0</v>
      </c>
      <c r="O569" s="156" t="s">
        <v>135</v>
      </c>
      <c r="P569" s="144" t="s">
        <v>2468</v>
      </c>
      <c r="Q569" s="147"/>
      <c r="R569" s="146"/>
      <c r="S569" s="157"/>
      <c r="T569" s="144" t="s">
        <v>29</v>
      </c>
      <c r="U569" s="150" t="s">
        <v>20</v>
      </c>
      <c r="V569" s="146">
        <v>2186</v>
      </c>
      <c r="W569" s="148" t="s">
        <v>3516</v>
      </c>
      <c r="X569" s="149">
        <v>45901</v>
      </c>
      <c r="Y569" s="165" t="s">
        <v>3517</v>
      </c>
    </row>
    <row r="570" spans="1:25">
      <c r="A570" s="163" t="s">
        <v>7</v>
      </c>
      <c r="B570" s="144" t="s">
        <v>163</v>
      </c>
      <c r="C570" s="164" t="s">
        <v>3518</v>
      </c>
      <c r="D570" s="144" t="s">
        <v>3519</v>
      </c>
      <c r="E570" s="150" t="s">
        <v>2485</v>
      </c>
      <c r="F570" s="144" t="s">
        <v>2486</v>
      </c>
      <c r="G570" s="166" t="s">
        <v>3520</v>
      </c>
      <c r="H570" s="151">
        <v>11</v>
      </c>
      <c r="I570" s="160"/>
      <c r="J570" s="159">
        <v>1.5</v>
      </c>
      <c r="K570" s="161"/>
      <c r="L570" s="159">
        <v>16.5</v>
      </c>
      <c r="M570" s="160">
        <v>16.5</v>
      </c>
      <c r="N570" s="145"/>
      <c r="O570" s="156" t="s">
        <v>166</v>
      </c>
      <c r="P570" s="144" t="s">
        <v>2478</v>
      </c>
      <c r="Q570" s="147"/>
      <c r="R570" s="146">
        <v>2036</v>
      </c>
      <c r="S570" s="157"/>
      <c r="T570" s="144" t="s">
        <v>25</v>
      </c>
      <c r="U570" s="150" t="s">
        <v>17</v>
      </c>
      <c r="V570" s="146">
        <v>1082</v>
      </c>
      <c r="W570" s="148"/>
      <c r="X570" s="149">
        <v>45901</v>
      </c>
      <c r="Y570" s="165" t="s">
        <v>2589</v>
      </c>
    </row>
    <row r="571" spans="1:25">
      <c r="A571" s="163" t="s">
        <v>7</v>
      </c>
      <c r="B571" s="144" t="s">
        <v>163</v>
      </c>
      <c r="C571" s="164" t="s">
        <v>3518</v>
      </c>
      <c r="D571" s="144" t="s">
        <v>3519</v>
      </c>
      <c r="E571" s="150" t="s">
        <v>2485</v>
      </c>
      <c r="F571" s="144" t="s">
        <v>2486</v>
      </c>
      <c r="G571" s="166" t="s">
        <v>3520</v>
      </c>
      <c r="H571" s="151">
        <v>20</v>
      </c>
      <c r="I571" s="160"/>
      <c r="J571" s="159">
        <v>1.5</v>
      </c>
      <c r="K571" s="161"/>
      <c r="L571" s="159">
        <v>30</v>
      </c>
      <c r="M571" s="160">
        <v>30</v>
      </c>
      <c r="N571" s="145"/>
      <c r="O571" s="156" t="s">
        <v>166</v>
      </c>
      <c r="P571" s="144" t="s">
        <v>2478</v>
      </c>
      <c r="Q571" s="147"/>
      <c r="R571" s="146">
        <v>2036</v>
      </c>
      <c r="S571" s="157"/>
      <c r="T571" s="144" t="s">
        <v>25</v>
      </c>
      <c r="U571" s="150" t="s">
        <v>17</v>
      </c>
      <c r="V571" s="146">
        <v>1082</v>
      </c>
      <c r="W571" s="148"/>
      <c r="X571" s="149">
        <v>45901</v>
      </c>
      <c r="Y571" s="165" t="s">
        <v>2589</v>
      </c>
    </row>
    <row r="572" spans="1:25">
      <c r="A572" s="163" t="s">
        <v>309</v>
      </c>
      <c r="B572" s="144" t="s">
        <v>2463</v>
      </c>
      <c r="C572" s="164" t="s">
        <v>3521</v>
      </c>
      <c r="D572" s="144" t="s">
        <v>3522</v>
      </c>
      <c r="E572" s="150" t="s">
        <v>2466</v>
      </c>
      <c r="F572" s="144" t="s">
        <v>2467</v>
      </c>
      <c r="G572" s="166"/>
      <c r="H572" s="151">
        <v>1</v>
      </c>
      <c r="I572" s="160">
        <v>100</v>
      </c>
      <c r="J572" s="159">
        <v>100</v>
      </c>
      <c r="K572" s="161">
        <v>100</v>
      </c>
      <c r="L572" s="159">
        <v>100</v>
      </c>
      <c r="M572" s="160">
        <v>100</v>
      </c>
      <c r="N572" s="145">
        <v>400</v>
      </c>
      <c r="O572" s="156" t="s">
        <v>135</v>
      </c>
      <c r="P572" s="144" t="s">
        <v>2468</v>
      </c>
      <c r="Q572" s="147"/>
      <c r="R572" s="146"/>
      <c r="S572" s="157"/>
      <c r="T572" s="144" t="s">
        <v>29</v>
      </c>
      <c r="U572" s="150" t="s">
        <v>20</v>
      </c>
      <c r="V572" s="146">
        <v>3080</v>
      </c>
      <c r="W572" s="148"/>
      <c r="X572" s="149">
        <v>45901</v>
      </c>
      <c r="Y572" s="165" t="s">
        <v>2668</v>
      </c>
    </row>
    <row r="573" spans="1:25">
      <c r="A573" s="163" t="s">
        <v>309</v>
      </c>
      <c r="B573" s="144" t="s">
        <v>2463</v>
      </c>
      <c r="C573" s="164" t="s">
        <v>369</v>
      </c>
      <c r="D573" s="144" t="s">
        <v>370</v>
      </c>
      <c r="E573" s="150" t="s">
        <v>2491</v>
      </c>
      <c r="F573" s="144" t="s">
        <v>2477</v>
      </c>
      <c r="G573" s="166"/>
      <c r="H573" s="151">
        <v>1</v>
      </c>
      <c r="I573" s="160">
        <v>94</v>
      </c>
      <c r="J573" s="159">
        <v>94</v>
      </c>
      <c r="K573" s="161">
        <v>94</v>
      </c>
      <c r="L573" s="159">
        <v>94</v>
      </c>
      <c r="M573" s="160">
        <v>94</v>
      </c>
      <c r="N573" s="145"/>
      <c r="O573" s="156" t="s">
        <v>27</v>
      </c>
      <c r="P573" s="144" t="s">
        <v>2478</v>
      </c>
      <c r="Q573" s="147">
        <v>46204</v>
      </c>
      <c r="R573" s="146">
        <v>2061</v>
      </c>
      <c r="S573" s="157"/>
      <c r="T573" s="144" t="s">
        <v>27</v>
      </c>
      <c r="U573" s="150" t="s">
        <v>2479</v>
      </c>
      <c r="V573" s="146">
        <v>2422</v>
      </c>
      <c r="W573" s="148"/>
      <c r="X573" s="149">
        <v>45901</v>
      </c>
      <c r="Y573" s="165" t="s">
        <v>2668</v>
      </c>
    </row>
    <row r="574" spans="1:25">
      <c r="A574" s="163" t="s">
        <v>309</v>
      </c>
      <c r="B574" s="144" t="s">
        <v>2463</v>
      </c>
      <c r="C574" s="164" t="s">
        <v>3523</v>
      </c>
      <c r="D574" s="144" t="s">
        <v>3524</v>
      </c>
      <c r="E574" s="150" t="s">
        <v>2467</v>
      </c>
      <c r="F574" s="144" t="s">
        <v>2467</v>
      </c>
      <c r="G574" s="166"/>
      <c r="H574" s="151">
        <v>1</v>
      </c>
      <c r="I574" s="160">
        <v>1186</v>
      </c>
      <c r="J574" s="159">
        <v>1186</v>
      </c>
      <c r="K574" s="161">
        <v>1186</v>
      </c>
      <c r="L574" s="159">
        <v>1186</v>
      </c>
      <c r="M574" s="160">
        <v>1186</v>
      </c>
      <c r="N574" s="145"/>
      <c r="O574" s="156" t="s">
        <v>135</v>
      </c>
      <c r="P574" s="144" t="s">
        <v>2468</v>
      </c>
      <c r="Q574" s="147"/>
      <c r="R574" s="146"/>
      <c r="S574" s="157"/>
      <c r="T574" s="144" t="s">
        <v>29</v>
      </c>
      <c r="U574" s="150" t="s">
        <v>21</v>
      </c>
      <c r="V574" s="146">
        <v>2565</v>
      </c>
      <c r="W574" s="148" t="s">
        <v>2899</v>
      </c>
      <c r="X574" s="149">
        <v>45901</v>
      </c>
      <c r="Y574" s="165" t="s">
        <v>2722</v>
      </c>
    </row>
    <row r="575" spans="1:25">
      <c r="A575" s="163" t="s">
        <v>7</v>
      </c>
      <c r="B575" s="144" t="s">
        <v>163</v>
      </c>
      <c r="C575" s="164" t="s">
        <v>3525</v>
      </c>
      <c r="D575" s="144" t="s">
        <v>218</v>
      </c>
      <c r="E575" s="150" t="s">
        <v>2593</v>
      </c>
      <c r="F575" s="144" t="s">
        <v>2482</v>
      </c>
      <c r="G575" s="166" t="s">
        <v>3526</v>
      </c>
      <c r="H575" s="151">
        <v>2</v>
      </c>
      <c r="I575" s="160"/>
      <c r="J575" s="159">
        <v>30</v>
      </c>
      <c r="K575" s="161"/>
      <c r="L575" s="159">
        <v>60</v>
      </c>
      <c r="M575" s="160">
        <v>60</v>
      </c>
      <c r="N575" s="145"/>
      <c r="O575" s="156" t="s">
        <v>166</v>
      </c>
      <c r="P575" s="144" t="s">
        <v>2468</v>
      </c>
      <c r="Q575" s="147"/>
      <c r="R575" s="146">
        <v>2070</v>
      </c>
      <c r="S575" s="157"/>
      <c r="T575" s="144" t="s">
        <v>25</v>
      </c>
      <c r="U575" s="150" t="s">
        <v>18</v>
      </c>
      <c r="V575" s="146">
        <v>1083</v>
      </c>
      <c r="W575" s="148"/>
      <c r="X575" s="149">
        <v>45689</v>
      </c>
      <c r="Y575" s="165" t="s">
        <v>2500</v>
      </c>
    </row>
    <row r="576" spans="1:25">
      <c r="A576" s="163" t="s">
        <v>309</v>
      </c>
      <c r="B576" s="144" t="s">
        <v>2463</v>
      </c>
      <c r="C576" s="164" t="s">
        <v>3527</v>
      </c>
      <c r="D576" s="144" t="s">
        <v>540</v>
      </c>
      <c r="E576" s="150" t="s">
        <v>2491</v>
      </c>
      <c r="F576" s="144" t="s">
        <v>2477</v>
      </c>
      <c r="G576" s="166"/>
      <c r="H576" s="151">
        <v>1</v>
      </c>
      <c r="I576" s="160"/>
      <c r="J576" s="159">
        <v>300</v>
      </c>
      <c r="K576" s="161"/>
      <c r="L576" s="159">
        <v>300</v>
      </c>
      <c r="M576" s="160">
        <v>300</v>
      </c>
      <c r="N576" s="145"/>
      <c r="O576" s="156" t="s">
        <v>135</v>
      </c>
      <c r="P576" s="144" t="s">
        <v>2478</v>
      </c>
      <c r="Q576" s="147"/>
      <c r="R576" s="146"/>
      <c r="S576" s="157"/>
      <c r="T576" s="144" t="s">
        <v>29</v>
      </c>
      <c r="U576" s="150" t="s">
        <v>2479</v>
      </c>
      <c r="V576" s="146">
        <v>3068</v>
      </c>
      <c r="W576" s="148" t="s">
        <v>3528</v>
      </c>
      <c r="X576" s="149">
        <v>45901</v>
      </c>
      <c r="Y576" s="165" t="s">
        <v>3006</v>
      </c>
    </row>
    <row r="577" spans="1:25">
      <c r="A577" s="163" t="s">
        <v>309</v>
      </c>
      <c r="B577" s="144" t="s">
        <v>2463</v>
      </c>
      <c r="C577" s="164" t="s">
        <v>3527</v>
      </c>
      <c r="D577" s="144" t="s">
        <v>540</v>
      </c>
      <c r="E577" s="150" t="s">
        <v>2466</v>
      </c>
      <c r="F577" s="144" t="s">
        <v>2477</v>
      </c>
      <c r="G577" s="166"/>
      <c r="H577" s="151">
        <v>1</v>
      </c>
      <c r="I577" s="160"/>
      <c r="J577" s="159">
        <v>300</v>
      </c>
      <c r="K577" s="161"/>
      <c r="L577" s="159">
        <v>300</v>
      </c>
      <c r="M577" s="160">
        <v>300</v>
      </c>
      <c r="N577" s="145">
        <v>1200</v>
      </c>
      <c r="O577" s="156" t="s">
        <v>135</v>
      </c>
      <c r="P577" s="144" t="s">
        <v>2468</v>
      </c>
      <c r="Q577" s="147"/>
      <c r="R577" s="146"/>
      <c r="S577" s="157"/>
      <c r="T577" s="144" t="s">
        <v>29</v>
      </c>
      <c r="U577" s="150" t="s">
        <v>20</v>
      </c>
      <c r="V577" s="146">
        <v>3068</v>
      </c>
      <c r="W577" s="148" t="s">
        <v>3528</v>
      </c>
      <c r="X577" s="149">
        <v>45901</v>
      </c>
      <c r="Y577" s="165" t="s">
        <v>3006</v>
      </c>
    </row>
    <row r="578" spans="1:25">
      <c r="A578" s="163" t="s">
        <v>423</v>
      </c>
      <c r="B578" s="144" t="s">
        <v>163</v>
      </c>
      <c r="C578" s="164" t="s">
        <v>3529</v>
      </c>
      <c r="D578" s="144" t="s">
        <v>1017</v>
      </c>
      <c r="E578" s="150" t="s">
        <v>2506</v>
      </c>
      <c r="F578" s="144" t="s">
        <v>3046</v>
      </c>
      <c r="G578" s="166" t="s">
        <v>3530</v>
      </c>
      <c r="H578" s="151">
        <v>8</v>
      </c>
      <c r="I578" s="160"/>
      <c r="J578" s="159">
        <v>1.1200000000000001</v>
      </c>
      <c r="K578" s="161"/>
      <c r="L578" s="159">
        <v>8.98</v>
      </c>
      <c r="M578" s="160">
        <v>8.98</v>
      </c>
      <c r="N578" s="145"/>
      <c r="O578" s="156" t="s">
        <v>166</v>
      </c>
      <c r="P578" s="144" t="s">
        <v>2480</v>
      </c>
      <c r="Q578" s="147"/>
      <c r="R578" s="146">
        <v>2044</v>
      </c>
      <c r="S578" s="157"/>
      <c r="T578" s="144" t="s">
        <v>25</v>
      </c>
      <c r="U578" s="150" t="s">
        <v>19</v>
      </c>
      <c r="V578" s="146">
        <v>1084</v>
      </c>
      <c r="W578" s="148"/>
      <c r="X578" s="149">
        <v>45566</v>
      </c>
      <c r="Y578" s="165" t="s">
        <v>3156</v>
      </c>
    </row>
    <row r="579" spans="1:25">
      <c r="A579" s="163" t="s">
        <v>380</v>
      </c>
      <c r="B579" s="144" t="s">
        <v>163</v>
      </c>
      <c r="C579" s="164" t="s">
        <v>2416</v>
      </c>
      <c r="D579" s="144" t="s">
        <v>3531</v>
      </c>
      <c r="E579" s="150" t="s">
        <v>2485</v>
      </c>
      <c r="F579" s="144" t="s">
        <v>2486</v>
      </c>
      <c r="G579" s="166" t="s">
        <v>3532</v>
      </c>
      <c r="H579" s="151">
        <v>63</v>
      </c>
      <c r="I579" s="160">
        <v>2.1</v>
      </c>
      <c r="J579" s="159">
        <v>2.1</v>
      </c>
      <c r="K579" s="161">
        <v>132.30000000000001</v>
      </c>
      <c r="L579" s="159">
        <v>132.30000000000001</v>
      </c>
      <c r="M579" s="160">
        <v>132.30000000000001</v>
      </c>
      <c r="N579" s="145"/>
      <c r="O579" s="156" t="s">
        <v>166</v>
      </c>
      <c r="P579" s="144" t="s">
        <v>2478</v>
      </c>
      <c r="Q579" s="147"/>
      <c r="R579" s="146">
        <v>2036</v>
      </c>
      <c r="S579" s="157"/>
      <c r="T579" s="144" t="s">
        <v>25</v>
      </c>
      <c r="U579" s="150" t="s">
        <v>17</v>
      </c>
      <c r="V579" s="146">
        <v>1311</v>
      </c>
      <c r="W579" s="148"/>
      <c r="X579" s="149">
        <v>45689</v>
      </c>
      <c r="Y579" s="165" t="s">
        <v>2609</v>
      </c>
    </row>
    <row r="580" spans="1:25">
      <c r="A580" s="163" t="s">
        <v>380</v>
      </c>
      <c r="B580" s="144" t="s">
        <v>163</v>
      </c>
      <c r="C580" s="164" t="s">
        <v>3533</v>
      </c>
      <c r="D580" s="144" t="s">
        <v>3534</v>
      </c>
      <c r="E580" s="150" t="s">
        <v>2485</v>
      </c>
      <c r="F580" s="144" t="s">
        <v>2486</v>
      </c>
      <c r="G580" s="166" t="s">
        <v>3535</v>
      </c>
      <c r="H580" s="151">
        <v>25</v>
      </c>
      <c r="I580" s="160"/>
      <c r="J580" s="159">
        <v>2.1</v>
      </c>
      <c r="K580" s="161"/>
      <c r="L580" s="159">
        <v>52.5</v>
      </c>
      <c r="M580" s="160">
        <v>52.5</v>
      </c>
      <c r="N580" s="145"/>
      <c r="O580" s="156" t="s">
        <v>166</v>
      </c>
      <c r="P580" s="144" t="s">
        <v>2478</v>
      </c>
      <c r="Q580" s="147"/>
      <c r="R580" s="146">
        <v>2036</v>
      </c>
      <c r="S580" s="157"/>
      <c r="T580" s="144" t="s">
        <v>25</v>
      </c>
      <c r="U580" s="150" t="s">
        <v>17</v>
      </c>
      <c r="V580" s="146">
        <v>1085</v>
      </c>
      <c r="W580" s="148"/>
      <c r="X580" s="149">
        <v>45689</v>
      </c>
      <c r="Y580" s="165" t="s">
        <v>2558</v>
      </c>
    </row>
    <row r="581" spans="1:25">
      <c r="A581" s="163" t="s">
        <v>380</v>
      </c>
      <c r="B581" s="144" t="s">
        <v>2463</v>
      </c>
      <c r="C581" s="164" t="s">
        <v>3536</v>
      </c>
      <c r="D581" s="144" t="s">
        <v>556</v>
      </c>
      <c r="E581" s="150" t="s">
        <v>2466</v>
      </c>
      <c r="F581" s="144" t="s">
        <v>2467</v>
      </c>
      <c r="G581" s="166"/>
      <c r="H581" s="151">
        <v>1</v>
      </c>
      <c r="I581" s="160"/>
      <c r="J581" s="159">
        <v>50</v>
      </c>
      <c r="K581" s="161"/>
      <c r="L581" s="159">
        <v>50</v>
      </c>
      <c r="M581" s="160">
        <v>50</v>
      </c>
      <c r="N581" s="145">
        <v>200</v>
      </c>
      <c r="O581" s="156" t="s">
        <v>135</v>
      </c>
      <c r="P581" s="144" t="s">
        <v>2468</v>
      </c>
      <c r="Q581" s="147"/>
      <c r="R581" s="146"/>
      <c r="S581" s="157"/>
      <c r="T581" s="144" t="s">
        <v>29</v>
      </c>
      <c r="U581" s="150" t="s">
        <v>20</v>
      </c>
      <c r="V581" s="146">
        <v>2685</v>
      </c>
      <c r="W581" s="148"/>
      <c r="X581" s="149">
        <v>45901</v>
      </c>
      <c r="Y581" s="165" t="s">
        <v>3032</v>
      </c>
    </row>
    <row r="582" spans="1:25">
      <c r="A582" s="163" t="s">
        <v>380</v>
      </c>
      <c r="B582" s="144" t="s">
        <v>163</v>
      </c>
      <c r="C582" s="164" t="s">
        <v>555</v>
      </c>
      <c r="D582" s="144" t="s">
        <v>556</v>
      </c>
      <c r="E582" s="150" t="s">
        <v>2555</v>
      </c>
      <c r="F582" s="144" t="s">
        <v>2556</v>
      </c>
      <c r="G582" s="166" t="s">
        <v>557</v>
      </c>
      <c r="H582" s="151">
        <v>1</v>
      </c>
      <c r="I582" s="160"/>
      <c r="J582" s="159">
        <v>17</v>
      </c>
      <c r="K582" s="161"/>
      <c r="L582" s="159">
        <v>17</v>
      </c>
      <c r="M582" s="160">
        <v>17</v>
      </c>
      <c r="N582" s="145"/>
      <c r="O582" s="156" t="s">
        <v>166</v>
      </c>
      <c r="P582" s="144" t="s">
        <v>2468</v>
      </c>
      <c r="Q582" s="147"/>
      <c r="R582" s="146">
        <v>2036</v>
      </c>
      <c r="S582" s="157"/>
      <c r="T582" s="144" t="s">
        <v>25</v>
      </c>
      <c r="U582" s="150" t="s">
        <v>14</v>
      </c>
      <c r="V582" s="146">
        <v>1086</v>
      </c>
      <c r="W582" s="148"/>
      <c r="X582" s="149">
        <v>45689</v>
      </c>
      <c r="Y582" s="165" t="s">
        <v>3468</v>
      </c>
    </row>
    <row r="583" spans="1:25">
      <c r="A583" s="163" t="s">
        <v>380</v>
      </c>
      <c r="B583" s="144" t="s">
        <v>163</v>
      </c>
      <c r="C583" s="164" t="s">
        <v>555</v>
      </c>
      <c r="D583" s="144" t="s">
        <v>556</v>
      </c>
      <c r="E583" s="150" t="s">
        <v>2555</v>
      </c>
      <c r="F583" s="144" t="s">
        <v>2556</v>
      </c>
      <c r="G583" s="166" t="s">
        <v>557</v>
      </c>
      <c r="H583" s="151">
        <v>1</v>
      </c>
      <c r="I583" s="160"/>
      <c r="J583" s="159">
        <v>18</v>
      </c>
      <c r="K583" s="161"/>
      <c r="L583" s="159">
        <v>18</v>
      </c>
      <c r="M583" s="160">
        <v>18</v>
      </c>
      <c r="N583" s="145"/>
      <c r="O583" s="156" t="s">
        <v>166</v>
      </c>
      <c r="P583" s="144" t="s">
        <v>2468</v>
      </c>
      <c r="Q583" s="147"/>
      <c r="R583" s="146">
        <v>2040</v>
      </c>
      <c r="S583" s="157"/>
      <c r="T583" s="144" t="s">
        <v>25</v>
      </c>
      <c r="U583" s="150" t="s">
        <v>14</v>
      </c>
      <c r="V583" s="146">
        <v>1086</v>
      </c>
      <c r="W583" s="148"/>
      <c r="X583" s="149">
        <v>45689</v>
      </c>
      <c r="Y583" s="165" t="s">
        <v>3468</v>
      </c>
    </row>
    <row r="584" spans="1:25">
      <c r="A584" s="163" t="s">
        <v>380</v>
      </c>
      <c r="B584" s="144" t="s">
        <v>163</v>
      </c>
      <c r="C584" s="164" t="s">
        <v>555</v>
      </c>
      <c r="D584" s="144" t="s">
        <v>556</v>
      </c>
      <c r="E584" s="150" t="s">
        <v>2555</v>
      </c>
      <c r="F584" s="144" t="s">
        <v>2556</v>
      </c>
      <c r="G584" s="166" t="s">
        <v>557</v>
      </c>
      <c r="H584" s="151">
        <v>1</v>
      </c>
      <c r="I584" s="160"/>
      <c r="J584" s="159">
        <v>18.899999999999999</v>
      </c>
      <c r="K584" s="161"/>
      <c r="L584" s="159">
        <v>18.899999999999999</v>
      </c>
      <c r="M584" s="160">
        <v>18.899999999999999</v>
      </c>
      <c r="N584" s="145"/>
      <c r="O584" s="156" t="s">
        <v>166</v>
      </c>
      <c r="P584" s="144" t="s">
        <v>2468</v>
      </c>
      <c r="Q584" s="147"/>
      <c r="R584" s="146">
        <v>2036</v>
      </c>
      <c r="S584" s="157"/>
      <c r="T584" s="144" t="s">
        <v>25</v>
      </c>
      <c r="U584" s="150" t="s">
        <v>14</v>
      </c>
      <c r="V584" s="146">
        <v>1086</v>
      </c>
      <c r="W584" s="148"/>
      <c r="X584" s="149">
        <v>45689</v>
      </c>
      <c r="Y584" s="165" t="s">
        <v>3468</v>
      </c>
    </row>
    <row r="585" spans="1:25">
      <c r="A585" s="163" t="s">
        <v>380</v>
      </c>
      <c r="B585" s="144" t="s">
        <v>163</v>
      </c>
      <c r="C585" s="164" t="s">
        <v>555</v>
      </c>
      <c r="D585" s="144" t="s">
        <v>556</v>
      </c>
      <c r="E585" s="150" t="s">
        <v>2555</v>
      </c>
      <c r="F585" s="144" t="s">
        <v>2556</v>
      </c>
      <c r="G585" s="166" t="s">
        <v>557</v>
      </c>
      <c r="H585" s="151">
        <v>1</v>
      </c>
      <c r="I585" s="160"/>
      <c r="J585" s="159">
        <v>18.899999999999999</v>
      </c>
      <c r="K585" s="161"/>
      <c r="L585" s="159">
        <v>18.899999999999999</v>
      </c>
      <c r="M585" s="160">
        <v>18.899999999999999</v>
      </c>
      <c r="N585" s="145"/>
      <c r="O585" s="156" t="s">
        <v>166</v>
      </c>
      <c r="P585" s="144" t="s">
        <v>2468</v>
      </c>
      <c r="Q585" s="147"/>
      <c r="R585" s="146">
        <v>2040</v>
      </c>
      <c r="S585" s="157"/>
      <c r="T585" s="144" t="s">
        <v>25</v>
      </c>
      <c r="U585" s="150" t="s">
        <v>14</v>
      </c>
      <c r="V585" s="146">
        <v>1086</v>
      </c>
      <c r="W585" s="148"/>
      <c r="X585" s="149">
        <v>45689</v>
      </c>
      <c r="Y585" s="165" t="s">
        <v>3468</v>
      </c>
    </row>
    <row r="586" spans="1:25">
      <c r="A586" s="163" t="s">
        <v>380</v>
      </c>
      <c r="B586" s="144" t="s">
        <v>163</v>
      </c>
      <c r="C586" s="164" t="s">
        <v>555</v>
      </c>
      <c r="D586" s="144" t="s">
        <v>556</v>
      </c>
      <c r="E586" s="150" t="s">
        <v>2555</v>
      </c>
      <c r="F586" s="144" t="s">
        <v>2556</v>
      </c>
      <c r="G586" s="166" t="s">
        <v>557</v>
      </c>
      <c r="H586" s="151">
        <v>1</v>
      </c>
      <c r="I586" s="160"/>
      <c r="J586" s="159">
        <v>21.76</v>
      </c>
      <c r="K586" s="161"/>
      <c r="L586" s="159">
        <v>21.76</v>
      </c>
      <c r="M586" s="160">
        <v>21.76</v>
      </c>
      <c r="N586" s="145"/>
      <c r="O586" s="156" t="s">
        <v>166</v>
      </c>
      <c r="P586" s="144" t="s">
        <v>2468</v>
      </c>
      <c r="Q586" s="147"/>
      <c r="R586" s="146">
        <v>2040</v>
      </c>
      <c r="S586" s="157"/>
      <c r="T586" s="144" t="s">
        <v>25</v>
      </c>
      <c r="U586" s="150" t="s">
        <v>14</v>
      </c>
      <c r="V586" s="146">
        <v>1086</v>
      </c>
      <c r="W586" s="148"/>
      <c r="X586" s="149">
        <v>45689</v>
      </c>
      <c r="Y586" s="165" t="s">
        <v>3468</v>
      </c>
    </row>
    <row r="587" spans="1:25">
      <c r="A587" s="163" t="s">
        <v>380</v>
      </c>
      <c r="B587" s="144" t="s">
        <v>163</v>
      </c>
      <c r="C587" s="164" t="s">
        <v>555</v>
      </c>
      <c r="D587" s="144" t="s">
        <v>556</v>
      </c>
      <c r="E587" s="150" t="s">
        <v>2555</v>
      </c>
      <c r="F587" s="144" t="s">
        <v>2556</v>
      </c>
      <c r="G587" s="166" t="s">
        <v>557</v>
      </c>
      <c r="H587" s="151">
        <v>1</v>
      </c>
      <c r="I587" s="160"/>
      <c r="J587" s="159">
        <v>25.6</v>
      </c>
      <c r="K587" s="161"/>
      <c r="L587" s="159">
        <v>25.6</v>
      </c>
      <c r="M587" s="160">
        <v>25.6</v>
      </c>
      <c r="N587" s="145"/>
      <c r="O587" s="156" t="s">
        <v>166</v>
      </c>
      <c r="P587" s="144" t="s">
        <v>2468</v>
      </c>
      <c r="Q587" s="147"/>
      <c r="R587" s="146">
        <v>2040</v>
      </c>
      <c r="S587" s="157"/>
      <c r="T587" s="144" t="s">
        <v>25</v>
      </c>
      <c r="U587" s="150" t="s">
        <v>14</v>
      </c>
      <c r="V587" s="146">
        <v>1086</v>
      </c>
      <c r="W587" s="148"/>
      <c r="X587" s="149">
        <v>45689</v>
      </c>
      <c r="Y587" s="165" t="s">
        <v>3468</v>
      </c>
    </row>
    <row r="588" spans="1:25">
      <c r="A588" s="163" t="s">
        <v>380</v>
      </c>
      <c r="B588" s="144" t="s">
        <v>163</v>
      </c>
      <c r="C588" s="164" t="s">
        <v>555</v>
      </c>
      <c r="D588" s="144" t="s">
        <v>556</v>
      </c>
      <c r="E588" s="150" t="s">
        <v>2555</v>
      </c>
      <c r="F588" s="144" t="s">
        <v>2556</v>
      </c>
      <c r="G588" s="166" t="s">
        <v>557</v>
      </c>
      <c r="H588" s="151">
        <v>1</v>
      </c>
      <c r="I588" s="160"/>
      <c r="J588" s="159">
        <v>27</v>
      </c>
      <c r="K588" s="161"/>
      <c r="L588" s="159">
        <v>27</v>
      </c>
      <c r="M588" s="160">
        <v>27</v>
      </c>
      <c r="N588" s="145"/>
      <c r="O588" s="156" t="s">
        <v>166</v>
      </c>
      <c r="P588" s="144" t="s">
        <v>2468</v>
      </c>
      <c r="Q588" s="147"/>
      <c r="R588" s="146">
        <v>2040</v>
      </c>
      <c r="S588" s="157"/>
      <c r="T588" s="144" t="s">
        <v>25</v>
      </c>
      <c r="U588" s="150" t="s">
        <v>14</v>
      </c>
      <c r="V588" s="146">
        <v>1086</v>
      </c>
      <c r="W588" s="148"/>
      <c r="X588" s="149">
        <v>45689</v>
      </c>
      <c r="Y588" s="165" t="s">
        <v>3468</v>
      </c>
    </row>
    <row r="589" spans="1:25">
      <c r="A589" s="163" t="s">
        <v>380</v>
      </c>
      <c r="B589" s="144" t="s">
        <v>163</v>
      </c>
      <c r="C589" s="164" t="s">
        <v>555</v>
      </c>
      <c r="D589" s="144" t="s">
        <v>556</v>
      </c>
      <c r="E589" s="150" t="s">
        <v>2555</v>
      </c>
      <c r="F589" s="144" t="s">
        <v>2556</v>
      </c>
      <c r="G589" s="166" t="s">
        <v>557</v>
      </c>
      <c r="H589" s="151">
        <v>1</v>
      </c>
      <c r="I589" s="160"/>
      <c r="J589" s="159">
        <v>37.200000000000003</v>
      </c>
      <c r="K589" s="161"/>
      <c r="L589" s="159">
        <v>37.200000000000003</v>
      </c>
      <c r="M589" s="160">
        <v>37.200000000000003</v>
      </c>
      <c r="N589" s="145"/>
      <c r="O589" s="156" t="s">
        <v>166</v>
      </c>
      <c r="P589" s="144" t="s">
        <v>2468</v>
      </c>
      <c r="Q589" s="147"/>
      <c r="R589" s="146">
        <v>2050</v>
      </c>
      <c r="S589" s="157"/>
      <c r="T589" s="144" t="s">
        <v>25</v>
      </c>
      <c r="U589" s="150" t="s">
        <v>14</v>
      </c>
      <c r="V589" s="146">
        <v>1086</v>
      </c>
      <c r="W589" s="148"/>
      <c r="X589" s="149">
        <v>45689</v>
      </c>
      <c r="Y589" s="165" t="s">
        <v>3468</v>
      </c>
    </row>
    <row r="590" spans="1:25">
      <c r="A590" s="163" t="s">
        <v>380</v>
      </c>
      <c r="B590" s="144" t="s">
        <v>163</v>
      </c>
      <c r="C590" s="164" t="s">
        <v>555</v>
      </c>
      <c r="D590" s="144" t="s">
        <v>556</v>
      </c>
      <c r="E590" s="150" t="s">
        <v>2555</v>
      </c>
      <c r="F590" s="144" t="s">
        <v>2556</v>
      </c>
      <c r="G590" s="166" t="s">
        <v>557</v>
      </c>
      <c r="H590" s="151">
        <v>2</v>
      </c>
      <c r="I590" s="160"/>
      <c r="J590" s="159">
        <v>20.75</v>
      </c>
      <c r="K590" s="161"/>
      <c r="L590" s="159">
        <v>41.5</v>
      </c>
      <c r="M590" s="160">
        <v>41.5</v>
      </c>
      <c r="N590" s="145"/>
      <c r="O590" s="156" t="s">
        <v>166</v>
      </c>
      <c r="P590" s="144" t="s">
        <v>2468</v>
      </c>
      <c r="Q590" s="147"/>
      <c r="R590" s="146">
        <v>2040</v>
      </c>
      <c r="S590" s="157"/>
      <c r="T590" s="144" t="s">
        <v>25</v>
      </c>
      <c r="U590" s="150" t="s">
        <v>14</v>
      </c>
      <c r="V590" s="146">
        <v>1086</v>
      </c>
      <c r="W590" s="148"/>
      <c r="X590" s="149">
        <v>45689</v>
      </c>
      <c r="Y590" s="165" t="s">
        <v>3468</v>
      </c>
    </row>
    <row r="591" spans="1:25">
      <c r="A591" s="163" t="s">
        <v>380</v>
      </c>
      <c r="B591" s="144" t="s">
        <v>163</v>
      </c>
      <c r="C591" s="164" t="s">
        <v>555</v>
      </c>
      <c r="D591" s="144" t="s">
        <v>556</v>
      </c>
      <c r="E591" s="150" t="s">
        <v>2555</v>
      </c>
      <c r="F591" s="144" t="s">
        <v>2556</v>
      </c>
      <c r="G591" s="166" t="s">
        <v>557</v>
      </c>
      <c r="H591" s="151">
        <v>3</v>
      </c>
      <c r="I591" s="160"/>
      <c r="J591" s="159">
        <v>17</v>
      </c>
      <c r="K591" s="161"/>
      <c r="L591" s="159">
        <v>51</v>
      </c>
      <c r="M591" s="160">
        <v>51</v>
      </c>
      <c r="N591" s="145"/>
      <c r="O591" s="156" t="s">
        <v>166</v>
      </c>
      <c r="P591" s="144" t="s">
        <v>2468</v>
      </c>
      <c r="Q591" s="147"/>
      <c r="R591" s="146">
        <v>2040</v>
      </c>
      <c r="S591" s="157"/>
      <c r="T591" s="144" t="s">
        <v>25</v>
      </c>
      <c r="U591" s="150" t="s">
        <v>14</v>
      </c>
      <c r="V591" s="146">
        <v>1086</v>
      </c>
      <c r="W591" s="148"/>
      <c r="X591" s="149">
        <v>45689</v>
      </c>
      <c r="Y591" s="165" t="s">
        <v>3468</v>
      </c>
    </row>
    <row r="592" spans="1:25">
      <c r="A592" s="163" t="s">
        <v>380</v>
      </c>
      <c r="B592" s="144" t="s">
        <v>163</v>
      </c>
      <c r="C592" s="164" t="s">
        <v>2418</v>
      </c>
      <c r="D592" s="144" t="s">
        <v>3537</v>
      </c>
      <c r="E592" s="150" t="s">
        <v>2485</v>
      </c>
      <c r="F592" s="144" t="s">
        <v>2486</v>
      </c>
      <c r="G592" s="166" t="s">
        <v>3538</v>
      </c>
      <c r="H592" s="151">
        <v>45</v>
      </c>
      <c r="I592" s="160">
        <v>2.1</v>
      </c>
      <c r="J592" s="159">
        <v>2.1</v>
      </c>
      <c r="K592" s="161">
        <v>94.5</v>
      </c>
      <c r="L592" s="159">
        <v>94.5</v>
      </c>
      <c r="M592" s="160">
        <v>94.5</v>
      </c>
      <c r="N592" s="145"/>
      <c r="O592" s="156" t="s">
        <v>166</v>
      </c>
      <c r="P592" s="144" t="s">
        <v>2478</v>
      </c>
      <c r="Q592" s="147"/>
      <c r="R592" s="146">
        <v>2043</v>
      </c>
      <c r="S592" s="157"/>
      <c r="T592" s="144" t="s">
        <v>25</v>
      </c>
      <c r="U592" s="150" t="s">
        <v>17</v>
      </c>
      <c r="V592" s="146">
        <v>1087</v>
      </c>
      <c r="W592" s="148"/>
      <c r="X592" s="149">
        <v>45689</v>
      </c>
      <c r="Y592" s="165" t="s">
        <v>2558</v>
      </c>
    </row>
    <row r="593" spans="1:25">
      <c r="A593" s="163" t="s">
        <v>380</v>
      </c>
      <c r="B593" s="144" t="s">
        <v>163</v>
      </c>
      <c r="C593" s="164" t="s">
        <v>3539</v>
      </c>
      <c r="D593" s="144" t="s">
        <v>3540</v>
      </c>
      <c r="E593" s="150" t="s">
        <v>2485</v>
      </c>
      <c r="F593" s="144" t="s">
        <v>2486</v>
      </c>
      <c r="G593" s="166" t="s">
        <v>3541</v>
      </c>
      <c r="H593" s="151">
        <v>34</v>
      </c>
      <c r="I593" s="160">
        <v>2.1</v>
      </c>
      <c r="J593" s="159">
        <v>2.1</v>
      </c>
      <c r="K593" s="161">
        <v>71.400000000000006</v>
      </c>
      <c r="L593" s="159">
        <v>71.400000000000006</v>
      </c>
      <c r="M593" s="160">
        <v>71.400000000000006</v>
      </c>
      <c r="N593" s="145"/>
      <c r="O593" s="156" t="s">
        <v>166</v>
      </c>
      <c r="P593" s="144" t="s">
        <v>2478</v>
      </c>
      <c r="Q593" s="147"/>
      <c r="R593" s="146">
        <v>2035</v>
      </c>
      <c r="S593" s="157"/>
      <c r="T593" s="144" t="s">
        <v>25</v>
      </c>
      <c r="U593" s="150" t="s">
        <v>17</v>
      </c>
      <c r="V593" s="146">
        <v>1088</v>
      </c>
      <c r="W593" s="148"/>
      <c r="X593" s="149">
        <v>45689</v>
      </c>
      <c r="Y593" s="165" t="s">
        <v>2558</v>
      </c>
    </row>
    <row r="594" spans="1:25">
      <c r="A594" s="163" t="s">
        <v>309</v>
      </c>
      <c r="B594" s="144" t="s">
        <v>2463</v>
      </c>
      <c r="C594" s="164" t="s">
        <v>3542</v>
      </c>
      <c r="D594" s="144" t="s">
        <v>3543</v>
      </c>
      <c r="E594" s="150" t="s">
        <v>2466</v>
      </c>
      <c r="F594" s="144" t="s">
        <v>2467</v>
      </c>
      <c r="G594" s="166"/>
      <c r="H594" s="151">
        <v>1</v>
      </c>
      <c r="I594" s="160"/>
      <c r="J594" s="159">
        <v>500</v>
      </c>
      <c r="K594" s="161"/>
      <c r="L594" s="159">
        <v>500</v>
      </c>
      <c r="M594" s="160">
        <v>500</v>
      </c>
      <c r="N594" s="145">
        <v>2000</v>
      </c>
      <c r="O594" s="156" t="s">
        <v>135</v>
      </c>
      <c r="P594" s="144" t="s">
        <v>2468</v>
      </c>
      <c r="Q594" s="147"/>
      <c r="R594" s="146"/>
      <c r="S594" s="157"/>
      <c r="T594" s="144" t="s">
        <v>29</v>
      </c>
      <c r="U594" s="150" t="s">
        <v>20</v>
      </c>
      <c r="V594" s="146">
        <v>2760</v>
      </c>
      <c r="W594" s="148" t="s">
        <v>3544</v>
      </c>
      <c r="X594" s="149">
        <v>45689</v>
      </c>
      <c r="Y594" s="165" t="s">
        <v>2538</v>
      </c>
    </row>
    <row r="595" spans="1:25">
      <c r="A595" s="163" t="s">
        <v>309</v>
      </c>
      <c r="B595" s="144" t="s">
        <v>2463</v>
      </c>
      <c r="C595" s="164" t="s">
        <v>3545</v>
      </c>
      <c r="D595" s="144" t="s">
        <v>3546</v>
      </c>
      <c r="E595" s="150" t="s">
        <v>2466</v>
      </c>
      <c r="F595" s="144" t="s">
        <v>2467</v>
      </c>
      <c r="G595" s="166"/>
      <c r="H595" s="151">
        <v>224</v>
      </c>
      <c r="I595" s="160">
        <v>0</v>
      </c>
      <c r="J595" s="159">
        <v>5</v>
      </c>
      <c r="K595" s="161">
        <v>0</v>
      </c>
      <c r="L595" s="159">
        <v>1120</v>
      </c>
      <c r="M595" s="160">
        <v>1120</v>
      </c>
      <c r="N595" s="145">
        <v>4050</v>
      </c>
      <c r="O595" s="156" t="s">
        <v>135</v>
      </c>
      <c r="P595" s="144" t="s">
        <v>2468</v>
      </c>
      <c r="Q595" s="147"/>
      <c r="R595" s="146"/>
      <c r="S595" s="157"/>
      <c r="T595" s="144" t="s">
        <v>29</v>
      </c>
      <c r="U595" s="150" t="s">
        <v>20</v>
      </c>
      <c r="V595" s="146">
        <v>2662</v>
      </c>
      <c r="W595" s="148" t="s">
        <v>3547</v>
      </c>
      <c r="X595" s="149"/>
      <c r="Y595" s="165" t="s">
        <v>3051</v>
      </c>
    </row>
    <row r="596" spans="1:25">
      <c r="A596" s="163" t="s">
        <v>423</v>
      </c>
      <c r="B596" s="144" t="s">
        <v>2463</v>
      </c>
      <c r="C596" s="164" t="s">
        <v>3548</v>
      </c>
      <c r="D596" s="144" t="s">
        <v>616</v>
      </c>
      <c r="E596" s="150" t="s">
        <v>2466</v>
      </c>
      <c r="F596" s="144" t="s">
        <v>2467</v>
      </c>
      <c r="G596" s="166"/>
      <c r="H596" s="151">
        <v>1</v>
      </c>
      <c r="I596" s="160">
        <v>300</v>
      </c>
      <c r="J596" s="159">
        <v>300</v>
      </c>
      <c r="K596" s="161">
        <v>300</v>
      </c>
      <c r="L596" s="159">
        <v>300</v>
      </c>
      <c r="M596" s="160">
        <v>300</v>
      </c>
      <c r="N596" s="145">
        <v>600</v>
      </c>
      <c r="O596" s="156" t="s">
        <v>135</v>
      </c>
      <c r="P596" s="144" t="s">
        <v>2468</v>
      </c>
      <c r="Q596" s="147"/>
      <c r="R596" s="146"/>
      <c r="S596" s="157"/>
      <c r="T596" s="144" t="s">
        <v>29</v>
      </c>
      <c r="U596" s="150" t="s">
        <v>20</v>
      </c>
      <c r="V596" s="146">
        <v>2661</v>
      </c>
      <c r="W596" s="148" t="s">
        <v>3549</v>
      </c>
      <c r="X596" s="149">
        <v>45689</v>
      </c>
      <c r="Y596" s="165" t="s">
        <v>2474</v>
      </c>
    </row>
    <row r="597" spans="1:25">
      <c r="A597" s="163" t="s">
        <v>309</v>
      </c>
      <c r="B597" s="144" t="s">
        <v>2463</v>
      </c>
      <c r="C597" s="164" t="s">
        <v>3550</v>
      </c>
      <c r="D597" s="144" t="s">
        <v>3551</v>
      </c>
      <c r="E597" s="150" t="s">
        <v>2466</v>
      </c>
      <c r="F597" s="144" t="s">
        <v>2467</v>
      </c>
      <c r="G597" s="166"/>
      <c r="H597" s="151">
        <v>1</v>
      </c>
      <c r="I597" s="160">
        <v>750</v>
      </c>
      <c r="J597" s="159">
        <v>750</v>
      </c>
      <c r="K597" s="161">
        <v>750</v>
      </c>
      <c r="L597" s="159">
        <v>750</v>
      </c>
      <c r="M597" s="160">
        <v>750</v>
      </c>
      <c r="N597" s="145">
        <v>0</v>
      </c>
      <c r="O597" s="156" t="s">
        <v>135</v>
      </c>
      <c r="P597" s="144" t="s">
        <v>2468</v>
      </c>
      <c r="Q597" s="147"/>
      <c r="R597" s="146"/>
      <c r="S597" s="157"/>
      <c r="T597" s="144" t="s">
        <v>29</v>
      </c>
      <c r="U597" s="150" t="s">
        <v>20</v>
      </c>
      <c r="V597" s="146">
        <v>2883</v>
      </c>
      <c r="W597" s="148" t="s">
        <v>3552</v>
      </c>
      <c r="X597" s="149">
        <v>45901</v>
      </c>
      <c r="Y597" s="165" t="s">
        <v>2584</v>
      </c>
    </row>
    <row r="598" spans="1:25">
      <c r="A598" s="163" t="s">
        <v>309</v>
      </c>
      <c r="B598" s="144" t="s">
        <v>2463</v>
      </c>
      <c r="C598" s="164" t="s">
        <v>3553</v>
      </c>
      <c r="D598" s="144" t="s">
        <v>3551</v>
      </c>
      <c r="E598" s="150" t="s">
        <v>2476</v>
      </c>
      <c r="F598" s="144" t="s">
        <v>2477</v>
      </c>
      <c r="G598" s="166"/>
      <c r="H598" s="151">
        <v>1</v>
      </c>
      <c r="I598" s="160">
        <v>750</v>
      </c>
      <c r="J598" s="159">
        <v>750</v>
      </c>
      <c r="K598" s="161">
        <v>750</v>
      </c>
      <c r="L598" s="159">
        <v>750</v>
      </c>
      <c r="M598" s="160">
        <v>750</v>
      </c>
      <c r="N598" s="145"/>
      <c r="O598" s="156" t="s">
        <v>135</v>
      </c>
      <c r="P598" s="144" t="s">
        <v>2478</v>
      </c>
      <c r="Q598" s="147"/>
      <c r="R598" s="146"/>
      <c r="S598" s="157"/>
      <c r="T598" s="144" t="s">
        <v>29</v>
      </c>
      <c r="U598" s="150" t="s">
        <v>2479</v>
      </c>
      <c r="V598" s="146">
        <v>2882</v>
      </c>
      <c r="W598" s="148" t="s">
        <v>3552</v>
      </c>
      <c r="X598" s="149">
        <v>45901</v>
      </c>
      <c r="Y598" s="165" t="s">
        <v>2584</v>
      </c>
    </row>
    <row r="599" spans="1:25">
      <c r="A599" s="163" t="s">
        <v>309</v>
      </c>
      <c r="B599" s="144" t="s">
        <v>2463</v>
      </c>
      <c r="C599" s="164" t="s">
        <v>3554</v>
      </c>
      <c r="D599" s="144" t="s">
        <v>3555</v>
      </c>
      <c r="E599" s="150" t="s">
        <v>2466</v>
      </c>
      <c r="F599" s="144" t="s">
        <v>2467</v>
      </c>
      <c r="G599" s="166"/>
      <c r="H599" s="151">
        <v>1</v>
      </c>
      <c r="I599" s="160">
        <v>150</v>
      </c>
      <c r="J599" s="159">
        <v>150</v>
      </c>
      <c r="K599" s="161">
        <v>150</v>
      </c>
      <c r="L599" s="159">
        <v>150</v>
      </c>
      <c r="M599" s="160">
        <v>150</v>
      </c>
      <c r="N599" s="145">
        <v>0</v>
      </c>
      <c r="O599" s="156" t="s">
        <v>135</v>
      </c>
      <c r="P599" s="144" t="s">
        <v>2468</v>
      </c>
      <c r="Q599" s="147"/>
      <c r="R599" s="146"/>
      <c r="S599" s="157"/>
      <c r="T599" s="144" t="s">
        <v>29</v>
      </c>
      <c r="U599" s="150" t="s">
        <v>20</v>
      </c>
      <c r="V599" s="146">
        <v>2279</v>
      </c>
      <c r="W599" s="148" t="s">
        <v>3556</v>
      </c>
      <c r="X599" s="149">
        <v>45901</v>
      </c>
      <c r="Y599" s="165" t="s">
        <v>2632</v>
      </c>
    </row>
    <row r="600" spans="1:25">
      <c r="A600" s="163" t="s">
        <v>309</v>
      </c>
      <c r="B600" s="144" t="s">
        <v>163</v>
      </c>
      <c r="C600" s="164" t="s">
        <v>2000</v>
      </c>
      <c r="D600" s="144" t="s">
        <v>3557</v>
      </c>
      <c r="E600" s="150" t="s">
        <v>2491</v>
      </c>
      <c r="F600" s="144" t="s">
        <v>2477</v>
      </c>
      <c r="G600" s="166" t="s">
        <v>3558</v>
      </c>
      <c r="H600" s="151">
        <v>23</v>
      </c>
      <c r="I600" s="160"/>
      <c r="J600" s="159">
        <v>2.5</v>
      </c>
      <c r="K600" s="161"/>
      <c r="L600" s="159">
        <v>57.5</v>
      </c>
      <c r="M600" s="160">
        <v>57.5</v>
      </c>
      <c r="N600" s="145"/>
      <c r="O600" s="156" t="s">
        <v>166</v>
      </c>
      <c r="P600" s="144" t="s">
        <v>2478</v>
      </c>
      <c r="Q600" s="147"/>
      <c r="R600" s="146">
        <v>2048</v>
      </c>
      <c r="S600" s="157"/>
      <c r="T600" s="144" t="s">
        <v>25</v>
      </c>
      <c r="U600" s="150" t="s">
        <v>2479</v>
      </c>
      <c r="V600" s="146">
        <v>1408</v>
      </c>
      <c r="W600" s="148"/>
      <c r="X600" s="149">
        <v>45689</v>
      </c>
      <c r="Y600" s="165" t="s">
        <v>2470</v>
      </c>
    </row>
    <row r="601" spans="1:25">
      <c r="A601" s="163" t="s">
        <v>7</v>
      </c>
      <c r="B601" s="144" t="s">
        <v>2463</v>
      </c>
      <c r="C601" s="164" t="s">
        <v>3559</v>
      </c>
      <c r="D601" s="144" t="s">
        <v>3560</v>
      </c>
      <c r="E601" s="150" t="s">
        <v>2466</v>
      </c>
      <c r="F601" s="144" t="s">
        <v>2477</v>
      </c>
      <c r="G601" s="166"/>
      <c r="H601" s="151">
        <v>1</v>
      </c>
      <c r="I601" s="160"/>
      <c r="J601" s="159">
        <v>1200</v>
      </c>
      <c r="K601" s="161"/>
      <c r="L601" s="159">
        <v>1200</v>
      </c>
      <c r="M601" s="160">
        <v>1200</v>
      </c>
      <c r="N601" s="145">
        <v>4800</v>
      </c>
      <c r="O601" s="156" t="s">
        <v>135</v>
      </c>
      <c r="P601" s="144" t="s">
        <v>2468</v>
      </c>
      <c r="Q601" s="147"/>
      <c r="R601" s="146"/>
      <c r="S601" s="157"/>
      <c r="T601" s="144" t="s">
        <v>29</v>
      </c>
      <c r="U601" s="150" t="s">
        <v>20</v>
      </c>
      <c r="V601" s="146">
        <v>2820</v>
      </c>
      <c r="W601" s="148" t="s">
        <v>3561</v>
      </c>
      <c r="X601" s="149">
        <v>45778</v>
      </c>
      <c r="Y601" s="165"/>
    </row>
    <row r="602" spans="1:25">
      <c r="A602" s="163" t="s">
        <v>380</v>
      </c>
      <c r="B602" s="144" t="s">
        <v>163</v>
      </c>
      <c r="C602" s="164" t="s">
        <v>1475</v>
      </c>
      <c r="D602" s="144" t="s">
        <v>400</v>
      </c>
      <c r="E602" s="150" t="s">
        <v>2466</v>
      </c>
      <c r="F602" s="144" t="s">
        <v>2467</v>
      </c>
      <c r="G602" s="166" t="s">
        <v>3562</v>
      </c>
      <c r="H602" s="151">
        <v>1</v>
      </c>
      <c r="I602" s="160"/>
      <c r="J602" s="159">
        <v>5.52</v>
      </c>
      <c r="K602" s="161"/>
      <c r="L602" s="159">
        <v>5.52</v>
      </c>
      <c r="M602" s="160">
        <v>5.52</v>
      </c>
      <c r="N602" s="145">
        <v>8.82</v>
      </c>
      <c r="O602" s="156" t="s">
        <v>166</v>
      </c>
      <c r="P602" s="144" t="s">
        <v>2468</v>
      </c>
      <c r="Q602" s="147">
        <v>44896</v>
      </c>
      <c r="R602" s="146">
        <v>2041</v>
      </c>
      <c r="S602" s="157"/>
      <c r="T602" s="144" t="s">
        <v>25</v>
      </c>
      <c r="U602" s="150" t="s">
        <v>20</v>
      </c>
      <c r="V602" s="146">
        <v>1846</v>
      </c>
      <c r="W602" s="148"/>
      <c r="X602" s="149">
        <v>45689</v>
      </c>
      <c r="Y602" s="165" t="s">
        <v>2740</v>
      </c>
    </row>
    <row r="603" spans="1:25">
      <c r="A603" s="163" t="s">
        <v>380</v>
      </c>
      <c r="B603" s="144" t="s">
        <v>163</v>
      </c>
      <c r="C603" s="164" t="s">
        <v>1475</v>
      </c>
      <c r="D603" s="144" t="s">
        <v>400</v>
      </c>
      <c r="E603" s="150" t="s">
        <v>2491</v>
      </c>
      <c r="F603" s="144" t="s">
        <v>2477</v>
      </c>
      <c r="G603" s="166" t="s">
        <v>3563</v>
      </c>
      <c r="H603" s="151">
        <v>4</v>
      </c>
      <c r="I603" s="160"/>
      <c r="J603" s="159">
        <v>2.75</v>
      </c>
      <c r="K603" s="161"/>
      <c r="L603" s="159">
        <v>11</v>
      </c>
      <c r="M603" s="160">
        <v>11</v>
      </c>
      <c r="N603" s="145"/>
      <c r="O603" s="156" t="s">
        <v>166</v>
      </c>
      <c r="P603" s="144" t="s">
        <v>2478</v>
      </c>
      <c r="Q603" s="147">
        <v>44805</v>
      </c>
      <c r="R603" s="146">
        <v>2041</v>
      </c>
      <c r="S603" s="157"/>
      <c r="T603" s="144" t="s">
        <v>25</v>
      </c>
      <c r="U603" s="150" t="s">
        <v>2479</v>
      </c>
      <c r="V603" s="146">
        <v>1846</v>
      </c>
      <c r="W603" s="148"/>
      <c r="X603" s="149">
        <v>45689</v>
      </c>
      <c r="Y603" s="165" t="s">
        <v>2740</v>
      </c>
    </row>
    <row r="604" spans="1:25">
      <c r="A604" s="163" t="s">
        <v>7</v>
      </c>
      <c r="B604" s="144" t="s">
        <v>2463</v>
      </c>
      <c r="C604" s="164" t="s">
        <v>3564</v>
      </c>
      <c r="D604" s="144" t="s">
        <v>236</v>
      </c>
      <c r="E604" s="150" t="s">
        <v>2466</v>
      </c>
      <c r="F604" s="144" t="s">
        <v>2486</v>
      </c>
      <c r="G604" s="166"/>
      <c r="H604" s="151">
        <v>1</v>
      </c>
      <c r="I604" s="160">
        <v>300</v>
      </c>
      <c r="J604" s="159">
        <v>300</v>
      </c>
      <c r="K604" s="161">
        <v>300</v>
      </c>
      <c r="L604" s="159">
        <v>300</v>
      </c>
      <c r="M604" s="160">
        <v>300</v>
      </c>
      <c r="N604" s="145">
        <v>600</v>
      </c>
      <c r="O604" s="156" t="s">
        <v>135</v>
      </c>
      <c r="P604" s="144" t="s">
        <v>2468</v>
      </c>
      <c r="Q604" s="147"/>
      <c r="R604" s="146"/>
      <c r="S604" s="157"/>
      <c r="T604" s="144" t="s">
        <v>29</v>
      </c>
      <c r="U604" s="150" t="s">
        <v>20</v>
      </c>
      <c r="V604" s="146">
        <v>3113</v>
      </c>
      <c r="W604" s="148"/>
      <c r="X604" s="149"/>
      <c r="Y604" s="165"/>
    </row>
    <row r="605" spans="1:25">
      <c r="A605" s="163" t="s">
        <v>7</v>
      </c>
      <c r="B605" s="144" t="s">
        <v>2463</v>
      </c>
      <c r="C605" s="164" t="s">
        <v>3565</v>
      </c>
      <c r="D605" s="144" t="s">
        <v>236</v>
      </c>
      <c r="E605" s="150" t="s">
        <v>2485</v>
      </c>
      <c r="F605" s="144" t="s">
        <v>2486</v>
      </c>
      <c r="G605" s="166"/>
      <c r="H605" s="151">
        <v>1</v>
      </c>
      <c r="I605" s="160">
        <v>400</v>
      </c>
      <c r="J605" s="159">
        <v>400</v>
      </c>
      <c r="K605" s="161">
        <v>400</v>
      </c>
      <c r="L605" s="159">
        <v>400</v>
      </c>
      <c r="M605" s="160">
        <v>400</v>
      </c>
      <c r="N605" s="145"/>
      <c r="O605" s="156" t="s">
        <v>135</v>
      </c>
      <c r="P605" s="144" t="s">
        <v>2478</v>
      </c>
      <c r="Q605" s="147"/>
      <c r="R605" s="146"/>
      <c r="S605" s="157"/>
      <c r="T605" s="144" t="s">
        <v>29</v>
      </c>
      <c r="U605" s="150" t="s">
        <v>17</v>
      </c>
      <c r="V605" s="146">
        <v>3112</v>
      </c>
      <c r="W605" s="148"/>
      <c r="X605" s="149"/>
      <c r="Y605" s="165"/>
    </row>
    <row r="606" spans="1:25">
      <c r="A606" s="163" t="s">
        <v>7</v>
      </c>
      <c r="B606" s="144" t="s">
        <v>2463</v>
      </c>
      <c r="C606" s="164" t="s">
        <v>3566</v>
      </c>
      <c r="D606" s="144" t="s">
        <v>3567</v>
      </c>
      <c r="E606" s="150" t="s">
        <v>2466</v>
      </c>
      <c r="F606" s="144" t="s">
        <v>2486</v>
      </c>
      <c r="G606" s="166"/>
      <c r="H606" s="151">
        <v>1</v>
      </c>
      <c r="I606" s="160">
        <v>300</v>
      </c>
      <c r="J606" s="159">
        <v>300</v>
      </c>
      <c r="K606" s="161">
        <v>300</v>
      </c>
      <c r="L606" s="159">
        <v>300</v>
      </c>
      <c r="M606" s="160">
        <v>300</v>
      </c>
      <c r="N606" s="145">
        <v>0</v>
      </c>
      <c r="O606" s="156" t="s">
        <v>135</v>
      </c>
      <c r="P606" s="144" t="s">
        <v>2468</v>
      </c>
      <c r="Q606" s="147"/>
      <c r="R606" s="146"/>
      <c r="S606" s="157"/>
      <c r="T606" s="144" t="s">
        <v>29</v>
      </c>
      <c r="U606" s="150" t="s">
        <v>20</v>
      </c>
      <c r="V606" s="146">
        <v>3051</v>
      </c>
      <c r="W606" s="148" t="s">
        <v>3568</v>
      </c>
      <c r="X606" s="149">
        <v>45901</v>
      </c>
      <c r="Y606" s="165" t="s">
        <v>3142</v>
      </c>
    </row>
    <row r="607" spans="1:25">
      <c r="A607" s="163" t="s">
        <v>7</v>
      </c>
      <c r="B607" s="144" t="s">
        <v>2463</v>
      </c>
      <c r="C607" s="164" t="s">
        <v>3569</v>
      </c>
      <c r="D607" s="144" t="s">
        <v>3376</v>
      </c>
      <c r="E607" s="150" t="s">
        <v>2476</v>
      </c>
      <c r="F607" s="144" t="s">
        <v>2477</v>
      </c>
      <c r="G607" s="166"/>
      <c r="H607" s="151">
        <v>1</v>
      </c>
      <c r="I607" s="160">
        <v>300</v>
      </c>
      <c r="J607" s="159">
        <v>300</v>
      </c>
      <c r="K607" s="161">
        <v>300</v>
      </c>
      <c r="L607" s="159">
        <v>300</v>
      </c>
      <c r="M607" s="160">
        <v>300</v>
      </c>
      <c r="N607" s="145"/>
      <c r="O607" s="156" t="s">
        <v>135</v>
      </c>
      <c r="P607" s="144" t="s">
        <v>2478</v>
      </c>
      <c r="Q607" s="147"/>
      <c r="R607" s="146"/>
      <c r="S607" s="157"/>
      <c r="T607" s="144" t="s">
        <v>29</v>
      </c>
      <c r="U607" s="150" t="s">
        <v>2479</v>
      </c>
      <c r="V607" s="146">
        <v>3118</v>
      </c>
      <c r="W607" s="148"/>
      <c r="X607" s="149"/>
      <c r="Y607" s="165"/>
    </row>
    <row r="608" spans="1:25">
      <c r="A608" s="163" t="s">
        <v>7</v>
      </c>
      <c r="B608" s="144" t="s">
        <v>2463</v>
      </c>
      <c r="C608" s="164" t="s">
        <v>3569</v>
      </c>
      <c r="D608" s="144" t="s">
        <v>3376</v>
      </c>
      <c r="E608" s="150" t="s">
        <v>2466</v>
      </c>
      <c r="F608" s="144" t="s">
        <v>2467</v>
      </c>
      <c r="G608" s="166"/>
      <c r="H608" s="151">
        <v>1</v>
      </c>
      <c r="I608" s="160">
        <v>200</v>
      </c>
      <c r="J608" s="159">
        <v>200</v>
      </c>
      <c r="K608" s="161">
        <v>200</v>
      </c>
      <c r="L608" s="159">
        <v>200</v>
      </c>
      <c r="M608" s="160">
        <v>200</v>
      </c>
      <c r="N608" s="145">
        <v>800</v>
      </c>
      <c r="O608" s="156" t="s">
        <v>135</v>
      </c>
      <c r="P608" s="144" t="s">
        <v>2468</v>
      </c>
      <c r="Q608" s="147"/>
      <c r="R608" s="146"/>
      <c r="S608" s="157"/>
      <c r="T608" s="144" t="s">
        <v>29</v>
      </c>
      <c r="U608" s="150" t="s">
        <v>20</v>
      </c>
      <c r="V608" s="146">
        <v>3118</v>
      </c>
      <c r="W608" s="148"/>
      <c r="X608" s="149"/>
      <c r="Y608" s="165"/>
    </row>
    <row r="609" spans="1:25">
      <c r="A609" s="163" t="s">
        <v>7</v>
      </c>
      <c r="B609" s="144" t="s">
        <v>2463</v>
      </c>
      <c r="C609" s="164" t="s">
        <v>3569</v>
      </c>
      <c r="D609" s="144" t="s">
        <v>3376</v>
      </c>
      <c r="E609" s="150" t="s">
        <v>2485</v>
      </c>
      <c r="F609" s="144" t="s">
        <v>2486</v>
      </c>
      <c r="G609" s="166"/>
      <c r="H609" s="151">
        <v>1</v>
      </c>
      <c r="I609" s="160">
        <v>600</v>
      </c>
      <c r="J609" s="159">
        <v>600</v>
      </c>
      <c r="K609" s="161">
        <v>600</v>
      </c>
      <c r="L609" s="159">
        <v>600</v>
      </c>
      <c r="M609" s="160">
        <v>600</v>
      </c>
      <c r="N609" s="145"/>
      <c r="O609" s="156" t="s">
        <v>135</v>
      </c>
      <c r="P609" s="144" t="s">
        <v>2478</v>
      </c>
      <c r="Q609" s="147"/>
      <c r="R609" s="146"/>
      <c r="S609" s="157"/>
      <c r="T609" s="144" t="s">
        <v>29</v>
      </c>
      <c r="U609" s="150" t="s">
        <v>17</v>
      </c>
      <c r="V609" s="146">
        <v>3118</v>
      </c>
      <c r="W609" s="148"/>
      <c r="X609" s="149"/>
      <c r="Y609" s="165"/>
    </row>
    <row r="610" spans="1:25">
      <c r="A610" s="163" t="s">
        <v>7</v>
      </c>
      <c r="B610" s="144" t="s">
        <v>2463</v>
      </c>
      <c r="C610" s="164" t="s">
        <v>3570</v>
      </c>
      <c r="D610" s="144" t="s">
        <v>3567</v>
      </c>
      <c r="E610" s="150" t="s">
        <v>2485</v>
      </c>
      <c r="F610" s="144" t="s">
        <v>2486</v>
      </c>
      <c r="G610" s="166"/>
      <c r="H610" s="151">
        <v>42</v>
      </c>
      <c r="I610" s="160">
        <v>7.14</v>
      </c>
      <c r="J610" s="159">
        <v>7.14</v>
      </c>
      <c r="K610" s="161">
        <v>299.88</v>
      </c>
      <c r="L610" s="159">
        <v>299.88</v>
      </c>
      <c r="M610" s="160">
        <v>299.88</v>
      </c>
      <c r="N610" s="145"/>
      <c r="O610" s="156" t="s">
        <v>135</v>
      </c>
      <c r="P610" s="144" t="s">
        <v>2478</v>
      </c>
      <c r="Q610" s="147"/>
      <c r="R610" s="146"/>
      <c r="S610" s="157"/>
      <c r="T610" s="144" t="s">
        <v>29</v>
      </c>
      <c r="U610" s="150" t="s">
        <v>17</v>
      </c>
      <c r="V610" s="146">
        <v>3050</v>
      </c>
      <c r="W610" s="148" t="s">
        <v>3568</v>
      </c>
      <c r="X610" s="149">
        <v>45901</v>
      </c>
      <c r="Y610" s="165" t="s">
        <v>3142</v>
      </c>
    </row>
    <row r="611" spans="1:25">
      <c r="A611" s="163" t="s">
        <v>309</v>
      </c>
      <c r="B611" s="144" t="s">
        <v>2463</v>
      </c>
      <c r="C611" s="164" t="s">
        <v>3571</v>
      </c>
      <c r="D611" s="144" t="s">
        <v>3572</v>
      </c>
      <c r="E611" s="150" t="s">
        <v>2466</v>
      </c>
      <c r="F611" s="144" t="s">
        <v>2467</v>
      </c>
      <c r="G611" s="166"/>
      <c r="H611" s="151">
        <v>1</v>
      </c>
      <c r="I611" s="160">
        <v>240</v>
      </c>
      <c r="J611" s="159">
        <v>240</v>
      </c>
      <c r="K611" s="161">
        <v>240</v>
      </c>
      <c r="L611" s="159">
        <v>240</v>
      </c>
      <c r="M611" s="160">
        <v>240</v>
      </c>
      <c r="N611" s="145">
        <v>0</v>
      </c>
      <c r="O611" s="156" t="s">
        <v>135</v>
      </c>
      <c r="P611" s="144" t="s">
        <v>2468</v>
      </c>
      <c r="Q611" s="147"/>
      <c r="R611" s="146"/>
      <c r="S611" s="157"/>
      <c r="T611" s="144" t="s">
        <v>29</v>
      </c>
      <c r="U611" s="150" t="s">
        <v>20</v>
      </c>
      <c r="V611" s="146">
        <v>1922</v>
      </c>
      <c r="W611" s="148" t="s">
        <v>3573</v>
      </c>
      <c r="X611" s="149">
        <v>45047</v>
      </c>
      <c r="Y611" s="165" t="s">
        <v>3574</v>
      </c>
    </row>
    <row r="612" spans="1:25">
      <c r="A612" s="163" t="s">
        <v>309</v>
      </c>
      <c r="B612" s="144" t="s">
        <v>2463</v>
      </c>
      <c r="C612" s="164" t="s">
        <v>3571</v>
      </c>
      <c r="D612" s="144" t="s">
        <v>3572</v>
      </c>
      <c r="E612" s="150" t="s">
        <v>2491</v>
      </c>
      <c r="F612" s="144" t="s">
        <v>2477</v>
      </c>
      <c r="G612" s="166"/>
      <c r="H612" s="151">
        <v>1</v>
      </c>
      <c r="I612" s="160">
        <v>0</v>
      </c>
      <c r="J612" s="159">
        <v>400</v>
      </c>
      <c r="K612" s="161">
        <v>0</v>
      </c>
      <c r="L612" s="159">
        <v>400</v>
      </c>
      <c r="M612" s="160">
        <v>400</v>
      </c>
      <c r="N612" s="145"/>
      <c r="O612" s="156" t="s">
        <v>135</v>
      </c>
      <c r="P612" s="144" t="s">
        <v>2478</v>
      </c>
      <c r="Q612" s="147"/>
      <c r="R612" s="146"/>
      <c r="S612" s="157"/>
      <c r="T612" s="144" t="s">
        <v>29</v>
      </c>
      <c r="U612" s="150" t="s">
        <v>2479</v>
      </c>
      <c r="V612" s="146">
        <v>1922</v>
      </c>
      <c r="W612" s="148" t="s">
        <v>3573</v>
      </c>
      <c r="X612" s="149">
        <v>45047</v>
      </c>
      <c r="Y612" s="165" t="s">
        <v>3574</v>
      </c>
    </row>
    <row r="613" spans="1:25">
      <c r="A613" s="163" t="s">
        <v>309</v>
      </c>
      <c r="B613" s="144" t="s">
        <v>2463</v>
      </c>
      <c r="C613" s="164" t="s">
        <v>3575</v>
      </c>
      <c r="D613" s="144" t="s">
        <v>536</v>
      </c>
      <c r="E613" s="150" t="s">
        <v>2485</v>
      </c>
      <c r="F613" s="144" t="s">
        <v>2486</v>
      </c>
      <c r="G613" s="166"/>
      <c r="H613" s="151">
        <v>111</v>
      </c>
      <c r="I613" s="160"/>
      <c r="J613" s="159">
        <v>7.2</v>
      </c>
      <c r="K613" s="161"/>
      <c r="L613" s="159">
        <v>799.2</v>
      </c>
      <c r="M613" s="160">
        <v>799.2</v>
      </c>
      <c r="N613" s="145"/>
      <c r="O613" s="156" t="s">
        <v>135</v>
      </c>
      <c r="P613" s="144" t="s">
        <v>2478</v>
      </c>
      <c r="Q613" s="147"/>
      <c r="R613" s="146"/>
      <c r="S613" s="157"/>
      <c r="T613" s="144" t="s">
        <v>29</v>
      </c>
      <c r="U613" s="150" t="s">
        <v>17</v>
      </c>
      <c r="V613" s="146">
        <v>2493</v>
      </c>
      <c r="W613" s="148" t="s">
        <v>3576</v>
      </c>
      <c r="X613" s="149">
        <v>45689</v>
      </c>
      <c r="Y613" s="165" t="s">
        <v>3278</v>
      </c>
    </row>
    <row r="614" spans="1:25">
      <c r="A614" s="163" t="s">
        <v>380</v>
      </c>
      <c r="B614" s="144" t="s">
        <v>2463</v>
      </c>
      <c r="C614" s="164" t="s">
        <v>3577</v>
      </c>
      <c r="D614" s="144" t="s">
        <v>985</v>
      </c>
      <c r="E614" s="150" t="s">
        <v>2466</v>
      </c>
      <c r="F614" s="144" t="s">
        <v>2467</v>
      </c>
      <c r="G614" s="166"/>
      <c r="H614" s="151">
        <v>86</v>
      </c>
      <c r="I614" s="160">
        <v>3.1</v>
      </c>
      <c r="J614" s="159">
        <v>3.14</v>
      </c>
      <c r="K614" s="161">
        <v>266.60000000000002</v>
      </c>
      <c r="L614" s="159">
        <v>269.95</v>
      </c>
      <c r="M614" s="160" t="s">
        <v>3578</v>
      </c>
      <c r="N614" s="145">
        <v>1080</v>
      </c>
      <c r="O614" s="156" t="s">
        <v>135</v>
      </c>
      <c r="P614" s="144" t="s">
        <v>2468</v>
      </c>
      <c r="Q614" s="147">
        <v>47088</v>
      </c>
      <c r="R614" s="146"/>
      <c r="S614" s="157"/>
      <c r="T614" s="144" t="s">
        <v>29</v>
      </c>
      <c r="U614" s="150" t="s">
        <v>20</v>
      </c>
      <c r="V614" s="146">
        <v>2902</v>
      </c>
      <c r="W614" s="148" t="s">
        <v>3579</v>
      </c>
      <c r="X614" s="149"/>
      <c r="Y614" s="165" t="s">
        <v>3352</v>
      </c>
    </row>
    <row r="615" spans="1:25">
      <c r="A615" s="163" t="s">
        <v>423</v>
      </c>
      <c r="B615" s="144" t="s">
        <v>2463</v>
      </c>
      <c r="C615" s="164" t="s">
        <v>3580</v>
      </c>
      <c r="D615" s="144" t="s">
        <v>3581</v>
      </c>
      <c r="E615" s="150" t="s">
        <v>2555</v>
      </c>
      <c r="F615" s="144" t="s">
        <v>3582</v>
      </c>
      <c r="G615" s="166"/>
      <c r="H615" s="151">
        <v>2</v>
      </c>
      <c r="I615" s="160"/>
      <c r="J615" s="159">
        <v>14.33</v>
      </c>
      <c r="K615" s="161"/>
      <c r="L615" s="159">
        <v>28.66</v>
      </c>
      <c r="M615" s="160">
        <v>28.66</v>
      </c>
      <c r="N615" s="145"/>
      <c r="O615" s="156" t="s">
        <v>135</v>
      </c>
      <c r="P615" s="144" t="s">
        <v>2480</v>
      </c>
      <c r="Q615" s="147"/>
      <c r="R615" s="146"/>
      <c r="S615" s="157"/>
      <c r="T615" s="144" t="s">
        <v>29</v>
      </c>
      <c r="U615" s="150" t="s">
        <v>14</v>
      </c>
      <c r="V615" s="146">
        <v>1981</v>
      </c>
      <c r="W615" s="148"/>
      <c r="X615" s="149">
        <v>45689</v>
      </c>
      <c r="Y615" s="165" t="s">
        <v>2520</v>
      </c>
    </row>
    <row r="616" spans="1:25">
      <c r="A616" s="163" t="s">
        <v>423</v>
      </c>
      <c r="B616" s="144" t="s">
        <v>2463</v>
      </c>
      <c r="C616" s="164" t="s">
        <v>3580</v>
      </c>
      <c r="D616" s="144" t="s">
        <v>3581</v>
      </c>
      <c r="E616" s="150" t="s">
        <v>2555</v>
      </c>
      <c r="F616" s="144" t="s">
        <v>3582</v>
      </c>
      <c r="G616" s="166"/>
      <c r="H616" s="151">
        <v>1</v>
      </c>
      <c r="I616" s="160"/>
      <c r="J616" s="159">
        <v>14.33</v>
      </c>
      <c r="K616" s="161"/>
      <c r="L616" s="159">
        <v>14.33</v>
      </c>
      <c r="M616" s="160">
        <v>14.33</v>
      </c>
      <c r="N616" s="145"/>
      <c r="O616" s="156" t="s">
        <v>135</v>
      </c>
      <c r="P616" s="144" t="s">
        <v>2480</v>
      </c>
      <c r="Q616" s="147"/>
      <c r="R616" s="146"/>
      <c r="S616" s="157"/>
      <c r="T616" s="144" t="s">
        <v>29</v>
      </c>
      <c r="U616" s="150" t="s">
        <v>14</v>
      </c>
      <c r="V616" s="146">
        <v>1981</v>
      </c>
      <c r="W616" s="148"/>
      <c r="X616" s="149">
        <v>45689</v>
      </c>
      <c r="Y616" s="165" t="s">
        <v>2520</v>
      </c>
    </row>
    <row r="617" spans="1:25">
      <c r="A617" s="163" t="s">
        <v>309</v>
      </c>
      <c r="B617" s="144" t="s">
        <v>2463</v>
      </c>
      <c r="C617" s="164" t="s">
        <v>3583</v>
      </c>
      <c r="D617" s="144" t="s">
        <v>1770</v>
      </c>
      <c r="E617" s="150" t="s">
        <v>2466</v>
      </c>
      <c r="F617" s="144" t="s">
        <v>2467</v>
      </c>
      <c r="G617" s="166"/>
      <c r="H617" s="151">
        <v>1</v>
      </c>
      <c r="I617" s="160"/>
      <c r="J617" s="159">
        <v>200</v>
      </c>
      <c r="K617" s="161"/>
      <c r="L617" s="159">
        <v>200</v>
      </c>
      <c r="M617" s="160">
        <v>200</v>
      </c>
      <c r="N617" s="145">
        <v>800</v>
      </c>
      <c r="O617" s="156" t="s">
        <v>135</v>
      </c>
      <c r="P617" s="144" t="s">
        <v>2468</v>
      </c>
      <c r="Q617" s="147">
        <v>46753</v>
      </c>
      <c r="R617" s="146"/>
      <c r="S617" s="157"/>
      <c r="T617" s="144" t="s">
        <v>29</v>
      </c>
      <c r="U617" s="150" t="s">
        <v>20</v>
      </c>
      <c r="V617" s="146">
        <v>1992</v>
      </c>
      <c r="W617" s="148" t="s">
        <v>3584</v>
      </c>
      <c r="X617" s="149">
        <v>45778</v>
      </c>
      <c r="Y617" s="165" t="s">
        <v>2500</v>
      </c>
    </row>
    <row r="618" spans="1:25">
      <c r="A618" s="163" t="s">
        <v>309</v>
      </c>
      <c r="B618" s="144" t="s">
        <v>163</v>
      </c>
      <c r="C618" s="164" t="s">
        <v>1769</v>
      </c>
      <c r="D618" s="144" t="s">
        <v>1770</v>
      </c>
      <c r="E618" s="150" t="s">
        <v>2491</v>
      </c>
      <c r="F618" s="144" t="s">
        <v>2477</v>
      </c>
      <c r="G618" s="166" t="s">
        <v>1771</v>
      </c>
      <c r="H618" s="151">
        <v>81</v>
      </c>
      <c r="I618" s="160">
        <v>1.24</v>
      </c>
      <c r="J618" s="159">
        <v>1.64</v>
      </c>
      <c r="K618" s="161">
        <v>100.04</v>
      </c>
      <c r="L618" s="159">
        <v>132.6</v>
      </c>
      <c r="M618" s="160">
        <v>132.6</v>
      </c>
      <c r="N618" s="145"/>
      <c r="O618" s="156" t="s">
        <v>166</v>
      </c>
      <c r="P618" s="144" t="s">
        <v>2478</v>
      </c>
      <c r="Q618" s="147">
        <v>44075</v>
      </c>
      <c r="R618" s="146">
        <v>2050</v>
      </c>
      <c r="S618" s="157"/>
      <c r="T618" s="144" t="s">
        <v>25</v>
      </c>
      <c r="U618" s="150" t="s">
        <v>2479</v>
      </c>
      <c r="V618" s="146">
        <v>1564</v>
      </c>
      <c r="W618" s="148"/>
      <c r="X618" s="149">
        <v>45778</v>
      </c>
      <c r="Y618" s="165" t="s">
        <v>3585</v>
      </c>
    </row>
    <row r="619" spans="1:25">
      <c r="A619" s="163" t="s">
        <v>309</v>
      </c>
      <c r="B619" s="144" t="s">
        <v>2463</v>
      </c>
      <c r="C619" s="164" t="s">
        <v>551</v>
      </c>
      <c r="D619" s="144" t="s">
        <v>552</v>
      </c>
      <c r="E619" s="150" t="s">
        <v>2491</v>
      </c>
      <c r="F619" s="144" t="s">
        <v>2477</v>
      </c>
      <c r="G619" s="166"/>
      <c r="H619" s="151">
        <v>1</v>
      </c>
      <c r="I619" s="160"/>
      <c r="J619" s="159">
        <v>300</v>
      </c>
      <c r="K619" s="161"/>
      <c r="L619" s="159">
        <v>300</v>
      </c>
      <c r="M619" s="160">
        <v>300</v>
      </c>
      <c r="N619" s="145"/>
      <c r="O619" s="156" t="s">
        <v>28</v>
      </c>
      <c r="P619" s="144" t="s">
        <v>2478</v>
      </c>
      <c r="Q619" s="147">
        <v>46753</v>
      </c>
      <c r="R619" s="146">
        <v>2058</v>
      </c>
      <c r="S619" s="157"/>
      <c r="T619" s="144" t="s">
        <v>28</v>
      </c>
      <c r="U619" s="150" t="s">
        <v>2479</v>
      </c>
      <c r="V619" s="146">
        <v>1933</v>
      </c>
      <c r="W619" s="148" t="s">
        <v>3586</v>
      </c>
      <c r="X619" s="149">
        <v>45901</v>
      </c>
      <c r="Y619" s="165" t="s">
        <v>2490</v>
      </c>
    </row>
    <row r="620" spans="1:25">
      <c r="A620" s="163" t="s">
        <v>423</v>
      </c>
      <c r="B620" s="144" t="s">
        <v>2463</v>
      </c>
      <c r="C620" s="164" t="s">
        <v>3587</v>
      </c>
      <c r="D620" s="144" t="s">
        <v>2650</v>
      </c>
      <c r="E620" s="150" t="s">
        <v>2466</v>
      </c>
      <c r="F620" s="144" t="s">
        <v>2467</v>
      </c>
      <c r="G620" s="166"/>
      <c r="H620" s="151">
        <v>1</v>
      </c>
      <c r="I620" s="160">
        <v>400</v>
      </c>
      <c r="J620" s="159">
        <v>400</v>
      </c>
      <c r="K620" s="161">
        <v>400</v>
      </c>
      <c r="L620" s="159">
        <v>400</v>
      </c>
      <c r="M620" s="160">
        <v>400</v>
      </c>
      <c r="N620" s="145">
        <v>0</v>
      </c>
      <c r="O620" s="156" t="s">
        <v>135</v>
      </c>
      <c r="P620" s="144" t="s">
        <v>2468</v>
      </c>
      <c r="Q620" s="147"/>
      <c r="R620" s="146"/>
      <c r="S620" s="157"/>
      <c r="T620" s="144" t="s">
        <v>29</v>
      </c>
      <c r="U620" s="150" t="s">
        <v>20</v>
      </c>
      <c r="V620" s="146">
        <v>2338</v>
      </c>
      <c r="W620" s="148" t="s">
        <v>3588</v>
      </c>
      <c r="X620" s="149">
        <v>45689</v>
      </c>
      <c r="Y620" s="165" t="s">
        <v>3589</v>
      </c>
    </row>
    <row r="621" spans="1:25">
      <c r="A621" s="163" t="s">
        <v>423</v>
      </c>
      <c r="B621" s="144" t="s">
        <v>163</v>
      </c>
      <c r="C621" s="164" t="s">
        <v>886</v>
      </c>
      <c r="D621" s="144" t="s">
        <v>887</v>
      </c>
      <c r="E621" s="150" t="s">
        <v>2485</v>
      </c>
      <c r="F621" s="144" t="s">
        <v>2486</v>
      </c>
      <c r="G621" s="166" t="s">
        <v>888</v>
      </c>
      <c r="H621" s="151">
        <v>23</v>
      </c>
      <c r="I621" s="160">
        <v>4.2</v>
      </c>
      <c r="J621" s="159">
        <v>4.2</v>
      </c>
      <c r="K621" s="161">
        <v>96.6</v>
      </c>
      <c r="L621" s="159">
        <v>96.6</v>
      </c>
      <c r="M621" s="160">
        <v>96.6</v>
      </c>
      <c r="N621" s="145"/>
      <c r="O621" s="156" t="s">
        <v>166</v>
      </c>
      <c r="P621" s="144" t="s">
        <v>2478</v>
      </c>
      <c r="Q621" s="147">
        <v>45566</v>
      </c>
      <c r="R621" s="146">
        <v>2054</v>
      </c>
      <c r="S621" s="157"/>
      <c r="T621" s="144" t="s">
        <v>25</v>
      </c>
      <c r="U621" s="150" t="s">
        <v>17</v>
      </c>
      <c r="V621" s="146">
        <v>1089</v>
      </c>
      <c r="W621" s="148" t="s">
        <v>3590</v>
      </c>
      <c r="X621" s="149">
        <v>45901</v>
      </c>
      <c r="Y621" s="165" t="s">
        <v>3006</v>
      </c>
    </row>
    <row r="622" spans="1:25">
      <c r="A622" s="163" t="s">
        <v>7</v>
      </c>
      <c r="B622" s="144" t="s">
        <v>2463</v>
      </c>
      <c r="C622" s="164" t="s">
        <v>648</v>
      </c>
      <c r="D622" s="144" t="s">
        <v>3591</v>
      </c>
      <c r="E622" s="150" t="s">
        <v>2491</v>
      </c>
      <c r="F622" s="144" t="s">
        <v>2477</v>
      </c>
      <c r="G622" s="166"/>
      <c r="H622" s="151">
        <v>1</v>
      </c>
      <c r="I622" s="160">
        <v>110</v>
      </c>
      <c r="J622" s="159">
        <v>110</v>
      </c>
      <c r="K622" s="161">
        <v>110</v>
      </c>
      <c r="L622" s="159">
        <v>110</v>
      </c>
      <c r="M622" s="160">
        <v>110</v>
      </c>
      <c r="N622" s="145"/>
      <c r="O622" s="156" t="s">
        <v>28</v>
      </c>
      <c r="P622" s="144" t="s">
        <v>2478</v>
      </c>
      <c r="Q622" s="147"/>
      <c r="R622" s="146"/>
      <c r="S622" s="157"/>
      <c r="T622" s="144" t="s">
        <v>28</v>
      </c>
      <c r="U622" s="150" t="s">
        <v>2479</v>
      </c>
      <c r="V622" s="146">
        <v>1451</v>
      </c>
      <c r="W622" s="148"/>
      <c r="X622" s="149">
        <v>45901</v>
      </c>
      <c r="Y622" s="165" t="s">
        <v>2858</v>
      </c>
    </row>
    <row r="623" spans="1:25">
      <c r="A623" s="163" t="s">
        <v>309</v>
      </c>
      <c r="B623" s="144" t="s">
        <v>163</v>
      </c>
      <c r="C623" s="164" t="s">
        <v>1858</v>
      </c>
      <c r="D623" s="144" t="s">
        <v>1859</v>
      </c>
      <c r="E623" s="150" t="s">
        <v>2491</v>
      </c>
      <c r="F623" s="144" t="s">
        <v>2477</v>
      </c>
      <c r="G623" s="166" t="s">
        <v>1860</v>
      </c>
      <c r="H623" s="151">
        <v>21</v>
      </c>
      <c r="I623" s="160">
        <v>0</v>
      </c>
      <c r="J623" s="159">
        <v>2.75</v>
      </c>
      <c r="K623" s="161">
        <v>0</v>
      </c>
      <c r="L623" s="159">
        <v>57.75</v>
      </c>
      <c r="M623" s="160">
        <v>57.75</v>
      </c>
      <c r="N623" s="145"/>
      <c r="O623" s="156" t="s">
        <v>166</v>
      </c>
      <c r="P623" s="144" t="s">
        <v>2478</v>
      </c>
      <c r="Q623" s="147"/>
      <c r="R623" s="146">
        <v>2048</v>
      </c>
      <c r="S623" s="157"/>
      <c r="T623" s="144" t="s">
        <v>25</v>
      </c>
      <c r="U623" s="150" t="s">
        <v>2479</v>
      </c>
      <c r="V623" s="146">
        <v>1517</v>
      </c>
      <c r="W623" s="148"/>
      <c r="X623" s="149">
        <v>45689</v>
      </c>
      <c r="Y623" s="165" t="s">
        <v>2470</v>
      </c>
    </row>
    <row r="624" spans="1:25">
      <c r="A624" s="163" t="s">
        <v>309</v>
      </c>
      <c r="B624" s="144" t="s">
        <v>2463</v>
      </c>
      <c r="C624" s="164" t="s">
        <v>3592</v>
      </c>
      <c r="D624" s="144" t="s">
        <v>3205</v>
      </c>
      <c r="E624" s="150" t="s">
        <v>2466</v>
      </c>
      <c r="F624" s="144" t="s">
        <v>2467</v>
      </c>
      <c r="G624" s="166"/>
      <c r="H624" s="151">
        <v>1</v>
      </c>
      <c r="I624" s="160">
        <v>1100</v>
      </c>
      <c r="J624" s="159">
        <v>1100</v>
      </c>
      <c r="K624" s="161">
        <v>1100</v>
      </c>
      <c r="L624" s="159">
        <v>1100</v>
      </c>
      <c r="M624" s="160">
        <v>1100</v>
      </c>
      <c r="N624" s="145">
        <v>0</v>
      </c>
      <c r="O624" s="156" t="s">
        <v>135</v>
      </c>
      <c r="P624" s="144" t="s">
        <v>2468</v>
      </c>
      <c r="Q624" s="147"/>
      <c r="R624" s="146"/>
      <c r="S624" s="157"/>
      <c r="T624" s="144" t="s">
        <v>29</v>
      </c>
      <c r="U624" s="150" t="s">
        <v>20</v>
      </c>
      <c r="V624" s="146">
        <v>2386</v>
      </c>
      <c r="W624" s="148" t="s">
        <v>3593</v>
      </c>
      <c r="X624" s="149">
        <v>45689</v>
      </c>
      <c r="Y624" s="165" t="s">
        <v>3207</v>
      </c>
    </row>
    <row r="625" spans="1:25">
      <c r="A625" s="163" t="s">
        <v>423</v>
      </c>
      <c r="B625" s="144" t="s">
        <v>163</v>
      </c>
      <c r="C625" s="164" t="s">
        <v>1500</v>
      </c>
      <c r="D625" s="144" t="s">
        <v>1286</v>
      </c>
      <c r="E625" s="150" t="s">
        <v>2466</v>
      </c>
      <c r="F625" s="144" t="s">
        <v>2467</v>
      </c>
      <c r="G625" s="166" t="s">
        <v>3594</v>
      </c>
      <c r="H625" s="151">
        <v>1</v>
      </c>
      <c r="I625" s="160">
        <v>200.07</v>
      </c>
      <c r="J625" s="159">
        <v>200.07</v>
      </c>
      <c r="K625" s="161">
        <v>200.07</v>
      </c>
      <c r="L625" s="159">
        <v>200.07</v>
      </c>
      <c r="M625" s="160">
        <v>200.07</v>
      </c>
      <c r="N625" s="145">
        <v>162</v>
      </c>
      <c r="O625" s="156" t="s">
        <v>166</v>
      </c>
      <c r="P625" s="144" t="s">
        <v>2468</v>
      </c>
      <c r="Q625" s="147">
        <v>45078</v>
      </c>
      <c r="R625" s="146">
        <v>2043</v>
      </c>
      <c r="S625" s="157"/>
      <c r="T625" s="144" t="s">
        <v>25</v>
      </c>
      <c r="U625" s="150" t="s">
        <v>20</v>
      </c>
      <c r="V625" s="146">
        <v>1991</v>
      </c>
      <c r="W625" s="148" t="s">
        <v>3595</v>
      </c>
      <c r="X625" s="149">
        <v>45689</v>
      </c>
      <c r="Y625" s="165" t="s">
        <v>3278</v>
      </c>
    </row>
    <row r="626" spans="1:25">
      <c r="A626" s="163" t="s">
        <v>423</v>
      </c>
      <c r="B626" s="144" t="s">
        <v>2463</v>
      </c>
      <c r="C626" s="164" t="s">
        <v>3596</v>
      </c>
      <c r="D626" s="144" t="s">
        <v>3597</v>
      </c>
      <c r="E626" s="150" t="s">
        <v>2466</v>
      </c>
      <c r="F626" s="144" t="s">
        <v>2467</v>
      </c>
      <c r="G626" s="166"/>
      <c r="H626" s="151">
        <v>1</v>
      </c>
      <c r="I626" s="160">
        <v>150</v>
      </c>
      <c r="J626" s="159">
        <v>150</v>
      </c>
      <c r="K626" s="161">
        <v>150</v>
      </c>
      <c r="L626" s="159">
        <v>150</v>
      </c>
      <c r="M626" s="160">
        <v>150</v>
      </c>
      <c r="N626" s="145">
        <v>400</v>
      </c>
      <c r="O626" s="156" t="s">
        <v>135</v>
      </c>
      <c r="P626" s="144" t="s">
        <v>2468</v>
      </c>
      <c r="Q626" s="147"/>
      <c r="R626" s="146"/>
      <c r="S626" s="157"/>
      <c r="T626" s="144" t="s">
        <v>29</v>
      </c>
      <c r="U626" s="150" t="s">
        <v>20</v>
      </c>
      <c r="V626" s="146">
        <v>2847</v>
      </c>
      <c r="W626" s="148" t="s">
        <v>3598</v>
      </c>
      <c r="X626" s="149"/>
      <c r="Y626" s="165" t="s">
        <v>2474</v>
      </c>
    </row>
    <row r="627" spans="1:25">
      <c r="A627" s="163" t="s">
        <v>423</v>
      </c>
      <c r="B627" s="144" t="s">
        <v>2463</v>
      </c>
      <c r="C627" s="164" t="s">
        <v>3599</v>
      </c>
      <c r="D627" s="144" t="s">
        <v>3600</v>
      </c>
      <c r="E627" s="150" t="s">
        <v>2476</v>
      </c>
      <c r="F627" s="144" t="s">
        <v>2477</v>
      </c>
      <c r="G627" s="166"/>
      <c r="H627" s="151">
        <v>1</v>
      </c>
      <c r="I627" s="160">
        <v>480</v>
      </c>
      <c r="J627" s="159">
        <v>480</v>
      </c>
      <c r="K627" s="161">
        <v>480</v>
      </c>
      <c r="L627" s="159">
        <v>480</v>
      </c>
      <c r="M627" s="160">
        <v>480</v>
      </c>
      <c r="N627" s="145"/>
      <c r="O627" s="156" t="s">
        <v>135</v>
      </c>
      <c r="P627" s="144" t="s">
        <v>2478</v>
      </c>
      <c r="Q627" s="147"/>
      <c r="R627" s="146"/>
      <c r="S627" s="157"/>
      <c r="T627" s="144" t="s">
        <v>29</v>
      </c>
      <c r="U627" s="150" t="s">
        <v>2479</v>
      </c>
      <c r="V627" s="146">
        <v>2399</v>
      </c>
      <c r="W627" s="148" t="s">
        <v>3601</v>
      </c>
      <c r="X627" s="149">
        <v>45901</v>
      </c>
      <c r="Y627" s="165" t="s">
        <v>3472</v>
      </c>
    </row>
    <row r="628" spans="1:25">
      <c r="A628" s="163" t="s">
        <v>565</v>
      </c>
      <c r="B628" s="144" t="s">
        <v>2463</v>
      </c>
      <c r="C628" s="164" t="s">
        <v>3602</v>
      </c>
      <c r="D628" s="144" t="s">
        <v>2756</v>
      </c>
      <c r="E628" s="150" t="s">
        <v>2485</v>
      </c>
      <c r="F628" s="144" t="s">
        <v>2486</v>
      </c>
      <c r="G628" s="166"/>
      <c r="H628" s="151">
        <v>25</v>
      </c>
      <c r="I628" s="160"/>
      <c r="J628" s="159">
        <v>6.2</v>
      </c>
      <c r="K628" s="161"/>
      <c r="L628" s="159">
        <v>155</v>
      </c>
      <c r="M628" s="160">
        <v>155</v>
      </c>
      <c r="N628" s="145"/>
      <c r="O628" s="156" t="s">
        <v>135</v>
      </c>
      <c r="P628" s="144" t="s">
        <v>2478</v>
      </c>
      <c r="Q628" s="147"/>
      <c r="R628" s="146"/>
      <c r="S628" s="157"/>
      <c r="T628" s="144" t="s">
        <v>29</v>
      </c>
      <c r="U628" s="150" t="s">
        <v>17</v>
      </c>
      <c r="V628" s="146">
        <v>2007</v>
      </c>
      <c r="W628" s="148" t="s">
        <v>3603</v>
      </c>
      <c r="X628" s="149">
        <v>45689</v>
      </c>
      <c r="Y628" s="165" t="s">
        <v>2520</v>
      </c>
    </row>
    <row r="629" spans="1:25">
      <c r="A629" s="163" t="s">
        <v>309</v>
      </c>
      <c r="B629" s="144" t="s">
        <v>2463</v>
      </c>
      <c r="C629" s="164" t="s">
        <v>3604</v>
      </c>
      <c r="D629" s="144" t="s">
        <v>3605</v>
      </c>
      <c r="E629" s="150" t="s">
        <v>2485</v>
      </c>
      <c r="F629" s="144" t="s">
        <v>2486</v>
      </c>
      <c r="G629" s="166"/>
      <c r="H629" s="151">
        <v>132</v>
      </c>
      <c r="I629" s="160"/>
      <c r="J629" s="159">
        <v>5.7</v>
      </c>
      <c r="K629" s="161"/>
      <c r="L629" s="159">
        <v>752.4</v>
      </c>
      <c r="M629" s="160">
        <v>752.4</v>
      </c>
      <c r="N629" s="145"/>
      <c r="O629" s="156" t="s">
        <v>135</v>
      </c>
      <c r="P629" s="144" t="s">
        <v>2478</v>
      </c>
      <c r="Q629" s="147">
        <v>47818</v>
      </c>
      <c r="R629" s="146"/>
      <c r="S629" s="157"/>
      <c r="T629" s="144" t="s">
        <v>29</v>
      </c>
      <c r="U629" s="150" t="s">
        <v>17</v>
      </c>
      <c r="V629" s="146">
        <v>2264</v>
      </c>
      <c r="W629" s="148" t="s">
        <v>3606</v>
      </c>
      <c r="X629" s="149">
        <v>45689</v>
      </c>
      <c r="Y629" s="165" t="s">
        <v>2474</v>
      </c>
    </row>
    <row r="630" spans="1:25">
      <c r="A630" s="163" t="s">
        <v>423</v>
      </c>
      <c r="B630" s="144" t="s">
        <v>2463</v>
      </c>
      <c r="C630" s="164" t="s">
        <v>3607</v>
      </c>
      <c r="D630" s="144" t="s">
        <v>3608</v>
      </c>
      <c r="E630" s="150" t="s">
        <v>2485</v>
      </c>
      <c r="F630" s="144" t="s">
        <v>2486</v>
      </c>
      <c r="G630" s="166"/>
      <c r="H630" s="151">
        <v>109</v>
      </c>
      <c r="I630" s="160">
        <v>7</v>
      </c>
      <c r="J630" s="159">
        <v>7</v>
      </c>
      <c r="K630" s="161">
        <v>763</v>
      </c>
      <c r="L630" s="159">
        <v>763</v>
      </c>
      <c r="M630" s="160">
        <v>763</v>
      </c>
      <c r="N630" s="145"/>
      <c r="O630" s="156" t="s">
        <v>135</v>
      </c>
      <c r="P630" s="144" t="s">
        <v>2478</v>
      </c>
      <c r="Q630" s="147"/>
      <c r="R630" s="146"/>
      <c r="S630" s="157"/>
      <c r="T630" s="144" t="s">
        <v>29</v>
      </c>
      <c r="U630" s="150" t="s">
        <v>17</v>
      </c>
      <c r="V630" s="146">
        <v>1287</v>
      </c>
      <c r="W630" s="148"/>
      <c r="X630" s="149">
        <v>45689</v>
      </c>
      <c r="Y630" s="165" t="s">
        <v>3609</v>
      </c>
    </row>
    <row r="631" spans="1:25">
      <c r="A631" s="163" t="s">
        <v>423</v>
      </c>
      <c r="B631" s="144" t="s">
        <v>2463</v>
      </c>
      <c r="C631" s="164" t="s">
        <v>3610</v>
      </c>
      <c r="D631" s="144" t="s">
        <v>3611</v>
      </c>
      <c r="E631" s="150" t="s">
        <v>2630</v>
      </c>
      <c r="F631" s="144" t="s">
        <v>2486</v>
      </c>
      <c r="G631" s="166"/>
      <c r="H631" s="151">
        <v>61</v>
      </c>
      <c r="I631" s="160">
        <v>21</v>
      </c>
      <c r="J631" s="159">
        <v>21</v>
      </c>
      <c r="K631" s="161">
        <v>1281</v>
      </c>
      <c r="L631" s="159">
        <v>1281</v>
      </c>
      <c r="M631" s="160">
        <v>1281</v>
      </c>
      <c r="N631" s="145"/>
      <c r="O631" s="156" t="s">
        <v>135</v>
      </c>
      <c r="P631" s="144" t="s">
        <v>2478</v>
      </c>
      <c r="Q631" s="147"/>
      <c r="R631" s="146"/>
      <c r="S631" s="157"/>
      <c r="T631" s="144" t="s">
        <v>29</v>
      </c>
      <c r="U631" s="150" t="s">
        <v>17</v>
      </c>
      <c r="V631" s="146">
        <v>3109</v>
      </c>
      <c r="W631" s="148"/>
      <c r="X631" s="149"/>
      <c r="Y631" s="165"/>
    </row>
    <row r="632" spans="1:25">
      <c r="A632" s="163" t="s">
        <v>7</v>
      </c>
      <c r="B632" s="144" t="s">
        <v>2463</v>
      </c>
      <c r="C632" s="164" t="s">
        <v>3612</v>
      </c>
      <c r="D632" s="144" t="s">
        <v>3613</v>
      </c>
      <c r="E632" s="150" t="s">
        <v>2485</v>
      </c>
      <c r="F632" s="144" t="s">
        <v>2486</v>
      </c>
      <c r="G632" s="166"/>
      <c r="H632" s="151">
        <v>1</v>
      </c>
      <c r="I632" s="160"/>
      <c r="J632" s="159">
        <v>400</v>
      </c>
      <c r="K632" s="161"/>
      <c r="L632" s="159">
        <v>400</v>
      </c>
      <c r="M632" s="160">
        <v>400</v>
      </c>
      <c r="N632" s="145"/>
      <c r="O632" s="156" t="s">
        <v>135</v>
      </c>
      <c r="P632" s="144" t="s">
        <v>2478</v>
      </c>
      <c r="Q632" s="147"/>
      <c r="R632" s="146"/>
      <c r="S632" s="157"/>
      <c r="T632" s="144" t="s">
        <v>29</v>
      </c>
      <c r="U632" s="150" t="s">
        <v>17</v>
      </c>
      <c r="V632" s="146">
        <v>2040</v>
      </c>
      <c r="W632" s="148" t="s">
        <v>3614</v>
      </c>
      <c r="X632" s="149">
        <v>45689</v>
      </c>
      <c r="Y632" s="165" t="s">
        <v>2474</v>
      </c>
    </row>
    <row r="633" spans="1:25">
      <c r="A633" s="163" t="s">
        <v>7</v>
      </c>
      <c r="B633" s="144" t="s">
        <v>163</v>
      </c>
      <c r="C633" s="164" t="s">
        <v>1461</v>
      </c>
      <c r="D633" s="144" t="s">
        <v>1462</v>
      </c>
      <c r="E633" s="150" t="s">
        <v>2491</v>
      </c>
      <c r="F633" s="144" t="s">
        <v>2477</v>
      </c>
      <c r="G633" s="166" t="s">
        <v>1463</v>
      </c>
      <c r="H633" s="151">
        <v>40</v>
      </c>
      <c r="I633" s="160">
        <v>2.75</v>
      </c>
      <c r="J633" s="159">
        <v>2.75</v>
      </c>
      <c r="K633" s="161">
        <v>110</v>
      </c>
      <c r="L633" s="159">
        <v>110</v>
      </c>
      <c r="M633" s="160">
        <v>110</v>
      </c>
      <c r="N633" s="145"/>
      <c r="O633" s="156" t="s">
        <v>166</v>
      </c>
      <c r="P633" s="144" t="s">
        <v>2478</v>
      </c>
      <c r="Q633" s="147">
        <v>44743</v>
      </c>
      <c r="R633" s="146">
        <v>2046</v>
      </c>
      <c r="S633" s="157"/>
      <c r="T633" s="144" t="s">
        <v>25</v>
      </c>
      <c r="U633" s="150" t="s">
        <v>2479</v>
      </c>
      <c r="V633" s="146">
        <v>1452</v>
      </c>
      <c r="W633" s="148"/>
      <c r="X633" s="149">
        <v>45689</v>
      </c>
      <c r="Y633" s="165" t="s">
        <v>2500</v>
      </c>
    </row>
    <row r="634" spans="1:25">
      <c r="A634" s="163" t="s">
        <v>565</v>
      </c>
      <c r="B634" s="144" t="s">
        <v>2463</v>
      </c>
      <c r="C634" s="164" t="s">
        <v>3615</v>
      </c>
      <c r="D634" s="144" t="s">
        <v>3616</v>
      </c>
      <c r="E634" s="150" t="s">
        <v>2466</v>
      </c>
      <c r="F634" s="144" t="s">
        <v>2467</v>
      </c>
      <c r="G634" s="166"/>
      <c r="H634" s="151">
        <v>1</v>
      </c>
      <c r="I634" s="160">
        <v>11</v>
      </c>
      <c r="J634" s="159">
        <v>11</v>
      </c>
      <c r="K634" s="161">
        <v>11</v>
      </c>
      <c r="L634" s="159">
        <v>11</v>
      </c>
      <c r="M634" s="160">
        <v>11</v>
      </c>
      <c r="N634" s="145">
        <v>0</v>
      </c>
      <c r="O634" s="156" t="s">
        <v>135</v>
      </c>
      <c r="P634" s="144" t="s">
        <v>2468</v>
      </c>
      <c r="Q634" s="147"/>
      <c r="R634" s="146"/>
      <c r="S634" s="157"/>
      <c r="T634" s="144" t="s">
        <v>29</v>
      </c>
      <c r="U634" s="150" t="s">
        <v>20</v>
      </c>
      <c r="V634" s="146">
        <v>2472</v>
      </c>
      <c r="W634" s="148" t="s">
        <v>3617</v>
      </c>
      <c r="X634" s="149">
        <v>45901</v>
      </c>
      <c r="Y634" s="165" t="s">
        <v>2738</v>
      </c>
    </row>
    <row r="635" spans="1:25">
      <c r="A635" s="163" t="s">
        <v>565</v>
      </c>
      <c r="B635" s="144" t="s">
        <v>2463</v>
      </c>
      <c r="C635" s="164" t="s">
        <v>3618</v>
      </c>
      <c r="D635" s="144" t="s">
        <v>1271</v>
      </c>
      <c r="E635" s="150" t="s">
        <v>2485</v>
      </c>
      <c r="F635" s="144" t="s">
        <v>2486</v>
      </c>
      <c r="G635" s="166"/>
      <c r="H635" s="151">
        <v>54</v>
      </c>
      <c r="I635" s="160">
        <v>7.8</v>
      </c>
      <c r="J635" s="159">
        <v>7.8</v>
      </c>
      <c r="K635" s="161">
        <v>421.2</v>
      </c>
      <c r="L635" s="159">
        <v>421.2</v>
      </c>
      <c r="M635" s="160">
        <v>421.2</v>
      </c>
      <c r="N635" s="145"/>
      <c r="O635" s="156" t="s">
        <v>135</v>
      </c>
      <c r="P635" s="144" t="s">
        <v>2478</v>
      </c>
      <c r="Q635" s="147"/>
      <c r="R635" s="146"/>
      <c r="S635" s="157"/>
      <c r="T635" s="144" t="s">
        <v>29</v>
      </c>
      <c r="U635" s="150" t="s">
        <v>17</v>
      </c>
      <c r="V635" s="146">
        <v>2597</v>
      </c>
      <c r="W635" s="148" t="s">
        <v>3619</v>
      </c>
      <c r="X635" s="149">
        <v>45901</v>
      </c>
      <c r="Y635" s="165" t="s">
        <v>3620</v>
      </c>
    </row>
    <row r="636" spans="1:25">
      <c r="A636" s="163" t="s">
        <v>7</v>
      </c>
      <c r="B636" s="144" t="s">
        <v>2463</v>
      </c>
      <c r="C636" s="164" t="s">
        <v>3621</v>
      </c>
      <c r="D636" s="144" t="s">
        <v>597</v>
      </c>
      <c r="E636" s="150" t="s">
        <v>2466</v>
      </c>
      <c r="F636" s="144" t="s">
        <v>2467</v>
      </c>
      <c r="G636" s="166"/>
      <c r="H636" s="151">
        <v>71</v>
      </c>
      <c r="I636" s="160">
        <v>4.2300000000000004</v>
      </c>
      <c r="J636" s="159">
        <v>4.2300000000000004</v>
      </c>
      <c r="K636" s="161">
        <v>300.33</v>
      </c>
      <c r="L636" s="159">
        <v>300.33</v>
      </c>
      <c r="M636" s="160">
        <v>300.33</v>
      </c>
      <c r="N636" s="145">
        <v>0</v>
      </c>
      <c r="O636" s="156" t="s">
        <v>135</v>
      </c>
      <c r="P636" s="144" t="s">
        <v>2468</v>
      </c>
      <c r="Q636" s="147"/>
      <c r="R636" s="146"/>
      <c r="S636" s="157"/>
      <c r="T636" s="144" t="s">
        <v>29</v>
      </c>
      <c r="U636" s="150" t="s">
        <v>20</v>
      </c>
      <c r="V636" s="146">
        <v>2645</v>
      </c>
      <c r="W636" s="148" t="s">
        <v>2910</v>
      </c>
      <c r="X636" s="149"/>
      <c r="Y636" s="165" t="s">
        <v>2787</v>
      </c>
    </row>
    <row r="637" spans="1:25">
      <c r="A637" s="163" t="s">
        <v>7</v>
      </c>
      <c r="B637" s="144" t="s">
        <v>2463</v>
      </c>
      <c r="C637" s="164" t="s">
        <v>3622</v>
      </c>
      <c r="D637" s="144" t="s">
        <v>3623</v>
      </c>
      <c r="E637" s="150" t="s">
        <v>2466</v>
      </c>
      <c r="F637" s="144" t="s">
        <v>2467</v>
      </c>
      <c r="G637" s="166"/>
      <c r="H637" s="151">
        <v>156</v>
      </c>
      <c r="I637" s="160"/>
      <c r="J637" s="159">
        <v>3.6</v>
      </c>
      <c r="K637" s="161"/>
      <c r="L637" s="159">
        <v>561.6</v>
      </c>
      <c r="M637" s="160">
        <v>561.6</v>
      </c>
      <c r="N637" s="145">
        <v>0</v>
      </c>
      <c r="O637" s="156" t="s">
        <v>135</v>
      </c>
      <c r="P637" s="144" t="s">
        <v>2468</v>
      </c>
      <c r="Q637" s="147"/>
      <c r="R637" s="146"/>
      <c r="S637" s="157"/>
      <c r="T637" s="144" t="s">
        <v>29</v>
      </c>
      <c r="U637" s="150" t="s">
        <v>20</v>
      </c>
      <c r="V637" s="146">
        <v>2759</v>
      </c>
      <c r="W637" s="148" t="s">
        <v>3624</v>
      </c>
      <c r="X637" s="149">
        <v>45901</v>
      </c>
      <c r="Y637" s="165" t="s">
        <v>3042</v>
      </c>
    </row>
    <row r="638" spans="1:25">
      <c r="A638" s="163" t="s">
        <v>309</v>
      </c>
      <c r="B638" s="144" t="s">
        <v>2463</v>
      </c>
      <c r="C638" s="164" t="s">
        <v>3625</v>
      </c>
      <c r="D638" s="144" t="s">
        <v>3626</v>
      </c>
      <c r="E638" s="150" t="s">
        <v>2491</v>
      </c>
      <c r="F638" s="144" t="s">
        <v>2477</v>
      </c>
      <c r="G638" s="166"/>
      <c r="H638" s="151">
        <v>1</v>
      </c>
      <c r="I638" s="160">
        <v>100</v>
      </c>
      <c r="J638" s="159">
        <v>100</v>
      </c>
      <c r="K638" s="161">
        <v>100</v>
      </c>
      <c r="L638" s="159">
        <v>100</v>
      </c>
      <c r="M638" s="160">
        <v>100</v>
      </c>
      <c r="N638" s="145"/>
      <c r="O638" s="156" t="s">
        <v>135</v>
      </c>
      <c r="P638" s="144" t="s">
        <v>2478</v>
      </c>
      <c r="Q638" s="147">
        <v>47178</v>
      </c>
      <c r="R638" s="146"/>
      <c r="S638" s="157"/>
      <c r="T638" s="144" t="s">
        <v>29</v>
      </c>
      <c r="U638" s="150" t="s">
        <v>2479</v>
      </c>
      <c r="V638" s="146">
        <v>2874</v>
      </c>
      <c r="W638" s="148" t="s">
        <v>3627</v>
      </c>
      <c r="X638" s="149"/>
      <c r="Y638" s="165" t="s">
        <v>2612</v>
      </c>
    </row>
    <row r="639" spans="1:25">
      <c r="A639" s="163" t="s">
        <v>309</v>
      </c>
      <c r="B639" s="144" t="s">
        <v>2463</v>
      </c>
      <c r="C639" s="164" t="s">
        <v>3625</v>
      </c>
      <c r="D639" s="144" t="s">
        <v>3626</v>
      </c>
      <c r="E639" s="150" t="s">
        <v>2466</v>
      </c>
      <c r="F639" s="144" t="s">
        <v>2477</v>
      </c>
      <c r="G639" s="166"/>
      <c r="H639" s="151">
        <v>1</v>
      </c>
      <c r="I639" s="160">
        <v>200</v>
      </c>
      <c r="J639" s="159">
        <v>200</v>
      </c>
      <c r="K639" s="161">
        <v>200</v>
      </c>
      <c r="L639" s="159">
        <v>200</v>
      </c>
      <c r="M639" s="160">
        <v>200</v>
      </c>
      <c r="N639" s="145">
        <v>800</v>
      </c>
      <c r="O639" s="156" t="s">
        <v>135</v>
      </c>
      <c r="P639" s="144" t="s">
        <v>2468</v>
      </c>
      <c r="Q639" s="147">
        <v>47178</v>
      </c>
      <c r="R639" s="146"/>
      <c r="S639" s="157"/>
      <c r="T639" s="144" t="s">
        <v>29</v>
      </c>
      <c r="U639" s="150" t="s">
        <v>20</v>
      </c>
      <c r="V639" s="146">
        <v>2874</v>
      </c>
      <c r="W639" s="148" t="s">
        <v>3627</v>
      </c>
      <c r="X639" s="149"/>
      <c r="Y639" s="165" t="s">
        <v>2612</v>
      </c>
    </row>
    <row r="640" spans="1:25">
      <c r="A640" s="163" t="s">
        <v>309</v>
      </c>
      <c r="B640" s="144" t="s">
        <v>2463</v>
      </c>
      <c r="C640" s="164" t="s">
        <v>3628</v>
      </c>
      <c r="D640" s="144" t="s">
        <v>1421</v>
      </c>
      <c r="E640" s="150" t="s">
        <v>2466</v>
      </c>
      <c r="F640" s="144" t="s">
        <v>2467</v>
      </c>
      <c r="G640" s="166"/>
      <c r="H640" s="151">
        <v>96</v>
      </c>
      <c r="I640" s="160"/>
      <c r="J640" s="159">
        <v>2.4</v>
      </c>
      <c r="K640" s="161"/>
      <c r="L640" s="159">
        <v>230.4</v>
      </c>
      <c r="M640" s="160">
        <v>230.4</v>
      </c>
      <c r="N640" s="145">
        <v>350</v>
      </c>
      <c r="O640" s="156" t="s">
        <v>135</v>
      </c>
      <c r="P640" s="144" t="s">
        <v>2468</v>
      </c>
      <c r="Q640" s="147">
        <v>46357</v>
      </c>
      <c r="R640" s="146"/>
      <c r="S640" s="157"/>
      <c r="T640" s="144" t="s">
        <v>29</v>
      </c>
      <c r="U640" s="150" t="s">
        <v>20</v>
      </c>
      <c r="V640" s="146">
        <v>2618</v>
      </c>
      <c r="W640" s="148" t="s">
        <v>3629</v>
      </c>
      <c r="X640" s="149">
        <v>45778</v>
      </c>
      <c r="Y640" s="165" t="s">
        <v>2474</v>
      </c>
    </row>
    <row r="641" spans="1:25">
      <c r="A641" s="163" t="s">
        <v>309</v>
      </c>
      <c r="B641" s="144" t="s">
        <v>2463</v>
      </c>
      <c r="C641" s="164" t="s">
        <v>3630</v>
      </c>
      <c r="D641" s="144" t="s">
        <v>3631</v>
      </c>
      <c r="E641" s="150" t="s">
        <v>2476</v>
      </c>
      <c r="F641" s="144" t="s">
        <v>2477</v>
      </c>
      <c r="G641" s="166"/>
      <c r="H641" s="151">
        <v>78</v>
      </c>
      <c r="I641" s="160"/>
      <c r="J641" s="159">
        <v>4.2</v>
      </c>
      <c r="K641" s="161"/>
      <c r="L641" s="159">
        <v>327.60000000000002</v>
      </c>
      <c r="M641" s="160">
        <v>327.60000000000002</v>
      </c>
      <c r="N641" s="145"/>
      <c r="O641" s="156" t="s">
        <v>135</v>
      </c>
      <c r="P641" s="144" t="s">
        <v>2478</v>
      </c>
      <c r="Q641" s="147"/>
      <c r="R641" s="146"/>
      <c r="S641" s="157"/>
      <c r="T641" s="144" t="s">
        <v>29</v>
      </c>
      <c r="U641" s="150" t="s">
        <v>2479</v>
      </c>
      <c r="V641" s="146">
        <v>2562</v>
      </c>
      <c r="W641" s="148" t="s">
        <v>3632</v>
      </c>
      <c r="X641" s="149">
        <v>45901</v>
      </c>
      <c r="Y641" s="165" t="s">
        <v>2671</v>
      </c>
    </row>
    <row r="642" spans="1:25">
      <c r="A642" s="163" t="s">
        <v>380</v>
      </c>
      <c r="B642" s="144" t="s">
        <v>163</v>
      </c>
      <c r="C642" s="164" t="s">
        <v>1724</v>
      </c>
      <c r="D642" s="144" t="s">
        <v>1725</v>
      </c>
      <c r="E642" s="150" t="s">
        <v>2466</v>
      </c>
      <c r="F642" s="144" t="s">
        <v>2467</v>
      </c>
      <c r="G642" s="166" t="s">
        <v>3633</v>
      </c>
      <c r="H642" s="151">
        <v>1</v>
      </c>
      <c r="I642" s="160"/>
      <c r="J642" s="159">
        <v>50</v>
      </c>
      <c r="K642" s="161"/>
      <c r="L642" s="159">
        <v>50</v>
      </c>
      <c r="M642" s="160">
        <v>50</v>
      </c>
      <c r="N642" s="145">
        <v>61.3</v>
      </c>
      <c r="O642" s="156" t="s">
        <v>166</v>
      </c>
      <c r="P642" s="144" t="s">
        <v>2468</v>
      </c>
      <c r="Q642" s="147">
        <v>44013</v>
      </c>
      <c r="R642" s="146">
        <v>2057</v>
      </c>
      <c r="S642" s="157"/>
      <c r="T642" s="144" t="s">
        <v>25</v>
      </c>
      <c r="U642" s="150" t="s">
        <v>20</v>
      </c>
      <c r="V642" s="146">
        <v>1610</v>
      </c>
      <c r="W642" s="148"/>
      <c r="X642" s="149">
        <v>45901</v>
      </c>
      <c r="Y642" s="165" t="s">
        <v>2660</v>
      </c>
    </row>
    <row r="643" spans="1:25">
      <c r="A643" s="163" t="s">
        <v>380</v>
      </c>
      <c r="B643" s="144" t="s">
        <v>163</v>
      </c>
      <c r="C643" s="164" t="s">
        <v>1724</v>
      </c>
      <c r="D643" s="144" t="s">
        <v>1725</v>
      </c>
      <c r="E643" s="150" t="s">
        <v>2466</v>
      </c>
      <c r="F643" s="144" t="s">
        <v>2467</v>
      </c>
      <c r="G643" s="166" t="s">
        <v>3633</v>
      </c>
      <c r="H643" s="151">
        <v>1</v>
      </c>
      <c r="I643" s="160"/>
      <c r="J643" s="159">
        <v>100</v>
      </c>
      <c r="K643" s="161"/>
      <c r="L643" s="159">
        <v>100</v>
      </c>
      <c r="M643" s="160">
        <v>100</v>
      </c>
      <c r="N643" s="145">
        <v>117</v>
      </c>
      <c r="O643" s="156" t="s">
        <v>166</v>
      </c>
      <c r="P643" s="144" t="s">
        <v>2468</v>
      </c>
      <c r="Q643" s="147"/>
      <c r="R643" s="146">
        <v>2057</v>
      </c>
      <c r="S643" s="157"/>
      <c r="T643" s="144" t="s">
        <v>25</v>
      </c>
      <c r="U643" s="150" t="s">
        <v>20</v>
      </c>
      <c r="V643" s="146">
        <v>1610</v>
      </c>
      <c r="W643" s="148"/>
      <c r="X643" s="149">
        <v>45901</v>
      </c>
      <c r="Y643" s="165" t="s">
        <v>2660</v>
      </c>
    </row>
    <row r="644" spans="1:25">
      <c r="A644" s="163" t="s">
        <v>380</v>
      </c>
      <c r="B644" s="144" t="s">
        <v>163</v>
      </c>
      <c r="C644" s="164" t="s">
        <v>2183</v>
      </c>
      <c r="D644" s="144" t="s">
        <v>3634</v>
      </c>
      <c r="E644" s="150" t="s">
        <v>2485</v>
      </c>
      <c r="F644" s="144" t="s">
        <v>2486</v>
      </c>
      <c r="G644" s="166" t="s">
        <v>3635</v>
      </c>
      <c r="H644" s="151">
        <v>32</v>
      </c>
      <c r="I644" s="160">
        <v>3.2</v>
      </c>
      <c r="J644" s="159">
        <v>3.2</v>
      </c>
      <c r="K644" s="161">
        <v>102.4</v>
      </c>
      <c r="L644" s="159">
        <v>102.4</v>
      </c>
      <c r="M644" s="160">
        <v>102.4</v>
      </c>
      <c r="N644" s="145"/>
      <c r="O644" s="156" t="s">
        <v>166</v>
      </c>
      <c r="P644" s="144" t="s">
        <v>2478</v>
      </c>
      <c r="Q644" s="147"/>
      <c r="R644" s="146">
        <v>2056</v>
      </c>
      <c r="S644" s="157"/>
      <c r="T644" s="144" t="s">
        <v>25</v>
      </c>
      <c r="U644" s="150" t="s">
        <v>17</v>
      </c>
      <c r="V644" s="146">
        <v>1300</v>
      </c>
      <c r="W644" s="148"/>
      <c r="X644" s="149">
        <v>45689</v>
      </c>
      <c r="Y644" s="165" t="s">
        <v>2842</v>
      </c>
    </row>
    <row r="645" spans="1:25">
      <c r="A645" s="163" t="s">
        <v>380</v>
      </c>
      <c r="B645" s="144" t="s">
        <v>163</v>
      </c>
      <c r="C645" s="164" t="s">
        <v>2109</v>
      </c>
      <c r="D645" s="144" t="s">
        <v>3636</v>
      </c>
      <c r="E645" s="150" t="s">
        <v>2485</v>
      </c>
      <c r="F645" s="144" t="s">
        <v>2486</v>
      </c>
      <c r="G645" s="166" t="s">
        <v>3637</v>
      </c>
      <c r="H645" s="151">
        <v>32</v>
      </c>
      <c r="I645" s="160">
        <v>3.2</v>
      </c>
      <c r="J645" s="159">
        <v>3.2</v>
      </c>
      <c r="K645" s="161">
        <v>102.4</v>
      </c>
      <c r="L645" s="159">
        <v>102.4</v>
      </c>
      <c r="M645" s="160">
        <v>102.4</v>
      </c>
      <c r="N645" s="145"/>
      <c r="O645" s="156" t="s">
        <v>166</v>
      </c>
      <c r="P645" s="144" t="s">
        <v>2478</v>
      </c>
      <c r="Q645" s="147"/>
      <c r="R645" s="146">
        <v>2057</v>
      </c>
      <c r="S645" s="157"/>
      <c r="T645" s="144" t="s">
        <v>25</v>
      </c>
      <c r="U645" s="150" t="s">
        <v>17</v>
      </c>
      <c r="V645" s="146">
        <v>1376</v>
      </c>
      <c r="W645" s="148"/>
      <c r="X645" s="149">
        <v>45689</v>
      </c>
      <c r="Y645" s="165" t="s">
        <v>2474</v>
      </c>
    </row>
    <row r="646" spans="1:25">
      <c r="A646" s="163" t="s">
        <v>380</v>
      </c>
      <c r="B646" s="144" t="s">
        <v>163</v>
      </c>
      <c r="C646" s="164" t="s">
        <v>2111</v>
      </c>
      <c r="D646" s="144" t="s">
        <v>3638</v>
      </c>
      <c r="E646" s="150" t="s">
        <v>2485</v>
      </c>
      <c r="F646" s="144" t="s">
        <v>2486</v>
      </c>
      <c r="G646" s="166" t="s">
        <v>3639</v>
      </c>
      <c r="H646" s="151">
        <v>35</v>
      </c>
      <c r="I646" s="160">
        <v>3.2</v>
      </c>
      <c r="J646" s="159">
        <v>3.2</v>
      </c>
      <c r="K646" s="161">
        <v>112</v>
      </c>
      <c r="L646" s="159">
        <v>112</v>
      </c>
      <c r="M646" s="160">
        <v>112</v>
      </c>
      <c r="N646" s="145"/>
      <c r="O646" s="156" t="s">
        <v>166</v>
      </c>
      <c r="P646" s="144" t="s">
        <v>2478</v>
      </c>
      <c r="Q646" s="147"/>
      <c r="R646" s="146">
        <v>2057</v>
      </c>
      <c r="S646" s="157"/>
      <c r="T646" s="144" t="s">
        <v>25</v>
      </c>
      <c r="U646" s="150" t="s">
        <v>17</v>
      </c>
      <c r="V646" s="146">
        <v>1381</v>
      </c>
      <c r="W646" s="148"/>
      <c r="X646" s="149">
        <v>45689</v>
      </c>
      <c r="Y646" s="165" t="s">
        <v>2474</v>
      </c>
    </row>
    <row r="647" spans="1:25">
      <c r="A647" s="163" t="s">
        <v>423</v>
      </c>
      <c r="B647" s="144" t="s">
        <v>2463</v>
      </c>
      <c r="C647" s="164" t="s">
        <v>3640</v>
      </c>
      <c r="D647" s="144" t="s">
        <v>3641</v>
      </c>
      <c r="E647" s="150" t="s">
        <v>2466</v>
      </c>
      <c r="F647" s="144" t="s">
        <v>2467</v>
      </c>
      <c r="G647" s="166"/>
      <c r="H647" s="151">
        <v>40</v>
      </c>
      <c r="I647" s="160">
        <v>0</v>
      </c>
      <c r="J647" s="159">
        <v>2.5</v>
      </c>
      <c r="K647" s="161">
        <v>0</v>
      </c>
      <c r="L647" s="159">
        <v>100</v>
      </c>
      <c r="M647" s="160">
        <v>100</v>
      </c>
      <c r="N647" s="145">
        <v>200</v>
      </c>
      <c r="O647" s="156" t="s">
        <v>135</v>
      </c>
      <c r="P647" s="144" t="s">
        <v>2468</v>
      </c>
      <c r="Q647" s="147"/>
      <c r="R647" s="146"/>
      <c r="S647" s="157"/>
      <c r="T647" s="144" t="s">
        <v>29</v>
      </c>
      <c r="U647" s="150" t="s">
        <v>20</v>
      </c>
      <c r="V647" s="146">
        <v>2577</v>
      </c>
      <c r="W647" s="148"/>
      <c r="X647" s="149">
        <v>45901</v>
      </c>
      <c r="Y647" s="165" t="s">
        <v>2596</v>
      </c>
    </row>
    <row r="648" spans="1:25">
      <c r="A648" s="163" t="s">
        <v>423</v>
      </c>
      <c r="B648" s="144" t="s">
        <v>2463</v>
      </c>
      <c r="C648" s="164" t="s">
        <v>427</v>
      </c>
      <c r="D648" s="144" t="s">
        <v>428</v>
      </c>
      <c r="E648" s="150" t="s">
        <v>2491</v>
      </c>
      <c r="F648" s="144" t="s">
        <v>2477</v>
      </c>
      <c r="G648" s="166"/>
      <c r="H648" s="151">
        <v>36</v>
      </c>
      <c r="I648" s="160"/>
      <c r="J648" s="159">
        <v>3.3</v>
      </c>
      <c r="K648" s="161"/>
      <c r="L648" s="159">
        <v>118.8</v>
      </c>
      <c r="M648" s="160">
        <v>118.8</v>
      </c>
      <c r="N648" s="145"/>
      <c r="O648" s="156" t="s">
        <v>27</v>
      </c>
      <c r="P648" s="144" t="s">
        <v>2478</v>
      </c>
      <c r="Q648" s="147">
        <v>46357</v>
      </c>
      <c r="R648" s="146">
        <v>2066</v>
      </c>
      <c r="S648" s="157"/>
      <c r="T648" s="144" t="s">
        <v>27</v>
      </c>
      <c r="U648" s="150" t="s">
        <v>2479</v>
      </c>
      <c r="V648" s="146">
        <v>1954</v>
      </c>
      <c r="W648" s="148" t="s">
        <v>3642</v>
      </c>
      <c r="X648" s="149">
        <v>45901</v>
      </c>
      <c r="Y648" s="165" t="s">
        <v>2596</v>
      </c>
    </row>
    <row r="649" spans="1:25">
      <c r="A649" s="163" t="s">
        <v>309</v>
      </c>
      <c r="B649" s="144" t="s">
        <v>163</v>
      </c>
      <c r="C649" s="164" t="s">
        <v>1958</v>
      </c>
      <c r="D649" s="144" t="s">
        <v>3643</v>
      </c>
      <c r="E649" s="150" t="s">
        <v>2491</v>
      </c>
      <c r="F649" s="144" t="s">
        <v>2477</v>
      </c>
      <c r="G649" s="166" t="s">
        <v>3644</v>
      </c>
      <c r="H649" s="151">
        <v>18</v>
      </c>
      <c r="I649" s="160">
        <v>1</v>
      </c>
      <c r="J649" s="159">
        <v>1.17</v>
      </c>
      <c r="K649" s="161">
        <v>18</v>
      </c>
      <c r="L649" s="159">
        <v>20.97</v>
      </c>
      <c r="M649" s="160">
        <v>20.97</v>
      </c>
      <c r="N649" s="145"/>
      <c r="O649" s="156" t="s">
        <v>166</v>
      </c>
      <c r="P649" s="144" t="s">
        <v>2480</v>
      </c>
      <c r="Q649" s="147">
        <v>44652</v>
      </c>
      <c r="R649" s="146">
        <v>2048</v>
      </c>
      <c r="S649" s="157"/>
      <c r="T649" s="144" t="s">
        <v>25</v>
      </c>
      <c r="U649" s="150" t="s">
        <v>2479</v>
      </c>
      <c r="V649" s="146">
        <v>1388</v>
      </c>
      <c r="W649" s="148"/>
      <c r="X649" s="149">
        <v>45566</v>
      </c>
      <c r="Y649" s="165" t="s">
        <v>2913</v>
      </c>
    </row>
    <row r="650" spans="1:25">
      <c r="A650" s="163" t="s">
        <v>309</v>
      </c>
      <c r="B650" s="144" t="s">
        <v>2463</v>
      </c>
      <c r="C650" s="164" t="s">
        <v>3645</v>
      </c>
      <c r="D650" s="144" t="s">
        <v>538</v>
      </c>
      <c r="E650" s="150" t="s">
        <v>2466</v>
      </c>
      <c r="F650" s="144" t="s">
        <v>2467</v>
      </c>
      <c r="G650" s="166"/>
      <c r="H650" s="151">
        <v>1</v>
      </c>
      <c r="I650" s="160">
        <v>200</v>
      </c>
      <c r="J650" s="159">
        <v>200</v>
      </c>
      <c r="K650" s="161">
        <v>200</v>
      </c>
      <c r="L650" s="159">
        <v>200</v>
      </c>
      <c r="M650" s="160">
        <v>200</v>
      </c>
      <c r="N650" s="145">
        <v>800</v>
      </c>
      <c r="O650" s="156" t="s">
        <v>135</v>
      </c>
      <c r="P650" s="144" t="s">
        <v>2468</v>
      </c>
      <c r="Q650" s="147">
        <v>46784</v>
      </c>
      <c r="R650" s="146"/>
      <c r="S650" s="157"/>
      <c r="T650" s="144" t="s">
        <v>29</v>
      </c>
      <c r="U650" s="150" t="s">
        <v>20</v>
      </c>
      <c r="V650" s="146">
        <v>2796</v>
      </c>
      <c r="W650" s="148"/>
      <c r="X650" s="149">
        <v>45778</v>
      </c>
      <c r="Y650" s="165" t="s">
        <v>2913</v>
      </c>
    </row>
    <row r="651" spans="1:25">
      <c r="A651" s="163" t="s">
        <v>7</v>
      </c>
      <c r="B651" s="144" t="s">
        <v>2463</v>
      </c>
      <c r="C651" s="164" t="s">
        <v>3646</v>
      </c>
      <c r="D651" s="144" t="s">
        <v>2905</v>
      </c>
      <c r="E651" s="150" t="s">
        <v>2466</v>
      </c>
      <c r="F651" s="144" t="s">
        <v>2467</v>
      </c>
      <c r="G651" s="166"/>
      <c r="H651" s="151">
        <v>1</v>
      </c>
      <c r="I651" s="160">
        <v>10</v>
      </c>
      <c r="J651" s="159">
        <v>10</v>
      </c>
      <c r="K651" s="161">
        <v>10</v>
      </c>
      <c r="L651" s="159">
        <v>10</v>
      </c>
      <c r="M651" s="160">
        <v>10</v>
      </c>
      <c r="N651" s="145">
        <v>40</v>
      </c>
      <c r="O651" s="156" t="s">
        <v>135</v>
      </c>
      <c r="P651" s="144" t="s">
        <v>2468</v>
      </c>
      <c r="Q651" s="147"/>
      <c r="R651" s="146"/>
      <c r="S651" s="157"/>
      <c r="T651" s="144" t="s">
        <v>29</v>
      </c>
      <c r="U651" s="150" t="s">
        <v>20</v>
      </c>
      <c r="V651" s="146">
        <v>1878</v>
      </c>
      <c r="W651" s="148"/>
      <c r="X651" s="149">
        <v>45689</v>
      </c>
      <c r="Y651" s="165" t="s">
        <v>2558</v>
      </c>
    </row>
    <row r="652" spans="1:25">
      <c r="A652" s="163" t="s">
        <v>7</v>
      </c>
      <c r="B652" s="144" t="s">
        <v>2463</v>
      </c>
      <c r="C652" s="164" t="s">
        <v>3647</v>
      </c>
      <c r="D652" s="144" t="s">
        <v>3648</v>
      </c>
      <c r="E652" s="150" t="s">
        <v>2466</v>
      </c>
      <c r="F652" s="144" t="s">
        <v>2467</v>
      </c>
      <c r="G652" s="166"/>
      <c r="H652" s="151">
        <v>1</v>
      </c>
      <c r="I652" s="160">
        <v>75</v>
      </c>
      <c r="J652" s="159">
        <v>75</v>
      </c>
      <c r="K652" s="161">
        <v>75</v>
      </c>
      <c r="L652" s="159">
        <v>75</v>
      </c>
      <c r="M652" s="160">
        <v>75</v>
      </c>
      <c r="N652" s="145">
        <v>148</v>
      </c>
      <c r="O652" s="156" t="s">
        <v>135</v>
      </c>
      <c r="P652" s="144" t="s">
        <v>2468</v>
      </c>
      <c r="Q652" s="147"/>
      <c r="R652" s="146"/>
      <c r="S652" s="157"/>
      <c r="T652" s="144" t="s">
        <v>29</v>
      </c>
      <c r="U652" s="150" t="s">
        <v>20</v>
      </c>
      <c r="V652" s="146">
        <v>2569</v>
      </c>
      <c r="W652" s="148" t="s">
        <v>3649</v>
      </c>
      <c r="X652" s="149">
        <v>45689</v>
      </c>
      <c r="Y652" s="165" t="s">
        <v>2558</v>
      </c>
    </row>
    <row r="653" spans="1:25">
      <c r="A653" s="163" t="s">
        <v>7</v>
      </c>
      <c r="B653" s="144" t="s">
        <v>163</v>
      </c>
      <c r="C653" s="164" t="s">
        <v>3650</v>
      </c>
      <c r="D653" s="144" t="s">
        <v>3651</v>
      </c>
      <c r="E653" s="150" t="s">
        <v>2593</v>
      </c>
      <c r="F653" s="144" t="s">
        <v>2482</v>
      </c>
      <c r="G653" s="166" t="s">
        <v>3652</v>
      </c>
      <c r="H653" s="151">
        <v>1</v>
      </c>
      <c r="I653" s="160">
        <v>29</v>
      </c>
      <c r="J653" s="159">
        <v>29</v>
      </c>
      <c r="K653" s="161">
        <v>29</v>
      </c>
      <c r="L653" s="159">
        <v>29</v>
      </c>
      <c r="M653" s="160">
        <v>29</v>
      </c>
      <c r="N653" s="145"/>
      <c r="O653" s="156" t="s">
        <v>166</v>
      </c>
      <c r="P653" s="144" t="s">
        <v>2468</v>
      </c>
      <c r="Q653" s="147"/>
      <c r="R653" s="146">
        <v>2057</v>
      </c>
      <c r="S653" s="157"/>
      <c r="T653" s="144" t="s">
        <v>25</v>
      </c>
      <c r="U653" s="150" t="s">
        <v>18</v>
      </c>
      <c r="V653" s="146">
        <v>1732</v>
      </c>
      <c r="W653" s="148"/>
      <c r="X653" s="149">
        <v>45689</v>
      </c>
      <c r="Y653" s="165" t="s">
        <v>2787</v>
      </c>
    </row>
    <row r="654" spans="1:25">
      <c r="A654" s="163" t="s">
        <v>423</v>
      </c>
      <c r="B654" s="144" t="s">
        <v>163</v>
      </c>
      <c r="C654" s="164" t="s">
        <v>3653</v>
      </c>
      <c r="D654" s="144" t="s">
        <v>2905</v>
      </c>
      <c r="E654" s="150" t="s">
        <v>2593</v>
      </c>
      <c r="F654" s="144" t="s">
        <v>2482</v>
      </c>
      <c r="G654" s="166" t="s">
        <v>3654</v>
      </c>
      <c r="H654" s="151">
        <v>1</v>
      </c>
      <c r="I654" s="160">
        <v>1</v>
      </c>
      <c r="J654" s="159">
        <v>29</v>
      </c>
      <c r="K654" s="161">
        <v>1</v>
      </c>
      <c r="L654" s="159">
        <v>29</v>
      </c>
      <c r="M654" s="160">
        <v>29</v>
      </c>
      <c r="N654" s="145"/>
      <c r="O654" s="156" t="s">
        <v>166</v>
      </c>
      <c r="P654" s="144" t="s">
        <v>2468</v>
      </c>
      <c r="Q654" s="147"/>
      <c r="R654" s="146">
        <v>2057</v>
      </c>
      <c r="S654" s="157"/>
      <c r="T654" s="144" t="s">
        <v>25</v>
      </c>
      <c r="U654" s="150" t="s">
        <v>18</v>
      </c>
      <c r="V654" s="146">
        <v>1736</v>
      </c>
      <c r="W654" s="148"/>
      <c r="X654" s="149">
        <v>45689</v>
      </c>
      <c r="Y654" s="165" t="s">
        <v>2787</v>
      </c>
    </row>
    <row r="655" spans="1:25">
      <c r="A655" s="163" t="s">
        <v>7</v>
      </c>
      <c r="B655" s="144" t="s">
        <v>2463</v>
      </c>
      <c r="C655" s="164" t="s">
        <v>3655</v>
      </c>
      <c r="D655" s="144" t="s">
        <v>3656</v>
      </c>
      <c r="E655" s="150" t="s">
        <v>2466</v>
      </c>
      <c r="F655" s="144" t="s">
        <v>2467</v>
      </c>
      <c r="G655" s="166"/>
      <c r="H655" s="151">
        <v>1</v>
      </c>
      <c r="I655" s="160">
        <v>75</v>
      </c>
      <c r="J655" s="159">
        <v>75</v>
      </c>
      <c r="K655" s="161">
        <v>75</v>
      </c>
      <c r="L655" s="159">
        <v>75</v>
      </c>
      <c r="M655" s="160">
        <v>75</v>
      </c>
      <c r="N655" s="145">
        <v>0</v>
      </c>
      <c r="O655" s="156" t="s">
        <v>135</v>
      </c>
      <c r="P655" s="144" t="s">
        <v>2468</v>
      </c>
      <c r="Q655" s="147"/>
      <c r="R655" s="146"/>
      <c r="S655" s="157"/>
      <c r="T655" s="144" t="s">
        <v>29</v>
      </c>
      <c r="U655" s="150" t="s">
        <v>20</v>
      </c>
      <c r="V655" s="146">
        <v>3040</v>
      </c>
      <c r="W655" s="148" t="s">
        <v>3657</v>
      </c>
      <c r="X655" s="149">
        <v>45901</v>
      </c>
      <c r="Y655" s="165" t="s">
        <v>3658</v>
      </c>
    </row>
    <row r="656" spans="1:25">
      <c r="A656" s="163" t="s">
        <v>7</v>
      </c>
      <c r="B656" s="144" t="s">
        <v>2463</v>
      </c>
      <c r="C656" s="164" t="s">
        <v>3659</v>
      </c>
      <c r="D656" s="144" t="s">
        <v>3376</v>
      </c>
      <c r="E656" s="150" t="s">
        <v>2630</v>
      </c>
      <c r="F656" s="144" t="s">
        <v>2486</v>
      </c>
      <c r="G656" s="166"/>
      <c r="H656" s="151">
        <v>1</v>
      </c>
      <c r="I656" s="160"/>
      <c r="J656" s="159">
        <v>1400</v>
      </c>
      <c r="K656" s="161"/>
      <c r="L656" s="159">
        <v>1400</v>
      </c>
      <c r="M656" s="160">
        <v>1400</v>
      </c>
      <c r="N656" s="145"/>
      <c r="O656" s="156" t="s">
        <v>135</v>
      </c>
      <c r="P656" s="144" t="s">
        <v>2478</v>
      </c>
      <c r="Q656" s="147"/>
      <c r="R656" s="146"/>
      <c r="S656" s="157"/>
      <c r="T656" s="144" t="s">
        <v>29</v>
      </c>
      <c r="U656" s="150" t="s">
        <v>17</v>
      </c>
      <c r="V656" s="146">
        <v>2029</v>
      </c>
      <c r="W656" s="148" t="s">
        <v>3660</v>
      </c>
      <c r="X656" s="149">
        <v>45901</v>
      </c>
      <c r="Y656" s="165" t="s">
        <v>3187</v>
      </c>
    </row>
    <row r="657" spans="1:25">
      <c r="A657" s="163" t="s">
        <v>7</v>
      </c>
      <c r="B657" s="144" t="s">
        <v>163</v>
      </c>
      <c r="C657" s="164" t="s">
        <v>3661</v>
      </c>
      <c r="D657" s="144" t="s">
        <v>218</v>
      </c>
      <c r="E657" s="150" t="s">
        <v>2501</v>
      </c>
      <c r="F657" s="144" t="s">
        <v>2502</v>
      </c>
      <c r="G657" s="166" t="s">
        <v>3662</v>
      </c>
      <c r="H657" s="151">
        <v>1</v>
      </c>
      <c r="I657" s="160"/>
      <c r="J657" s="159">
        <v>20.8</v>
      </c>
      <c r="K657" s="161"/>
      <c r="L657" s="159">
        <v>20.8</v>
      </c>
      <c r="M657" s="160">
        <v>20.8</v>
      </c>
      <c r="N657" s="145"/>
      <c r="O657" s="156" t="s">
        <v>166</v>
      </c>
      <c r="P657" s="144" t="s">
        <v>2468</v>
      </c>
      <c r="Q657" s="147"/>
      <c r="R657" s="146">
        <v>2036</v>
      </c>
      <c r="S657" s="157"/>
      <c r="T657" s="144" t="s">
        <v>25</v>
      </c>
      <c r="U657" s="150" t="s">
        <v>21</v>
      </c>
      <c r="V657" s="146">
        <v>1601</v>
      </c>
      <c r="W657" s="148"/>
      <c r="X657" s="149">
        <v>45689</v>
      </c>
      <c r="Y657" s="165" t="s">
        <v>2500</v>
      </c>
    </row>
    <row r="658" spans="1:25">
      <c r="A658" s="163" t="s">
        <v>7</v>
      </c>
      <c r="B658" s="144" t="s">
        <v>163</v>
      </c>
      <c r="C658" s="164" t="s">
        <v>229</v>
      </c>
      <c r="D658" s="144" t="s">
        <v>230</v>
      </c>
      <c r="E658" s="150" t="s">
        <v>2555</v>
      </c>
      <c r="F658" s="144" t="s">
        <v>2556</v>
      </c>
      <c r="G658" s="166" t="s">
        <v>231</v>
      </c>
      <c r="H658" s="151">
        <v>1</v>
      </c>
      <c r="I658" s="160"/>
      <c r="J658" s="159">
        <v>375</v>
      </c>
      <c r="K658" s="161"/>
      <c r="L658" s="159">
        <v>375</v>
      </c>
      <c r="M658" s="160">
        <v>375</v>
      </c>
      <c r="N658" s="145"/>
      <c r="O658" s="156" t="s">
        <v>164</v>
      </c>
      <c r="P658" s="144" t="s">
        <v>2468</v>
      </c>
      <c r="Q658" s="147">
        <v>45962</v>
      </c>
      <c r="R658" s="146">
        <v>2064</v>
      </c>
      <c r="S658" s="157"/>
      <c r="T658" s="144" t="s">
        <v>25</v>
      </c>
      <c r="U658" s="150" t="s">
        <v>14</v>
      </c>
      <c r="V658" s="146">
        <v>1871</v>
      </c>
      <c r="W658" s="148"/>
      <c r="X658" s="149">
        <v>45901</v>
      </c>
      <c r="Y658" s="165" t="s">
        <v>2620</v>
      </c>
    </row>
    <row r="659" spans="1:25">
      <c r="A659" s="163" t="s">
        <v>7</v>
      </c>
      <c r="B659" s="144" t="s">
        <v>163</v>
      </c>
      <c r="C659" s="164" t="s">
        <v>229</v>
      </c>
      <c r="D659" s="144" t="s">
        <v>230</v>
      </c>
      <c r="E659" s="150" t="s">
        <v>2555</v>
      </c>
      <c r="F659" s="144" t="s">
        <v>2556</v>
      </c>
      <c r="G659" s="166" t="s">
        <v>233</v>
      </c>
      <c r="H659" s="151">
        <v>1</v>
      </c>
      <c r="I659" s="160"/>
      <c r="J659" s="159">
        <v>375</v>
      </c>
      <c r="K659" s="161"/>
      <c r="L659" s="159">
        <v>375</v>
      </c>
      <c r="M659" s="160">
        <v>375</v>
      </c>
      <c r="N659" s="145"/>
      <c r="O659" s="156" t="s">
        <v>164</v>
      </c>
      <c r="P659" s="144" t="s">
        <v>2468</v>
      </c>
      <c r="Q659" s="147">
        <v>45992</v>
      </c>
      <c r="R659" s="146">
        <v>2064</v>
      </c>
      <c r="S659" s="157"/>
      <c r="T659" s="144" t="s">
        <v>25</v>
      </c>
      <c r="U659" s="150" t="s">
        <v>14</v>
      </c>
      <c r="V659" s="146">
        <v>1871</v>
      </c>
      <c r="W659" s="148"/>
      <c r="X659" s="149">
        <v>45901</v>
      </c>
      <c r="Y659" s="165" t="s">
        <v>2620</v>
      </c>
    </row>
    <row r="660" spans="1:25">
      <c r="A660" s="163" t="s">
        <v>423</v>
      </c>
      <c r="B660" s="144" t="s">
        <v>163</v>
      </c>
      <c r="C660" s="164" t="s">
        <v>3663</v>
      </c>
      <c r="D660" s="144" t="s">
        <v>3664</v>
      </c>
      <c r="E660" s="150" t="s">
        <v>2593</v>
      </c>
      <c r="F660" s="144" t="s">
        <v>2482</v>
      </c>
      <c r="G660" s="166"/>
      <c r="H660" s="151">
        <v>1</v>
      </c>
      <c r="I660" s="160">
        <v>0.25</v>
      </c>
      <c r="J660" s="159">
        <v>0.25</v>
      </c>
      <c r="K660" s="161">
        <v>0.25</v>
      </c>
      <c r="L660" s="159">
        <v>0.25</v>
      </c>
      <c r="M660" s="160">
        <v>0.25</v>
      </c>
      <c r="N660" s="145">
        <v>0</v>
      </c>
      <c r="O660" s="156" t="s">
        <v>166</v>
      </c>
      <c r="P660" s="144" t="s">
        <v>2480</v>
      </c>
      <c r="Q660" s="147"/>
      <c r="R660" s="146"/>
      <c r="S660" s="157"/>
      <c r="T660" s="144" t="s">
        <v>25</v>
      </c>
      <c r="U660" s="150" t="s">
        <v>18</v>
      </c>
      <c r="V660" s="146">
        <v>1565</v>
      </c>
      <c r="W660" s="148"/>
      <c r="X660" s="149">
        <v>45566</v>
      </c>
      <c r="Y660" s="165" t="s">
        <v>3665</v>
      </c>
    </row>
    <row r="661" spans="1:25">
      <c r="A661" s="163" t="s">
        <v>7</v>
      </c>
      <c r="B661" s="144" t="s">
        <v>2463</v>
      </c>
      <c r="C661" s="164" t="s">
        <v>3666</v>
      </c>
      <c r="D661" s="144" t="s">
        <v>1022</v>
      </c>
      <c r="E661" s="150" t="s">
        <v>2491</v>
      </c>
      <c r="F661" s="144" t="s">
        <v>2477</v>
      </c>
      <c r="G661" s="166"/>
      <c r="H661" s="151">
        <v>40</v>
      </c>
      <c r="I661" s="160"/>
      <c r="J661" s="159">
        <v>4.3899999999999997</v>
      </c>
      <c r="K661" s="161"/>
      <c r="L661" s="159">
        <v>175.6</v>
      </c>
      <c r="M661" s="160">
        <v>175.6</v>
      </c>
      <c r="N661" s="145"/>
      <c r="O661" s="156" t="s">
        <v>135</v>
      </c>
      <c r="P661" s="144" t="s">
        <v>2478</v>
      </c>
      <c r="Q661" s="147">
        <v>47209</v>
      </c>
      <c r="R661" s="146"/>
      <c r="S661" s="157"/>
      <c r="T661" s="144" t="s">
        <v>29</v>
      </c>
      <c r="U661" s="150" t="s">
        <v>2479</v>
      </c>
      <c r="V661" s="146">
        <v>2413</v>
      </c>
      <c r="W661" s="148" t="s">
        <v>3667</v>
      </c>
      <c r="X661" s="149">
        <v>45689</v>
      </c>
      <c r="Y661" s="165" t="s">
        <v>2520</v>
      </c>
    </row>
    <row r="662" spans="1:25">
      <c r="A662" s="163" t="s">
        <v>7</v>
      </c>
      <c r="B662" s="144" t="s">
        <v>2463</v>
      </c>
      <c r="C662" s="164" t="s">
        <v>3666</v>
      </c>
      <c r="D662" s="144" t="s">
        <v>1022</v>
      </c>
      <c r="E662" s="150" t="s">
        <v>2466</v>
      </c>
      <c r="F662" s="144" t="s">
        <v>2477</v>
      </c>
      <c r="G662" s="166"/>
      <c r="H662" s="151">
        <v>82</v>
      </c>
      <c r="I662" s="160"/>
      <c r="J662" s="159">
        <v>4.3899999999999997</v>
      </c>
      <c r="K662" s="161"/>
      <c r="L662" s="159">
        <v>359.98</v>
      </c>
      <c r="M662" s="160">
        <v>359.98</v>
      </c>
      <c r="N662" s="145">
        <v>300</v>
      </c>
      <c r="O662" s="156" t="s">
        <v>135</v>
      </c>
      <c r="P662" s="144" t="s">
        <v>2468</v>
      </c>
      <c r="Q662" s="147">
        <v>47209</v>
      </c>
      <c r="R662" s="146"/>
      <c r="S662" s="157"/>
      <c r="T662" s="144" t="s">
        <v>29</v>
      </c>
      <c r="U662" s="150" t="s">
        <v>20</v>
      </c>
      <c r="V662" s="146">
        <v>2413</v>
      </c>
      <c r="W662" s="148" t="s">
        <v>3667</v>
      </c>
      <c r="X662" s="149">
        <v>45689</v>
      </c>
      <c r="Y662" s="165" t="s">
        <v>2520</v>
      </c>
    </row>
    <row r="663" spans="1:25">
      <c r="A663" s="163" t="s">
        <v>7</v>
      </c>
      <c r="B663" s="144" t="s">
        <v>2463</v>
      </c>
      <c r="C663" s="164" t="s">
        <v>3666</v>
      </c>
      <c r="D663" s="144" t="s">
        <v>1022</v>
      </c>
      <c r="E663" s="150" t="s">
        <v>2485</v>
      </c>
      <c r="F663" s="144" t="s">
        <v>2486</v>
      </c>
      <c r="G663" s="166"/>
      <c r="H663" s="151">
        <v>28</v>
      </c>
      <c r="I663" s="160"/>
      <c r="J663" s="159">
        <v>6.2</v>
      </c>
      <c r="K663" s="161"/>
      <c r="L663" s="159">
        <v>173.6</v>
      </c>
      <c r="M663" s="160">
        <v>173.6</v>
      </c>
      <c r="N663" s="145"/>
      <c r="O663" s="156" t="s">
        <v>135</v>
      </c>
      <c r="P663" s="144" t="s">
        <v>2478</v>
      </c>
      <c r="Q663" s="147">
        <v>47392</v>
      </c>
      <c r="R663" s="146"/>
      <c r="S663" s="157"/>
      <c r="T663" s="144" t="s">
        <v>29</v>
      </c>
      <c r="U663" s="150" t="s">
        <v>17</v>
      </c>
      <c r="V663" s="146">
        <v>2413</v>
      </c>
      <c r="W663" s="148" t="s">
        <v>3667</v>
      </c>
      <c r="X663" s="149">
        <v>45689</v>
      </c>
      <c r="Y663" s="165" t="s">
        <v>2520</v>
      </c>
    </row>
    <row r="664" spans="1:25">
      <c r="A664" s="163" t="s">
        <v>7</v>
      </c>
      <c r="B664" s="144" t="s">
        <v>2463</v>
      </c>
      <c r="C664" s="164" t="s">
        <v>3668</v>
      </c>
      <c r="D664" s="144" t="s">
        <v>3275</v>
      </c>
      <c r="E664" s="150" t="s">
        <v>2630</v>
      </c>
      <c r="F664" s="144" t="s">
        <v>2486</v>
      </c>
      <c r="G664" s="166"/>
      <c r="H664" s="151">
        <v>1</v>
      </c>
      <c r="I664" s="160"/>
      <c r="J664" s="159">
        <v>2000</v>
      </c>
      <c r="K664" s="161"/>
      <c r="L664" s="159">
        <v>2000</v>
      </c>
      <c r="M664" s="160">
        <v>2000</v>
      </c>
      <c r="N664" s="145"/>
      <c r="O664" s="156" t="s">
        <v>135</v>
      </c>
      <c r="P664" s="144" t="s">
        <v>2478</v>
      </c>
      <c r="Q664" s="147">
        <v>47849</v>
      </c>
      <c r="R664" s="146"/>
      <c r="S664" s="157"/>
      <c r="T664" s="144" t="s">
        <v>29</v>
      </c>
      <c r="U664" s="150" t="s">
        <v>17</v>
      </c>
      <c r="V664" s="146">
        <v>2024</v>
      </c>
      <c r="W664" s="148"/>
      <c r="X664" s="149">
        <v>45901</v>
      </c>
      <c r="Y664" s="165" t="s">
        <v>3276</v>
      </c>
    </row>
    <row r="665" spans="1:25">
      <c r="A665" s="163" t="s">
        <v>309</v>
      </c>
      <c r="B665" s="144" t="s">
        <v>2463</v>
      </c>
      <c r="C665" s="164" t="s">
        <v>3669</v>
      </c>
      <c r="D665" s="144" t="s">
        <v>526</v>
      </c>
      <c r="E665" s="150" t="s">
        <v>2491</v>
      </c>
      <c r="F665" s="144" t="s">
        <v>2477</v>
      </c>
      <c r="G665" s="166"/>
      <c r="H665" s="151">
        <v>6</v>
      </c>
      <c r="I665" s="160">
        <v>4</v>
      </c>
      <c r="J665" s="159">
        <v>4</v>
      </c>
      <c r="K665" s="161">
        <v>24</v>
      </c>
      <c r="L665" s="159">
        <v>24</v>
      </c>
      <c r="M665" s="160">
        <v>24</v>
      </c>
      <c r="N665" s="145"/>
      <c r="O665" s="156" t="s">
        <v>135</v>
      </c>
      <c r="P665" s="144" t="s">
        <v>2480</v>
      </c>
      <c r="Q665" s="147">
        <v>46204</v>
      </c>
      <c r="R665" s="146">
        <v>2054</v>
      </c>
      <c r="S665" s="157"/>
      <c r="T665" s="144" t="s">
        <v>29</v>
      </c>
      <c r="U665" s="150" t="s">
        <v>2479</v>
      </c>
      <c r="V665" s="146">
        <v>1710</v>
      </c>
      <c r="W665" s="148"/>
      <c r="X665" s="149">
        <v>44713</v>
      </c>
      <c r="Y665" s="165" t="s">
        <v>2975</v>
      </c>
    </row>
    <row r="666" spans="1:25">
      <c r="A666" s="163" t="s">
        <v>7</v>
      </c>
      <c r="B666" s="144" t="s">
        <v>2463</v>
      </c>
      <c r="C666" s="164" t="s">
        <v>3670</v>
      </c>
      <c r="D666" s="144" t="s">
        <v>3671</v>
      </c>
      <c r="E666" s="150" t="s">
        <v>2466</v>
      </c>
      <c r="F666" s="144" t="s">
        <v>2467</v>
      </c>
      <c r="G666" s="166"/>
      <c r="H666" s="151">
        <v>40</v>
      </c>
      <c r="I666" s="160">
        <v>3.75</v>
      </c>
      <c r="J666" s="159">
        <v>3.75</v>
      </c>
      <c r="K666" s="161">
        <v>150</v>
      </c>
      <c r="L666" s="159">
        <v>150</v>
      </c>
      <c r="M666" s="160">
        <v>150</v>
      </c>
      <c r="N666" s="145">
        <v>0</v>
      </c>
      <c r="O666" s="156" t="s">
        <v>135</v>
      </c>
      <c r="P666" s="144" t="s">
        <v>2468</v>
      </c>
      <c r="Q666" s="147"/>
      <c r="R666" s="146"/>
      <c r="S666" s="157"/>
      <c r="T666" s="144" t="s">
        <v>29</v>
      </c>
      <c r="U666" s="150" t="s">
        <v>20</v>
      </c>
      <c r="V666" s="146">
        <v>2991</v>
      </c>
      <c r="W666" s="148" t="s">
        <v>3672</v>
      </c>
      <c r="X666" s="149">
        <v>45901</v>
      </c>
      <c r="Y666" s="165" t="s">
        <v>2800</v>
      </c>
    </row>
    <row r="667" spans="1:25">
      <c r="A667" s="163" t="s">
        <v>423</v>
      </c>
      <c r="B667" s="144" t="s">
        <v>2463</v>
      </c>
      <c r="C667" s="164" t="s">
        <v>3673</v>
      </c>
      <c r="D667" s="144" t="s">
        <v>662</v>
      </c>
      <c r="E667" s="150" t="s">
        <v>2476</v>
      </c>
      <c r="F667" s="144" t="s">
        <v>2477</v>
      </c>
      <c r="G667" s="166"/>
      <c r="H667" s="151">
        <v>1</v>
      </c>
      <c r="I667" s="160"/>
      <c r="J667" s="159">
        <v>22</v>
      </c>
      <c r="K667" s="161"/>
      <c r="L667" s="159">
        <v>22</v>
      </c>
      <c r="M667" s="160">
        <v>22</v>
      </c>
      <c r="N667" s="145"/>
      <c r="O667" s="156" t="s">
        <v>135</v>
      </c>
      <c r="P667" s="144" t="s">
        <v>2478</v>
      </c>
      <c r="Q667" s="147"/>
      <c r="R667" s="146"/>
      <c r="S667" s="157"/>
      <c r="T667" s="144" t="s">
        <v>29</v>
      </c>
      <c r="U667" s="150" t="s">
        <v>2479</v>
      </c>
      <c r="V667" s="146">
        <v>2057</v>
      </c>
      <c r="W667" s="148"/>
      <c r="X667" s="149">
        <v>45901</v>
      </c>
      <c r="Y667" s="165" t="s">
        <v>2704</v>
      </c>
    </row>
    <row r="668" spans="1:25">
      <c r="A668" s="163" t="s">
        <v>423</v>
      </c>
      <c r="B668" s="144" t="s">
        <v>2463</v>
      </c>
      <c r="C668" s="164" t="s">
        <v>820</v>
      </c>
      <c r="D668" s="144" t="s">
        <v>821</v>
      </c>
      <c r="E668" s="150" t="s">
        <v>2485</v>
      </c>
      <c r="F668" s="144" t="s">
        <v>2486</v>
      </c>
      <c r="G668" s="166"/>
      <c r="H668" s="151">
        <v>15</v>
      </c>
      <c r="I668" s="160">
        <v>5.93</v>
      </c>
      <c r="J668" s="159">
        <v>6.1</v>
      </c>
      <c r="K668" s="161">
        <v>88.95</v>
      </c>
      <c r="L668" s="159">
        <v>91.5</v>
      </c>
      <c r="M668" s="160" t="s">
        <v>3674</v>
      </c>
      <c r="N668" s="145"/>
      <c r="O668" s="156" t="s">
        <v>28</v>
      </c>
      <c r="P668" s="144" t="s">
        <v>2478</v>
      </c>
      <c r="Q668" s="147">
        <v>46235</v>
      </c>
      <c r="R668" s="146"/>
      <c r="S668" s="157"/>
      <c r="T668" s="144" t="s">
        <v>28</v>
      </c>
      <c r="U668" s="150" t="s">
        <v>17</v>
      </c>
      <c r="V668" s="146">
        <v>1631</v>
      </c>
      <c r="W668" s="148"/>
      <c r="X668" s="149">
        <v>45901</v>
      </c>
      <c r="Y668" s="165" t="s">
        <v>3006</v>
      </c>
    </row>
    <row r="669" spans="1:25">
      <c r="A669" s="163" t="s">
        <v>309</v>
      </c>
      <c r="B669" s="144" t="s">
        <v>163</v>
      </c>
      <c r="C669" s="164" t="s">
        <v>3675</v>
      </c>
      <c r="D669" s="144" t="s">
        <v>3676</v>
      </c>
      <c r="E669" s="150" t="s">
        <v>2639</v>
      </c>
      <c r="F669" s="144" t="s">
        <v>3104</v>
      </c>
      <c r="G669" s="166" t="s">
        <v>3677</v>
      </c>
      <c r="H669" s="151">
        <v>1</v>
      </c>
      <c r="I669" s="160"/>
      <c r="J669" s="159">
        <v>2.5</v>
      </c>
      <c r="K669" s="161"/>
      <c r="L669" s="159">
        <v>2.5</v>
      </c>
      <c r="M669" s="160">
        <v>2.5</v>
      </c>
      <c r="N669" s="145"/>
      <c r="O669" s="156" t="s">
        <v>166</v>
      </c>
      <c r="P669" s="144" t="s">
        <v>2480</v>
      </c>
      <c r="Q669" s="147"/>
      <c r="R669" s="146">
        <v>2031</v>
      </c>
      <c r="S669" s="157"/>
      <c r="T669" s="144" t="s">
        <v>25</v>
      </c>
      <c r="U669" s="150" t="s">
        <v>19</v>
      </c>
      <c r="V669" s="146">
        <v>1095</v>
      </c>
      <c r="W669" s="148"/>
      <c r="X669" s="149">
        <v>45778</v>
      </c>
      <c r="Y669" s="165" t="s">
        <v>3678</v>
      </c>
    </row>
    <row r="670" spans="1:25">
      <c r="A670" s="163" t="s">
        <v>309</v>
      </c>
      <c r="B670" s="144" t="s">
        <v>163</v>
      </c>
      <c r="C670" s="164" t="s">
        <v>3675</v>
      </c>
      <c r="D670" s="144" t="s">
        <v>3676</v>
      </c>
      <c r="E670" s="150" t="s">
        <v>2639</v>
      </c>
      <c r="F670" s="144" t="s">
        <v>3104</v>
      </c>
      <c r="G670" s="166" t="s">
        <v>3677</v>
      </c>
      <c r="H670" s="151">
        <v>1</v>
      </c>
      <c r="I670" s="160"/>
      <c r="J670" s="159">
        <v>9</v>
      </c>
      <c r="K670" s="161"/>
      <c r="L670" s="159">
        <v>9</v>
      </c>
      <c r="M670" s="160">
        <v>9</v>
      </c>
      <c r="N670" s="145"/>
      <c r="O670" s="156" t="s">
        <v>166</v>
      </c>
      <c r="P670" s="144" t="s">
        <v>2480</v>
      </c>
      <c r="Q670" s="147"/>
      <c r="R670" s="146">
        <v>2031</v>
      </c>
      <c r="S670" s="157"/>
      <c r="T670" s="144" t="s">
        <v>25</v>
      </c>
      <c r="U670" s="150" t="s">
        <v>19</v>
      </c>
      <c r="V670" s="146">
        <v>1095</v>
      </c>
      <c r="W670" s="148"/>
      <c r="X670" s="149">
        <v>45778</v>
      </c>
      <c r="Y670" s="165" t="s">
        <v>3678</v>
      </c>
    </row>
    <row r="671" spans="1:25">
      <c r="A671" s="163" t="s">
        <v>309</v>
      </c>
      <c r="B671" s="144" t="s">
        <v>163</v>
      </c>
      <c r="C671" s="164" t="s">
        <v>3675</v>
      </c>
      <c r="D671" s="144" t="s">
        <v>3676</v>
      </c>
      <c r="E671" s="150" t="s">
        <v>2639</v>
      </c>
      <c r="F671" s="144" t="s">
        <v>3104</v>
      </c>
      <c r="G671" s="166" t="s">
        <v>3677</v>
      </c>
      <c r="H671" s="151">
        <v>1</v>
      </c>
      <c r="I671" s="160"/>
      <c r="J671" s="159">
        <v>38.799999999999997</v>
      </c>
      <c r="K671" s="161"/>
      <c r="L671" s="159">
        <v>38.799999999999997</v>
      </c>
      <c r="M671" s="160">
        <v>38.799999999999997</v>
      </c>
      <c r="N671" s="145"/>
      <c r="O671" s="156" t="s">
        <v>166</v>
      </c>
      <c r="P671" s="144" t="s">
        <v>2480</v>
      </c>
      <c r="Q671" s="147"/>
      <c r="R671" s="146">
        <v>2035</v>
      </c>
      <c r="S671" s="157"/>
      <c r="T671" s="144" t="s">
        <v>25</v>
      </c>
      <c r="U671" s="150" t="s">
        <v>19</v>
      </c>
      <c r="V671" s="146">
        <v>1095</v>
      </c>
      <c r="W671" s="148"/>
      <c r="X671" s="149">
        <v>45778</v>
      </c>
      <c r="Y671" s="165" t="s">
        <v>3678</v>
      </c>
    </row>
    <row r="672" spans="1:25">
      <c r="A672" s="163" t="s">
        <v>309</v>
      </c>
      <c r="B672" s="144" t="s">
        <v>2463</v>
      </c>
      <c r="C672" s="164" t="s">
        <v>3679</v>
      </c>
      <c r="D672" s="144" t="s">
        <v>3680</v>
      </c>
      <c r="E672" s="150" t="s">
        <v>2926</v>
      </c>
      <c r="F672" s="144" t="s">
        <v>2467</v>
      </c>
      <c r="G672" s="166"/>
      <c r="H672" s="151">
        <v>1</v>
      </c>
      <c r="I672" s="160">
        <v>20</v>
      </c>
      <c r="J672" s="159">
        <v>20</v>
      </c>
      <c r="K672" s="161">
        <v>20</v>
      </c>
      <c r="L672" s="159">
        <v>20</v>
      </c>
      <c r="M672" s="160">
        <v>20</v>
      </c>
      <c r="N672" s="145"/>
      <c r="O672" s="156" t="s">
        <v>135</v>
      </c>
      <c r="P672" s="144" t="s">
        <v>2478</v>
      </c>
      <c r="Q672" s="147"/>
      <c r="R672" s="146"/>
      <c r="S672" s="157"/>
      <c r="T672" s="144" t="s">
        <v>29</v>
      </c>
      <c r="U672" s="150" t="s">
        <v>21</v>
      </c>
      <c r="V672" s="146">
        <v>3061</v>
      </c>
      <c r="W672" s="148" t="s">
        <v>3681</v>
      </c>
      <c r="X672" s="149">
        <v>45901</v>
      </c>
      <c r="Y672" s="165" t="s">
        <v>2496</v>
      </c>
    </row>
    <row r="673" spans="1:25">
      <c r="A673" s="163" t="s">
        <v>309</v>
      </c>
      <c r="B673" s="144" t="s">
        <v>163</v>
      </c>
      <c r="C673" s="164" t="s">
        <v>3682</v>
      </c>
      <c r="D673" s="144" t="s">
        <v>3683</v>
      </c>
      <c r="E673" s="150" t="s">
        <v>2639</v>
      </c>
      <c r="F673" s="144" t="s">
        <v>2467</v>
      </c>
      <c r="G673" s="166" t="s">
        <v>3677</v>
      </c>
      <c r="H673" s="151">
        <v>1</v>
      </c>
      <c r="I673" s="160">
        <v>25</v>
      </c>
      <c r="J673" s="159">
        <v>25</v>
      </c>
      <c r="K673" s="161">
        <v>25</v>
      </c>
      <c r="L673" s="159">
        <v>25</v>
      </c>
      <c r="M673" s="160">
        <v>25</v>
      </c>
      <c r="N673" s="145"/>
      <c r="O673" s="156" t="s">
        <v>166</v>
      </c>
      <c r="P673" s="144" t="s">
        <v>2480</v>
      </c>
      <c r="Q673" s="147"/>
      <c r="R673" s="146"/>
      <c r="S673" s="157"/>
      <c r="T673" s="144" t="s">
        <v>25</v>
      </c>
      <c r="U673" s="150" t="s">
        <v>15</v>
      </c>
      <c r="V673" s="146">
        <v>1249</v>
      </c>
      <c r="W673" s="148"/>
      <c r="X673" s="149">
        <v>45566</v>
      </c>
      <c r="Y673" s="165" t="s">
        <v>2558</v>
      </c>
    </row>
    <row r="674" spans="1:25">
      <c r="A674" s="163" t="s">
        <v>7</v>
      </c>
      <c r="B674" s="144" t="s">
        <v>2463</v>
      </c>
      <c r="C674" s="164" t="s">
        <v>3684</v>
      </c>
      <c r="D674" s="144" t="s">
        <v>3685</v>
      </c>
      <c r="E674" s="150" t="s">
        <v>2466</v>
      </c>
      <c r="F674" s="144" t="s">
        <v>2467</v>
      </c>
      <c r="G674" s="166"/>
      <c r="H674" s="151">
        <v>900</v>
      </c>
      <c r="I674" s="160">
        <v>0.78</v>
      </c>
      <c r="J674" s="159">
        <v>0.78</v>
      </c>
      <c r="K674" s="161">
        <v>702</v>
      </c>
      <c r="L674" s="159">
        <v>702</v>
      </c>
      <c r="M674" s="160">
        <v>702</v>
      </c>
      <c r="N674" s="145">
        <v>0</v>
      </c>
      <c r="O674" s="156" t="s">
        <v>135</v>
      </c>
      <c r="P674" s="144" t="s">
        <v>2468</v>
      </c>
      <c r="Q674" s="147"/>
      <c r="R674" s="146"/>
      <c r="S674" s="157"/>
      <c r="T674" s="144" t="s">
        <v>29</v>
      </c>
      <c r="U674" s="150" t="s">
        <v>20</v>
      </c>
      <c r="V674" s="146">
        <v>2992</v>
      </c>
      <c r="W674" s="148" t="s">
        <v>3686</v>
      </c>
      <c r="X674" s="149">
        <v>45901</v>
      </c>
      <c r="Y674" s="165" t="s">
        <v>2800</v>
      </c>
    </row>
    <row r="675" spans="1:25">
      <c r="A675" s="163" t="s">
        <v>7</v>
      </c>
      <c r="B675" s="144" t="s">
        <v>163</v>
      </c>
      <c r="C675" s="164" t="s">
        <v>3687</v>
      </c>
      <c r="D675" s="144" t="s">
        <v>1665</v>
      </c>
      <c r="E675" s="150" t="s">
        <v>2506</v>
      </c>
      <c r="F675" s="144" t="s">
        <v>3046</v>
      </c>
      <c r="G675" s="166" t="s">
        <v>3688</v>
      </c>
      <c r="H675" s="151">
        <v>2</v>
      </c>
      <c r="I675" s="160"/>
      <c r="J675" s="159">
        <v>1.1499999999999999</v>
      </c>
      <c r="K675" s="161"/>
      <c r="L675" s="159">
        <v>2.2999999999999998</v>
      </c>
      <c r="M675" s="160">
        <v>2.2999999999999998</v>
      </c>
      <c r="N675" s="145"/>
      <c r="O675" s="156" t="s">
        <v>166</v>
      </c>
      <c r="P675" s="144" t="s">
        <v>2480</v>
      </c>
      <c r="Q675" s="147"/>
      <c r="R675" s="146">
        <v>2026</v>
      </c>
      <c r="S675" s="157"/>
      <c r="T675" s="144" t="s">
        <v>25</v>
      </c>
      <c r="U675" s="150" t="s">
        <v>19</v>
      </c>
      <c r="V675" s="146">
        <v>1330</v>
      </c>
      <c r="W675" s="148"/>
      <c r="X675" s="149">
        <v>45566</v>
      </c>
      <c r="Y675" s="165" t="s">
        <v>2836</v>
      </c>
    </row>
    <row r="676" spans="1:25">
      <c r="A676" s="163" t="s">
        <v>309</v>
      </c>
      <c r="B676" s="144" t="s">
        <v>2463</v>
      </c>
      <c r="C676" s="164" t="s">
        <v>3689</v>
      </c>
      <c r="D676" s="144" t="s">
        <v>2654</v>
      </c>
      <c r="E676" s="150" t="s">
        <v>2466</v>
      </c>
      <c r="F676" s="144" t="s">
        <v>2467</v>
      </c>
      <c r="G676" s="166"/>
      <c r="H676" s="151">
        <v>1</v>
      </c>
      <c r="I676" s="160">
        <v>200</v>
      </c>
      <c r="J676" s="159">
        <v>200</v>
      </c>
      <c r="K676" s="161">
        <v>200</v>
      </c>
      <c r="L676" s="159">
        <v>200</v>
      </c>
      <c r="M676" s="160">
        <v>200</v>
      </c>
      <c r="N676" s="145">
        <v>400</v>
      </c>
      <c r="O676" s="156" t="s">
        <v>135</v>
      </c>
      <c r="P676" s="144" t="s">
        <v>2468</v>
      </c>
      <c r="Q676" s="147"/>
      <c r="R676" s="146"/>
      <c r="S676" s="157"/>
      <c r="T676" s="144" t="s">
        <v>29</v>
      </c>
      <c r="U676" s="150" t="s">
        <v>20</v>
      </c>
      <c r="V676" s="146">
        <v>2908</v>
      </c>
      <c r="W676" s="148" t="s">
        <v>3690</v>
      </c>
      <c r="X676" s="149"/>
      <c r="Y676" s="165" t="s">
        <v>2538</v>
      </c>
    </row>
    <row r="677" spans="1:25">
      <c r="A677" s="163" t="s">
        <v>309</v>
      </c>
      <c r="B677" s="144" t="s">
        <v>2463</v>
      </c>
      <c r="C677" s="164" t="s">
        <v>3691</v>
      </c>
      <c r="D677" s="144" t="s">
        <v>3376</v>
      </c>
      <c r="E677" s="150" t="s">
        <v>2476</v>
      </c>
      <c r="F677" s="144" t="s">
        <v>2477</v>
      </c>
      <c r="G677" s="166"/>
      <c r="H677" s="151">
        <v>1</v>
      </c>
      <c r="I677" s="160">
        <v>400</v>
      </c>
      <c r="J677" s="159">
        <v>400</v>
      </c>
      <c r="K677" s="161">
        <v>400</v>
      </c>
      <c r="L677" s="159">
        <v>400</v>
      </c>
      <c r="M677" s="160">
        <v>400</v>
      </c>
      <c r="N677" s="145"/>
      <c r="O677" s="156" t="s">
        <v>135</v>
      </c>
      <c r="P677" s="144" t="s">
        <v>2478</v>
      </c>
      <c r="Q677" s="147"/>
      <c r="R677" s="146"/>
      <c r="S677" s="157"/>
      <c r="T677" s="144" t="s">
        <v>29</v>
      </c>
      <c r="U677" s="150" t="s">
        <v>2479</v>
      </c>
      <c r="V677" s="146">
        <v>3116</v>
      </c>
      <c r="W677" s="148"/>
      <c r="X677" s="149"/>
      <c r="Y677" s="165"/>
    </row>
    <row r="678" spans="1:25">
      <c r="A678" s="163" t="s">
        <v>309</v>
      </c>
      <c r="B678" s="144" t="s">
        <v>2463</v>
      </c>
      <c r="C678" s="164" t="s">
        <v>3691</v>
      </c>
      <c r="D678" s="144" t="s">
        <v>3376</v>
      </c>
      <c r="E678" s="150" t="s">
        <v>2466</v>
      </c>
      <c r="F678" s="144" t="s">
        <v>2477</v>
      </c>
      <c r="G678" s="166"/>
      <c r="H678" s="151">
        <v>1</v>
      </c>
      <c r="I678" s="160">
        <v>400</v>
      </c>
      <c r="J678" s="159">
        <v>400</v>
      </c>
      <c r="K678" s="161">
        <v>400</v>
      </c>
      <c r="L678" s="159">
        <v>400</v>
      </c>
      <c r="M678" s="160">
        <v>400</v>
      </c>
      <c r="N678" s="145">
        <v>1600</v>
      </c>
      <c r="O678" s="156" t="s">
        <v>135</v>
      </c>
      <c r="P678" s="144" t="s">
        <v>2468</v>
      </c>
      <c r="Q678" s="147"/>
      <c r="R678" s="146"/>
      <c r="S678" s="157"/>
      <c r="T678" s="144" t="s">
        <v>29</v>
      </c>
      <c r="U678" s="150" t="s">
        <v>20</v>
      </c>
      <c r="V678" s="146">
        <v>3116</v>
      </c>
      <c r="W678" s="148"/>
      <c r="X678" s="149"/>
      <c r="Y678" s="165"/>
    </row>
    <row r="679" spans="1:25">
      <c r="A679" s="163" t="s">
        <v>423</v>
      </c>
      <c r="B679" s="144" t="s">
        <v>163</v>
      </c>
      <c r="C679" s="164" t="s">
        <v>3692</v>
      </c>
      <c r="D679" s="144" t="s">
        <v>3693</v>
      </c>
      <c r="E679" s="150" t="s">
        <v>2555</v>
      </c>
      <c r="F679" s="144" t="s">
        <v>2556</v>
      </c>
      <c r="G679" s="166" t="s">
        <v>3694</v>
      </c>
      <c r="H679" s="151">
        <v>1</v>
      </c>
      <c r="I679" s="160"/>
      <c r="J679" s="159">
        <v>53</v>
      </c>
      <c r="K679" s="161"/>
      <c r="L679" s="159">
        <v>53</v>
      </c>
      <c r="M679" s="160">
        <v>53</v>
      </c>
      <c r="N679" s="145"/>
      <c r="O679" s="156" t="s">
        <v>166</v>
      </c>
      <c r="P679" s="144" t="s">
        <v>2468</v>
      </c>
      <c r="Q679" s="147"/>
      <c r="R679" s="146">
        <v>2039</v>
      </c>
      <c r="S679" s="157"/>
      <c r="T679" s="144" t="s">
        <v>25</v>
      </c>
      <c r="U679" s="150" t="s">
        <v>14</v>
      </c>
      <c r="V679" s="146">
        <v>1373</v>
      </c>
      <c r="W679" s="148"/>
      <c r="X679" s="149">
        <v>45689</v>
      </c>
      <c r="Y679" s="165" t="s">
        <v>2558</v>
      </c>
    </row>
    <row r="680" spans="1:25">
      <c r="A680" s="163" t="s">
        <v>423</v>
      </c>
      <c r="B680" s="144" t="s">
        <v>163</v>
      </c>
      <c r="C680" s="164" t="s">
        <v>3692</v>
      </c>
      <c r="D680" s="144" t="s">
        <v>3693</v>
      </c>
      <c r="E680" s="150" t="s">
        <v>2555</v>
      </c>
      <c r="F680" s="144" t="s">
        <v>2556</v>
      </c>
      <c r="G680" s="166" t="s">
        <v>3695</v>
      </c>
      <c r="H680" s="151">
        <v>1</v>
      </c>
      <c r="I680" s="160"/>
      <c r="J680" s="159">
        <v>53</v>
      </c>
      <c r="K680" s="161"/>
      <c r="L680" s="159">
        <v>53</v>
      </c>
      <c r="M680" s="160">
        <v>53</v>
      </c>
      <c r="N680" s="145"/>
      <c r="O680" s="156" t="s">
        <v>166</v>
      </c>
      <c r="P680" s="144" t="s">
        <v>2468</v>
      </c>
      <c r="Q680" s="147"/>
      <c r="R680" s="146">
        <v>2039</v>
      </c>
      <c r="S680" s="157"/>
      <c r="T680" s="144" t="s">
        <v>25</v>
      </c>
      <c r="U680" s="150" t="s">
        <v>14</v>
      </c>
      <c r="V680" s="146">
        <v>1373</v>
      </c>
      <c r="W680" s="148"/>
      <c r="X680" s="149">
        <v>45689</v>
      </c>
      <c r="Y680" s="165" t="s">
        <v>2558</v>
      </c>
    </row>
    <row r="681" spans="1:25">
      <c r="A681" s="163" t="s">
        <v>423</v>
      </c>
      <c r="B681" s="144" t="s">
        <v>163</v>
      </c>
      <c r="C681" s="164" t="s">
        <v>3692</v>
      </c>
      <c r="D681" s="144" t="s">
        <v>3693</v>
      </c>
      <c r="E681" s="150" t="s">
        <v>2555</v>
      </c>
      <c r="F681" s="144" t="s">
        <v>2556</v>
      </c>
      <c r="G681" s="166" t="s">
        <v>3696</v>
      </c>
      <c r="H681" s="151">
        <v>1</v>
      </c>
      <c r="I681" s="160"/>
      <c r="J681" s="159">
        <v>53</v>
      </c>
      <c r="K681" s="161"/>
      <c r="L681" s="159">
        <v>53</v>
      </c>
      <c r="M681" s="160">
        <v>53</v>
      </c>
      <c r="N681" s="145"/>
      <c r="O681" s="156" t="s">
        <v>166</v>
      </c>
      <c r="P681" s="144" t="s">
        <v>2468</v>
      </c>
      <c r="Q681" s="147"/>
      <c r="R681" s="146">
        <v>2039</v>
      </c>
      <c r="S681" s="157"/>
      <c r="T681" s="144" t="s">
        <v>25</v>
      </c>
      <c r="U681" s="150" t="s">
        <v>14</v>
      </c>
      <c r="V681" s="146">
        <v>1373</v>
      </c>
      <c r="W681" s="148"/>
      <c r="X681" s="149">
        <v>45689</v>
      </c>
      <c r="Y681" s="165" t="s">
        <v>2558</v>
      </c>
    </row>
    <row r="682" spans="1:25">
      <c r="A682" s="163" t="s">
        <v>423</v>
      </c>
      <c r="B682" s="144" t="s">
        <v>163</v>
      </c>
      <c r="C682" s="164" t="s">
        <v>3692</v>
      </c>
      <c r="D682" s="144" t="s">
        <v>3693</v>
      </c>
      <c r="E682" s="150" t="s">
        <v>2555</v>
      </c>
      <c r="F682" s="144" t="s">
        <v>2556</v>
      </c>
      <c r="G682" s="166" t="s">
        <v>3697</v>
      </c>
      <c r="H682" s="151">
        <v>1</v>
      </c>
      <c r="I682" s="160"/>
      <c r="J682" s="159">
        <v>53</v>
      </c>
      <c r="K682" s="161"/>
      <c r="L682" s="159">
        <v>53</v>
      </c>
      <c r="M682" s="160">
        <v>53</v>
      </c>
      <c r="N682" s="145"/>
      <c r="O682" s="156" t="s">
        <v>166</v>
      </c>
      <c r="P682" s="144" t="s">
        <v>2468</v>
      </c>
      <c r="Q682" s="147"/>
      <c r="R682" s="146">
        <v>2039</v>
      </c>
      <c r="S682" s="157"/>
      <c r="T682" s="144" t="s">
        <v>25</v>
      </c>
      <c r="U682" s="150" t="s">
        <v>14</v>
      </c>
      <c r="V682" s="146">
        <v>1373</v>
      </c>
      <c r="W682" s="148"/>
      <c r="X682" s="149">
        <v>45689</v>
      </c>
      <c r="Y682" s="165" t="s">
        <v>2558</v>
      </c>
    </row>
    <row r="683" spans="1:25">
      <c r="A683" s="163" t="s">
        <v>423</v>
      </c>
      <c r="B683" s="144" t="s">
        <v>163</v>
      </c>
      <c r="C683" s="164" t="s">
        <v>1276</v>
      </c>
      <c r="D683" s="144" t="s">
        <v>1277</v>
      </c>
      <c r="E683" s="150" t="s">
        <v>2555</v>
      </c>
      <c r="F683" s="144" t="s">
        <v>2556</v>
      </c>
      <c r="G683" s="166" t="s">
        <v>1278</v>
      </c>
      <c r="H683" s="151">
        <v>1</v>
      </c>
      <c r="I683" s="160"/>
      <c r="J683" s="159">
        <v>76</v>
      </c>
      <c r="K683" s="161"/>
      <c r="L683" s="159">
        <v>76</v>
      </c>
      <c r="M683" s="160">
        <v>76</v>
      </c>
      <c r="N683" s="145"/>
      <c r="O683" s="156" t="s">
        <v>166</v>
      </c>
      <c r="P683" s="144" t="s">
        <v>2468</v>
      </c>
      <c r="Q683" s="147"/>
      <c r="R683" s="146">
        <v>2039</v>
      </c>
      <c r="S683" s="157"/>
      <c r="T683" s="144" t="s">
        <v>25</v>
      </c>
      <c r="U683" s="150" t="s">
        <v>14</v>
      </c>
      <c r="V683" s="146">
        <v>1374</v>
      </c>
      <c r="W683" s="148"/>
      <c r="X683" s="149">
        <v>45689</v>
      </c>
      <c r="Y683" s="165" t="s">
        <v>2558</v>
      </c>
    </row>
    <row r="684" spans="1:25">
      <c r="A684" s="163" t="s">
        <v>423</v>
      </c>
      <c r="B684" s="144" t="s">
        <v>163</v>
      </c>
      <c r="C684" s="164" t="s">
        <v>1276</v>
      </c>
      <c r="D684" s="144" t="s">
        <v>1277</v>
      </c>
      <c r="E684" s="150" t="s">
        <v>2555</v>
      </c>
      <c r="F684" s="144" t="s">
        <v>2556</v>
      </c>
      <c r="G684" s="166" t="s">
        <v>3698</v>
      </c>
      <c r="H684" s="151">
        <v>1</v>
      </c>
      <c r="I684" s="160"/>
      <c r="J684" s="159">
        <v>76</v>
      </c>
      <c r="K684" s="161"/>
      <c r="L684" s="159">
        <v>76</v>
      </c>
      <c r="M684" s="160">
        <v>76</v>
      </c>
      <c r="N684" s="145"/>
      <c r="O684" s="156" t="s">
        <v>166</v>
      </c>
      <c r="P684" s="144" t="s">
        <v>2468</v>
      </c>
      <c r="Q684" s="147"/>
      <c r="R684" s="146">
        <v>2039</v>
      </c>
      <c r="S684" s="157"/>
      <c r="T684" s="144" t="s">
        <v>25</v>
      </c>
      <c r="U684" s="150" t="s">
        <v>14</v>
      </c>
      <c r="V684" s="146">
        <v>1374</v>
      </c>
      <c r="W684" s="148"/>
      <c r="X684" s="149">
        <v>45689</v>
      </c>
      <c r="Y684" s="165" t="s">
        <v>2558</v>
      </c>
    </row>
    <row r="685" spans="1:25">
      <c r="A685" s="163" t="s">
        <v>423</v>
      </c>
      <c r="B685" s="144" t="s">
        <v>163</v>
      </c>
      <c r="C685" s="164" t="s">
        <v>1276</v>
      </c>
      <c r="D685" s="144" t="s">
        <v>1277</v>
      </c>
      <c r="E685" s="150" t="s">
        <v>2555</v>
      </c>
      <c r="F685" s="144" t="s">
        <v>2556</v>
      </c>
      <c r="G685" s="166" t="s">
        <v>3699</v>
      </c>
      <c r="H685" s="151">
        <v>1</v>
      </c>
      <c r="I685" s="160"/>
      <c r="J685" s="159">
        <v>76</v>
      </c>
      <c r="K685" s="161"/>
      <c r="L685" s="159">
        <v>76</v>
      </c>
      <c r="M685" s="160">
        <v>76</v>
      </c>
      <c r="N685" s="145"/>
      <c r="O685" s="156" t="s">
        <v>166</v>
      </c>
      <c r="P685" s="144" t="s">
        <v>2468</v>
      </c>
      <c r="Q685" s="147"/>
      <c r="R685" s="146">
        <v>2039</v>
      </c>
      <c r="S685" s="157"/>
      <c r="T685" s="144" t="s">
        <v>25</v>
      </c>
      <c r="U685" s="150" t="s">
        <v>14</v>
      </c>
      <c r="V685" s="146">
        <v>1374</v>
      </c>
      <c r="W685" s="148"/>
      <c r="X685" s="149">
        <v>45689</v>
      </c>
      <c r="Y685" s="165" t="s">
        <v>2558</v>
      </c>
    </row>
    <row r="686" spans="1:25">
      <c r="A686" s="163" t="s">
        <v>7</v>
      </c>
      <c r="B686" s="144" t="s">
        <v>163</v>
      </c>
      <c r="C686" s="164" t="s">
        <v>1530</v>
      </c>
      <c r="D686" s="144" t="s">
        <v>1531</v>
      </c>
      <c r="E686" s="150" t="s">
        <v>2491</v>
      </c>
      <c r="F686" s="144" t="s">
        <v>2477</v>
      </c>
      <c r="G686" s="166" t="s">
        <v>1532</v>
      </c>
      <c r="H686" s="151">
        <v>20</v>
      </c>
      <c r="I686" s="160"/>
      <c r="J686" s="159">
        <v>2.75</v>
      </c>
      <c r="K686" s="161"/>
      <c r="L686" s="159">
        <v>55</v>
      </c>
      <c r="M686" s="160">
        <v>55</v>
      </c>
      <c r="N686" s="145">
        <v>0</v>
      </c>
      <c r="O686" s="156" t="s">
        <v>166</v>
      </c>
      <c r="P686" s="144" t="s">
        <v>2478</v>
      </c>
      <c r="Q686" s="147">
        <v>44531</v>
      </c>
      <c r="R686" s="146">
        <v>2050</v>
      </c>
      <c r="S686" s="157"/>
      <c r="T686" s="144" t="s">
        <v>25</v>
      </c>
      <c r="U686" s="150" t="s">
        <v>2479</v>
      </c>
      <c r="V686" s="146">
        <v>1521</v>
      </c>
      <c r="W686" s="148"/>
      <c r="X686" s="149">
        <v>45689</v>
      </c>
      <c r="Y686" s="165" t="s">
        <v>2470</v>
      </c>
    </row>
    <row r="687" spans="1:25">
      <c r="A687" s="163" t="s">
        <v>7</v>
      </c>
      <c r="B687" s="144" t="s">
        <v>2463</v>
      </c>
      <c r="C687" s="164" t="s">
        <v>3700</v>
      </c>
      <c r="D687" s="144" t="s">
        <v>690</v>
      </c>
      <c r="E687" s="150" t="s">
        <v>2485</v>
      </c>
      <c r="F687" s="144" t="s">
        <v>2486</v>
      </c>
      <c r="G687" s="166"/>
      <c r="H687" s="151">
        <v>48</v>
      </c>
      <c r="I687" s="160">
        <v>0</v>
      </c>
      <c r="J687" s="159">
        <v>6</v>
      </c>
      <c r="K687" s="161">
        <v>0</v>
      </c>
      <c r="L687" s="159">
        <v>288</v>
      </c>
      <c r="M687" s="160">
        <v>288</v>
      </c>
      <c r="N687" s="145"/>
      <c r="O687" s="156" t="s">
        <v>135</v>
      </c>
      <c r="P687" s="144" t="s">
        <v>2478</v>
      </c>
      <c r="Q687" s="147"/>
      <c r="R687" s="146"/>
      <c r="S687" s="157"/>
      <c r="T687" s="144" t="s">
        <v>29</v>
      </c>
      <c r="U687" s="150" t="s">
        <v>17</v>
      </c>
      <c r="V687" s="146">
        <v>2203</v>
      </c>
      <c r="W687" s="148" t="s">
        <v>3701</v>
      </c>
      <c r="X687" s="149">
        <v>45689</v>
      </c>
      <c r="Y687" s="165" t="s">
        <v>2500</v>
      </c>
    </row>
    <row r="688" spans="1:25">
      <c r="A688" s="163" t="s">
        <v>7</v>
      </c>
      <c r="B688" s="144" t="s">
        <v>163</v>
      </c>
      <c r="C688" s="164" t="s">
        <v>3702</v>
      </c>
      <c r="D688" s="144" t="s">
        <v>218</v>
      </c>
      <c r="E688" s="150" t="s">
        <v>2593</v>
      </c>
      <c r="F688" s="144" t="s">
        <v>2482</v>
      </c>
      <c r="G688" s="166" t="s">
        <v>3703</v>
      </c>
      <c r="H688" s="151">
        <v>1</v>
      </c>
      <c r="I688" s="160">
        <v>1.1000000000000001</v>
      </c>
      <c r="J688" s="159">
        <v>1.1000000000000001</v>
      </c>
      <c r="K688" s="161">
        <v>1.1000000000000001</v>
      </c>
      <c r="L688" s="159">
        <v>1.1000000000000001</v>
      </c>
      <c r="M688" s="160">
        <v>1.1000000000000001</v>
      </c>
      <c r="N688" s="145"/>
      <c r="O688" s="156" t="s">
        <v>166</v>
      </c>
      <c r="P688" s="144" t="s">
        <v>2480</v>
      </c>
      <c r="Q688" s="147"/>
      <c r="R688" s="146">
        <v>2070</v>
      </c>
      <c r="S688" s="157"/>
      <c r="T688" s="144" t="s">
        <v>25</v>
      </c>
      <c r="U688" s="150" t="s">
        <v>18</v>
      </c>
      <c r="V688" s="146">
        <v>1096</v>
      </c>
      <c r="W688" s="148"/>
      <c r="X688" s="149">
        <v>45566</v>
      </c>
      <c r="Y688" s="165" t="s">
        <v>2500</v>
      </c>
    </row>
    <row r="689" spans="1:25">
      <c r="A689" s="163" t="s">
        <v>7</v>
      </c>
      <c r="B689" s="144" t="s">
        <v>2463</v>
      </c>
      <c r="C689" s="164" t="s">
        <v>3704</v>
      </c>
      <c r="D689" s="144" t="s">
        <v>3705</v>
      </c>
      <c r="E689" s="150" t="s">
        <v>2466</v>
      </c>
      <c r="F689" s="144" t="s">
        <v>2467</v>
      </c>
      <c r="G689" s="166"/>
      <c r="H689" s="151">
        <v>1</v>
      </c>
      <c r="I689" s="160">
        <v>250</v>
      </c>
      <c r="J689" s="159">
        <v>250</v>
      </c>
      <c r="K689" s="161">
        <v>250</v>
      </c>
      <c r="L689" s="159">
        <v>250</v>
      </c>
      <c r="M689" s="160">
        <v>250</v>
      </c>
      <c r="N689" s="145">
        <v>0</v>
      </c>
      <c r="O689" s="156" t="s">
        <v>135</v>
      </c>
      <c r="P689" s="144" t="s">
        <v>2468</v>
      </c>
      <c r="Q689" s="147"/>
      <c r="R689" s="146"/>
      <c r="S689" s="157"/>
      <c r="T689" s="144" t="s">
        <v>29</v>
      </c>
      <c r="U689" s="150" t="s">
        <v>20</v>
      </c>
      <c r="V689" s="146">
        <v>2379</v>
      </c>
      <c r="W689" s="148" t="s">
        <v>3706</v>
      </c>
      <c r="X689" s="149">
        <v>45901</v>
      </c>
      <c r="Y689" s="165" t="s">
        <v>2897</v>
      </c>
    </row>
    <row r="690" spans="1:25">
      <c r="A690" s="163" t="s">
        <v>7</v>
      </c>
      <c r="B690" s="144" t="s">
        <v>2463</v>
      </c>
      <c r="C690" s="164" t="s">
        <v>3707</v>
      </c>
      <c r="D690" s="144" t="s">
        <v>3708</v>
      </c>
      <c r="E690" s="150" t="s">
        <v>2476</v>
      </c>
      <c r="F690" s="144" t="s">
        <v>2477</v>
      </c>
      <c r="G690" s="166"/>
      <c r="H690" s="151">
        <v>38</v>
      </c>
      <c r="I690" s="160">
        <v>3.16</v>
      </c>
      <c r="J690" s="159">
        <v>3.16</v>
      </c>
      <c r="K690" s="161">
        <v>120.08</v>
      </c>
      <c r="L690" s="159">
        <v>120.08</v>
      </c>
      <c r="M690" s="160">
        <v>120.08</v>
      </c>
      <c r="N690" s="145"/>
      <c r="O690" s="156" t="s">
        <v>135</v>
      </c>
      <c r="P690" s="144" t="s">
        <v>2478</v>
      </c>
      <c r="Q690" s="147"/>
      <c r="R690" s="146"/>
      <c r="S690" s="157"/>
      <c r="T690" s="144" t="s">
        <v>29</v>
      </c>
      <c r="U690" s="150" t="s">
        <v>2479</v>
      </c>
      <c r="V690" s="146">
        <v>2539</v>
      </c>
      <c r="W690" s="148" t="s">
        <v>3709</v>
      </c>
      <c r="X690" s="149">
        <v>45901</v>
      </c>
      <c r="Y690" s="165" t="s">
        <v>2722</v>
      </c>
    </row>
    <row r="691" spans="1:25">
      <c r="A691" s="163" t="s">
        <v>423</v>
      </c>
      <c r="B691" s="144" t="s">
        <v>2463</v>
      </c>
      <c r="C691" s="164" t="s">
        <v>3710</v>
      </c>
      <c r="D691" s="144" t="s">
        <v>473</v>
      </c>
      <c r="E691" s="150" t="s">
        <v>2466</v>
      </c>
      <c r="F691" s="144" t="s">
        <v>2467</v>
      </c>
      <c r="G691" s="166"/>
      <c r="H691" s="151">
        <v>1</v>
      </c>
      <c r="I691" s="160"/>
      <c r="J691" s="159">
        <v>296.7</v>
      </c>
      <c r="K691" s="161"/>
      <c r="L691" s="159">
        <v>296.7</v>
      </c>
      <c r="M691" s="160">
        <v>296.7</v>
      </c>
      <c r="N691" s="145">
        <v>1000</v>
      </c>
      <c r="O691" s="156" t="s">
        <v>28</v>
      </c>
      <c r="P691" s="144" t="s">
        <v>2468</v>
      </c>
      <c r="Q691" s="147">
        <v>47027</v>
      </c>
      <c r="R691" s="146">
        <v>2048</v>
      </c>
      <c r="S691" s="157"/>
      <c r="T691" s="144" t="s">
        <v>28</v>
      </c>
      <c r="U691" s="150" t="s">
        <v>20</v>
      </c>
      <c r="V691" s="146">
        <v>2246</v>
      </c>
      <c r="W691" s="148" t="s">
        <v>3711</v>
      </c>
      <c r="X691" s="149">
        <v>45901</v>
      </c>
      <c r="Y691" s="165" t="s">
        <v>2671</v>
      </c>
    </row>
    <row r="692" spans="1:25">
      <c r="A692" s="163" t="s">
        <v>565</v>
      </c>
      <c r="B692" s="144" t="s">
        <v>163</v>
      </c>
      <c r="C692" s="164" t="s">
        <v>3712</v>
      </c>
      <c r="D692" s="144" t="s">
        <v>1137</v>
      </c>
      <c r="E692" s="150" t="s">
        <v>2593</v>
      </c>
      <c r="F692" s="144" t="s">
        <v>2482</v>
      </c>
      <c r="G692" s="166" t="s">
        <v>3713</v>
      </c>
      <c r="H692" s="151">
        <v>1</v>
      </c>
      <c r="I692" s="160">
        <v>144</v>
      </c>
      <c r="J692" s="159">
        <v>144</v>
      </c>
      <c r="K692" s="161">
        <v>144</v>
      </c>
      <c r="L692" s="159">
        <v>144</v>
      </c>
      <c r="M692" s="160">
        <v>144</v>
      </c>
      <c r="N692" s="145"/>
      <c r="O692" s="156" t="s">
        <v>166</v>
      </c>
      <c r="P692" s="144" t="s">
        <v>2468</v>
      </c>
      <c r="Q692" s="147"/>
      <c r="R692" s="146">
        <v>2100</v>
      </c>
      <c r="S692" s="157"/>
      <c r="T692" s="144" t="s">
        <v>25</v>
      </c>
      <c r="U692" s="150" t="s">
        <v>18</v>
      </c>
      <c r="V692" s="146">
        <v>1097</v>
      </c>
      <c r="W692" s="148"/>
      <c r="X692" s="149">
        <v>45689</v>
      </c>
      <c r="Y692" s="165" t="s">
        <v>2541</v>
      </c>
    </row>
    <row r="693" spans="1:25">
      <c r="A693" s="163" t="s">
        <v>7</v>
      </c>
      <c r="B693" s="144" t="s">
        <v>163</v>
      </c>
      <c r="C693" s="164" t="s">
        <v>3714</v>
      </c>
      <c r="D693" s="144" t="s">
        <v>218</v>
      </c>
      <c r="E693" s="150" t="s">
        <v>2593</v>
      </c>
      <c r="F693" s="144" t="s">
        <v>2482</v>
      </c>
      <c r="G693" s="166" t="s">
        <v>3715</v>
      </c>
      <c r="H693" s="151">
        <v>1</v>
      </c>
      <c r="I693" s="160">
        <v>14.4</v>
      </c>
      <c r="J693" s="159">
        <v>14.4</v>
      </c>
      <c r="K693" s="161">
        <v>14.4</v>
      </c>
      <c r="L693" s="159">
        <v>14.4</v>
      </c>
      <c r="M693" s="160">
        <v>14.4</v>
      </c>
      <c r="N693" s="145"/>
      <c r="O693" s="156" t="s">
        <v>166</v>
      </c>
      <c r="P693" s="144" t="s">
        <v>2480</v>
      </c>
      <c r="Q693" s="147"/>
      <c r="R693" s="146">
        <v>2070</v>
      </c>
      <c r="S693" s="157"/>
      <c r="T693" s="144" t="s">
        <v>25</v>
      </c>
      <c r="U693" s="150" t="s">
        <v>18</v>
      </c>
      <c r="V693" s="146">
        <v>1098</v>
      </c>
      <c r="W693" s="148"/>
      <c r="X693" s="149">
        <v>45566</v>
      </c>
      <c r="Y693" s="165" t="s">
        <v>2500</v>
      </c>
    </row>
    <row r="694" spans="1:25">
      <c r="A694" s="163" t="s">
        <v>7</v>
      </c>
      <c r="B694" s="144" t="s">
        <v>2463</v>
      </c>
      <c r="C694" s="164" t="s">
        <v>3716</v>
      </c>
      <c r="D694" s="144" t="s">
        <v>3717</v>
      </c>
      <c r="E694" s="150" t="s">
        <v>2466</v>
      </c>
      <c r="F694" s="144" t="s">
        <v>2467</v>
      </c>
      <c r="G694" s="166"/>
      <c r="H694" s="151">
        <v>1</v>
      </c>
      <c r="I694" s="160">
        <v>200</v>
      </c>
      <c r="J694" s="159">
        <v>200</v>
      </c>
      <c r="K694" s="161">
        <v>200</v>
      </c>
      <c r="L694" s="159">
        <v>200</v>
      </c>
      <c r="M694" s="160">
        <v>200</v>
      </c>
      <c r="N694" s="145">
        <v>800</v>
      </c>
      <c r="O694" s="156" t="s">
        <v>135</v>
      </c>
      <c r="P694" s="144" t="s">
        <v>2468</v>
      </c>
      <c r="Q694" s="147">
        <v>48305</v>
      </c>
      <c r="R694" s="146">
        <v>2060</v>
      </c>
      <c r="S694" s="157"/>
      <c r="T694" s="144" t="s">
        <v>29</v>
      </c>
      <c r="U694" s="150" t="s">
        <v>20</v>
      </c>
      <c r="V694" s="146">
        <v>2536</v>
      </c>
      <c r="W694" s="148" t="s">
        <v>3718</v>
      </c>
      <c r="X694" s="149">
        <v>45901</v>
      </c>
      <c r="Y694" s="165" t="s">
        <v>2578</v>
      </c>
    </row>
    <row r="695" spans="1:25">
      <c r="A695" s="163" t="s">
        <v>7</v>
      </c>
      <c r="B695" s="144" t="s">
        <v>2463</v>
      </c>
      <c r="C695" s="164" t="s">
        <v>3716</v>
      </c>
      <c r="D695" s="144" t="s">
        <v>3717</v>
      </c>
      <c r="E695" s="150" t="s">
        <v>2485</v>
      </c>
      <c r="F695" s="144" t="s">
        <v>2486</v>
      </c>
      <c r="G695" s="166"/>
      <c r="H695" s="151">
        <v>96</v>
      </c>
      <c r="I695" s="160"/>
      <c r="J695" s="159">
        <v>6.2</v>
      </c>
      <c r="K695" s="161"/>
      <c r="L695" s="159">
        <v>595.20000000000005</v>
      </c>
      <c r="M695" s="160">
        <v>595.20000000000005</v>
      </c>
      <c r="N695" s="145"/>
      <c r="O695" s="156" t="s">
        <v>135</v>
      </c>
      <c r="P695" s="144" t="s">
        <v>2478</v>
      </c>
      <c r="Q695" s="147">
        <v>48305</v>
      </c>
      <c r="R695" s="146">
        <v>2060</v>
      </c>
      <c r="S695" s="157"/>
      <c r="T695" s="144" t="s">
        <v>29</v>
      </c>
      <c r="U695" s="150" t="s">
        <v>17</v>
      </c>
      <c r="V695" s="146">
        <v>2536</v>
      </c>
      <c r="W695" s="148" t="s">
        <v>3718</v>
      </c>
      <c r="X695" s="149">
        <v>45901</v>
      </c>
      <c r="Y695" s="165" t="s">
        <v>2578</v>
      </c>
    </row>
    <row r="696" spans="1:25">
      <c r="A696" s="163" t="s">
        <v>7</v>
      </c>
      <c r="B696" s="144" t="s">
        <v>163</v>
      </c>
      <c r="C696" s="164" t="s">
        <v>1464</v>
      </c>
      <c r="D696" s="144" t="s">
        <v>1465</v>
      </c>
      <c r="E696" s="150" t="s">
        <v>2491</v>
      </c>
      <c r="F696" s="144" t="s">
        <v>2477</v>
      </c>
      <c r="G696" s="166" t="s">
        <v>1466</v>
      </c>
      <c r="H696" s="151">
        <v>22</v>
      </c>
      <c r="I696" s="160">
        <v>1.64</v>
      </c>
      <c r="J696" s="159">
        <v>1.64</v>
      </c>
      <c r="K696" s="161">
        <v>36.01</v>
      </c>
      <c r="L696" s="159">
        <v>36.01</v>
      </c>
      <c r="M696" s="160">
        <v>36.01</v>
      </c>
      <c r="N696" s="145"/>
      <c r="O696" s="156" t="s">
        <v>166</v>
      </c>
      <c r="P696" s="144" t="s">
        <v>2478</v>
      </c>
      <c r="Q696" s="147"/>
      <c r="R696" s="146">
        <v>2050</v>
      </c>
      <c r="S696" s="157"/>
      <c r="T696" s="144" t="s">
        <v>25</v>
      </c>
      <c r="U696" s="150" t="s">
        <v>2479</v>
      </c>
      <c r="V696" s="146">
        <v>1526</v>
      </c>
      <c r="W696" s="148"/>
      <c r="X696" s="149">
        <v>45689</v>
      </c>
      <c r="Y696" s="165" t="s">
        <v>2474</v>
      </c>
    </row>
    <row r="697" spans="1:25">
      <c r="A697" s="163" t="s">
        <v>309</v>
      </c>
      <c r="B697" s="144" t="s">
        <v>163</v>
      </c>
      <c r="C697" s="164" t="s">
        <v>371</v>
      </c>
      <c r="D697" s="144" t="s">
        <v>372</v>
      </c>
      <c r="E697" s="150" t="s">
        <v>2485</v>
      </c>
      <c r="F697" s="144" t="s">
        <v>2486</v>
      </c>
      <c r="G697" s="166" t="s">
        <v>373</v>
      </c>
      <c r="H697" s="151">
        <v>28</v>
      </c>
      <c r="I697" s="160">
        <v>0</v>
      </c>
      <c r="J697" s="159">
        <v>5.6</v>
      </c>
      <c r="K697" s="161">
        <v>0</v>
      </c>
      <c r="L697" s="159">
        <v>156.80000000000001</v>
      </c>
      <c r="M697" s="160">
        <v>156.80000000000001</v>
      </c>
      <c r="N697" s="145"/>
      <c r="O697" s="156" t="s">
        <v>166</v>
      </c>
      <c r="P697" s="144" t="s">
        <v>2478</v>
      </c>
      <c r="Q697" s="147">
        <v>45017</v>
      </c>
      <c r="R697" s="146">
        <v>2048</v>
      </c>
      <c r="S697" s="157"/>
      <c r="T697" s="144" t="s">
        <v>25</v>
      </c>
      <c r="U697" s="150" t="s">
        <v>17</v>
      </c>
      <c r="V697" s="146">
        <v>2020</v>
      </c>
      <c r="W697" s="148"/>
      <c r="X697" s="149">
        <v>45901</v>
      </c>
      <c r="Y697" s="165" t="s">
        <v>2671</v>
      </c>
    </row>
    <row r="698" spans="1:25">
      <c r="A698" s="163" t="s">
        <v>309</v>
      </c>
      <c r="B698" s="144" t="s">
        <v>2463</v>
      </c>
      <c r="C698" s="164" t="s">
        <v>3719</v>
      </c>
      <c r="D698" s="144" t="s">
        <v>699</v>
      </c>
      <c r="E698" s="150" t="s">
        <v>2466</v>
      </c>
      <c r="F698" s="144" t="s">
        <v>2467</v>
      </c>
      <c r="G698" s="166"/>
      <c r="H698" s="151">
        <v>33</v>
      </c>
      <c r="I698" s="160">
        <v>0</v>
      </c>
      <c r="J698" s="159">
        <v>4.2</v>
      </c>
      <c r="K698" s="161">
        <v>0</v>
      </c>
      <c r="L698" s="159">
        <v>138.6</v>
      </c>
      <c r="M698" s="160">
        <v>138.6</v>
      </c>
      <c r="N698" s="145">
        <v>400</v>
      </c>
      <c r="O698" s="156" t="s">
        <v>135</v>
      </c>
      <c r="P698" s="144" t="s">
        <v>2468</v>
      </c>
      <c r="Q698" s="147"/>
      <c r="R698" s="146"/>
      <c r="S698" s="157"/>
      <c r="T698" s="144" t="s">
        <v>29</v>
      </c>
      <c r="U698" s="150" t="s">
        <v>20</v>
      </c>
      <c r="V698" s="146">
        <v>2607</v>
      </c>
      <c r="W698" s="148" t="s">
        <v>3720</v>
      </c>
      <c r="X698" s="149"/>
      <c r="Y698" s="165" t="s">
        <v>2538</v>
      </c>
    </row>
    <row r="699" spans="1:25">
      <c r="A699" s="163" t="s">
        <v>7</v>
      </c>
      <c r="B699" s="144" t="s">
        <v>2463</v>
      </c>
      <c r="C699" s="164" t="s">
        <v>3721</v>
      </c>
      <c r="D699" s="144" t="s">
        <v>3722</v>
      </c>
      <c r="E699" s="150" t="s">
        <v>2466</v>
      </c>
      <c r="F699" s="144" t="s">
        <v>2486</v>
      </c>
      <c r="G699" s="166"/>
      <c r="H699" s="151">
        <v>1</v>
      </c>
      <c r="I699" s="160">
        <v>30</v>
      </c>
      <c r="J699" s="159">
        <v>30</v>
      </c>
      <c r="K699" s="161">
        <v>30</v>
      </c>
      <c r="L699" s="159">
        <v>30</v>
      </c>
      <c r="M699" s="160">
        <v>30</v>
      </c>
      <c r="N699" s="145">
        <v>60</v>
      </c>
      <c r="O699" s="156" t="s">
        <v>135</v>
      </c>
      <c r="P699" s="144" t="s">
        <v>2468</v>
      </c>
      <c r="Q699" s="147">
        <v>47027</v>
      </c>
      <c r="R699" s="146"/>
      <c r="S699" s="157"/>
      <c r="T699" s="144" t="s">
        <v>29</v>
      </c>
      <c r="U699" s="150" t="s">
        <v>20</v>
      </c>
      <c r="V699" s="146">
        <v>2449</v>
      </c>
      <c r="W699" s="148"/>
      <c r="X699" s="149">
        <v>45689</v>
      </c>
      <c r="Y699" s="165" t="s">
        <v>3723</v>
      </c>
    </row>
    <row r="700" spans="1:25">
      <c r="A700" s="163" t="s">
        <v>7</v>
      </c>
      <c r="B700" s="144" t="s">
        <v>2463</v>
      </c>
      <c r="C700" s="164" t="s">
        <v>3721</v>
      </c>
      <c r="D700" s="144" t="s">
        <v>3722</v>
      </c>
      <c r="E700" s="150" t="s">
        <v>2485</v>
      </c>
      <c r="F700" s="144" t="s">
        <v>2486</v>
      </c>
      <c r="G700" s="166"/>
      <c r="H700" s="151">
        <v>25</v>
      </c>
      <c r="I700" s="160">
        <v>6</v>
      </c>
      <c r="J700" s="159">
        <v>6.2</v>
      </c>
      <c r="K700" s="161">
        <v>150</v>
      </c>
      <c r="L700" s="159">
        <v>155</v>
      </c>
      <c r="M700" s="160" t="s">
        <v>3724</v>
      </c>
      <c r="N700" s="145"/>
      <c r="O700" s="156" t="s">
        <v>135</v>
      </c>
      <c r="P700" s="144" t="s">
        <v>2478</v>
      </c>
      <c r="Q700" s="147">
        <v>47027</v>
      </c>
      <c r="R700" s="146"/>
      <c r="S700" s="157"/>
      <c r="T700" s="144" t="s">
        <v>29</v>
      </c>
      <c r="U700" s="150" t="s">
        <v>17</v>
      </c>
      <c r="V700" s="146">
        <v>2449</v>
      </c>
      <c r="W700" s="148"/>
      <c r="X700" s="149">
        <v>45689</v>
      </c>
      <c r="Y700" s="165" t="s">
        <v>3723</v>
      </c>
    </row>
    <row r="701" spans="1:25">
      <c r="A701" s="163" t="s">
        <v>7</v>
      </c>
      <c r="B701" s="144" t="s">
        <v>2463</v>
      </c>
      <c r="C701" s="164" t="s">
        <v>3725</v>
      </c>
      <c r="D701" s="144" t="s">
        <v>2465</v>
      </c>
      <c r="E701" s="150" t="s">
        <v>2466</v>
      </c>
      <c r="F701" s="144" t="s">
        <v>2467</v>
      </c>
      <c r="G701" s="166"/>
      <c r="H701" s="151">
        <v>1</v>
      </c>
      <c r="I701" s="160">
        <v>364.8</v>
      </c>
      <c r="J701" s="159">
        <v>364.8</v>
      </c>
      <c r="K701" s="161">
        <v>364.8</v>
      </c>
      <c r="L701" s="159">
        <v>364.8</v>
      </c>
      <c r="M701" s="160">
        <v>364.8</v>
      </c>
      <c r="N701" s="145">
        <v>1000</v>
      </c>
      <c r="O701" s="156" t="s">
        <v>135</v>
      </c>
      <c r="P701" s="144" t="s">
        <v>2468</v>
      </c>
      <c r="Q701" s="147"/>
      <c r="R701" s="146"/>
      <c r="S701" s="157"/>
      <c r="T701" s="144" t="s">
        <v>29</v>
      </c>
      <c r="U701" s="150" t="s">
        <v>20</v>
      </c>
      <c r="V701" s="146">
        <v>2917</v>
      </c>
      <c r="W701" s="148" t="s">
        <v>3726</v>
      </c>
      <c r="X701" s="149"/>
      <c r="Y701" s="165" t="s">
        <v>2470</v>
      </c>
    </row>
    <row r="702" spans="1:25">
      <c r="A702" s="163" t="s">
        <v>423</v>
      </c>
      <c r="B702" s="144" t="s">
        <v>163</v>
      </c>
      <c r="C702" s="164" t="s">
        <v>1947</v>
      </c>
      <c r="D702" s="144" t="s">
        <v>3727</v>
      </c>
      <c r="E702" s="150" t="s">
        <v>2491</v>
      </c>
      <c r="F702" s="144" t="s">
        <v>2477</v>
      </c>
      <c r="G702" s="166" t="s">
        <v>3728</v>
      </c>
      <c r="H702" s="151">
        <v>38</v>
      </c>
      <c r="I702" s="160">
        <v>2.37</v>
      </c>
      <c r="J702" s="159">
        <v>2.75</v>
      </c>
      <c r="K702" s="161">
        <v>89.98</v>
      </c>
      <c r="L702" s="159">
        <v>104.5</v>
      </c>
      <c r="M702" s="160">
        <v>104.5</v>
      </c>
      <c r="N702" s="145"/>
      <c r="O702" s="156" t="s">
        <v>166</v>
      </c>
      <c r="P702" s="144" t="s">
        <v>2478</v>
      </c>
      <c r="Q702" s="147">
        <v>43435</v>
      </c>
      <c r="R702" s="146">
        <v>2048</v>
      </c>
      <c r="S702" s="157"/>
      <c r="T702" s="144" t="s">
        <v>25</v>
      </c>
      <c r="U702" s="150" t="s">
        <v>2479</v>
      </c>
      <c r="V702" s="146">
        <v>1424</v>
      </c>
      <c r="W702" s="148"/>
      <c r="X702" s="149">
        <v>45689</v>
      </c>
      <c r="Y702" s="165" t="s">
        <v>2500</v>
      </c>
    </row>
    <row r="703" spans="1:25">
      <c r="A703" s="163" t="s">
        <v>309</v>
      </c>
      <c r="B703" s="144" t="s">
        <v>2463</v>
      </c>
      <c r="C703" s="164" t="s">
        <v>3729</v>
      </c>
      <c r="D703" s="144" t="s">
        <v>824</v>
      </c>
      <c r="E703" s="150" t="s">
        <v>2466</v>
      </c>
      <c r="F703" s="144" t="s">
        <v>2467</v>
      </c>
      <c r="G703" s="166"/>
      <c r="H703" s="151">
        <v>1</v>
      </c>
      <c r="I703" s="160"/>
      <c r="J703" s="159">
        <v>400</v>
      </c>
      <c r="K703" s="161"/>
      <c r="L703" s="159">
        <v>400</v>
      </c>
      <c r="M703" s="160">
        <v>400</v>
      </c>
      <c r="N703" s="145">
        <v>400</v>
      </c>
      <c r="O703" s="156" t="s">
        <v>135</v>
      </c>
      <c r="P703" s="144" t="s">
        <v>2468</v>
      </c>
      <c r="Q703" s="147"/>
      <c r="R703" s="146"/>
      <c r="S703" s="157"/>
      <c r="T703" s="144" t="s">
        <v>29</v>
      </c>
      <c r="U703" s="150" t="s">
        <v>20</v>
      </c>
      <c r="V703" s="146">
        <v>2761</v>
      </c>
      <c r="W703" s="148" t="s">
        <v>3730</v>
      </c>
      <c r="X703" s="149">
        <v>45689</v>
      </c>
      <c r="Y703" s="165" t="s">
        <v>2470</v>
      </c>
    </row>
    <row r="704" spans="1:25">
      <c r="A704" s="163" t="s">
        <v>309</v>
      </c>
      <c r="B704" s="144" t="s">
        <v>163</v>
      </c>
      <c r="C704" s="164" t="s">
        <v>944</v>
      </c>
      <c r="D704" s="144" t="s">
        <v>936</v>
      </c>
      <c r="E704" s="150" t="s">
        <v>2481</v>
      </c>
      <c r="F704" s="144" t="s">
        <v>2482</v>
      </c>
      <c r="G704" s="166" t="s">
        <v>945</v>
      </c>
      <c r="H704" s="151">
        <v>1</v>
      </c>
      <c r="I704" s="160"/>
      <c r="J704" s="159">
        <v>21.6</v>
      </c>
      <c r="K704" s="161"/>
      <c r="L704" s="159">
        <v>21.6</v>
      </c>
      <c r="M704" s="160">
        <v>21.6</v>
      </c>
      <c r="N704" s="145"/>
      <c r="O704" s="156" t="s">
        <v>166</v>
      </c>
      <c r="P704" s="144" t="s">
        <v>2468</v>
      </c>
      <c r="Q704" s="147"/>
      <c r="R704" s="146">
        <v>2057</v>
      </c>
      <c r="S704" s="157"/>
      <c r="T704" s="144" t="s">
        <v>25</v>
      </c>
      <c r="U704" s="150" t="s">
        <v>18</v>
      </c>
      <c r="V704" s="146">
        <v>1100</v>
      </c>
      <c r="W704" s="148"/>
      <c r="X704" s="149">
        <v>45689</v>
      </c>
      <c r="Y704" s="165" t="s">
        <v>2623</v>
      </c>
    </row>
    <row r="705" spans="1:25">
      <c r="A705" s="163" t="s">
        <v>309</v>
      </c>
      <c r="B705" s="144" t="s">
        <v>163</v>
      </c>
      <c r="C705" s="164" t="s">
        <v>944</v>
      </c>
      <c r="D705" s="144" t="s">
        <v>936</v>
      </c>
      <c r="E705" s="150" t="s">
        <v>2481</v>
      </c>
      <c r="F705" s="144" t="s">
        <v>2482</v>
      </c>
      <c r="G705" s="166" t="s">
        <v>947</v>
      </c>
      <c r="H705" s="151">
        <v>1</v>
      </c>
      <c r="I705" s="160"/>
      <c r="J705" s="159">
        <v>21.6</v>
      </c>
      <c r="K705" s="161"/>
      <c r="L705" s="159">
        <v>21.6</v>
      </c>
      <c r="M705" s="160">
        <v>21.6</v>
      </c>
      <c r="N705" s="145"/>
      <c r="O705" s="156" t="s">
        <v>166</v>
      </c>
      <c r="P705" s="144" t="s">
        <v>2468</v>
      </c>
      <c r="Q705" s="147"/>
      <c r="R705" s="146">
        <v>2057</v>
      </c>
      <c r="S705" s="157"/>
      <c r="T705" s="144" t="s">
        <v>25</v>
      </c>
      <c r="U705" s="150" t="s">
        <v>18</v>
      </c>
      <c r="V705" s="146">
        <v>1100</v>
      </c>
      <c r="W705" s="148"/>
      <c r="X705" s="149">
        <v>45689</v>
      </c>
      <c r="Y705" s="165" t="s">
        <v>2623</v>
      </c>
    </row>
    <row r="706" spans="1:25">
      <c r="A706" s="163" t="s">
        <v>309</v>
      </c>
      <c r="B706" s="144" t="s">
        <v>163</v>
      </c>
      <c r="C706" s="164" t="s">
        <v>944</v>
      </c>
      <c r="D706" s="144" t="s">
        <v>936</v>
      </c>
      <c r="E706" s="150" t="s">
        <v>2481</v>
      </c>
      <c r="F706" s="144" t="s">
        <v>2482</v>
      </c>
      <c r="G706" s="166" t="s">
        <v>948</v>
      </c>
      <c r="H706" s="151">
        <v>1</v>
      </c>
      <c r="I706" s="160"/>
      <c r="J706" s="159">
        <v>21.6</v>
      </c>
      <c r="K706" s="161"/>
      <c r="L706" s="159">
        <v>21.6</v>
      </c>
      <c r="M706" s="160">
        <v>21.6</v>
      </c>
      <c r="N706" s="145"/>
      <c r="O706" s="156" t="s">
        <v>166</v>
      </c>
      <c r="P706" s="144" t="s">
        <v>2468</v>
      </c>
      <c r="Q706" s="147"/>
      <c r="R706" s="146">
        <v>2057</v>
      </c>
      <c r="S706" s="157"/>
      <c r="T706" s="144" t="s">
        <v>25</v>
      </c>
      <c r="U706" s="150" t="s">
        <v>18</v>
      </c>
      <c r="V706" s="146">
        <v>1100</v>
      </c>
      <c r="W706" s="148"/>
      <c r="X706" s="149">
        <v>45689</v>
      </c>
      <c r="Y706" s="165" t="s">
        <v>2623</v>
      </c>
    </row>
    <row r="707" spans="1:25">
      <c r="A707" s="163" t="s">
        <v>309</v>
      </c>
      <c r="B707" s="144" t="s">
        <v>163</v>
      </c>
      <c r="C707" s="164" t="s">
        <v>944</v>
      </c>
      <c r="D707" s="144" t="s">
        <v>936</v>
      </c>
      <c r="E707" s="150" t="s">
        <v>2481</v>
      </c>
      <c r="F707" s="144" t="s">
        <v>2482</v>
      </c>
      <c r="G707" s="166" t="s">
        <v>949</v>
      </c>
      <c r="H707" s="151">
        <v>1</v>
      </c>
      <c r="I707" s="160"/>
      <c r="J707" s="159">
        <v>21.6</v>
      </c>
      <c r="K707" s="161"/>
      <c r="L707" s="159">
        <v>21.6</v>
      </c>
      <c r="M707" s="160">
        <v>21.6</v>
      </c>
      <c r="N707" s="145"/>
      <c r="O707" s="156" t="s">
        <v>166</v>
      </c>
      <c r="P707" s="144" t="s">
        <v>2468</v>
      </c>
      <c r="Q707" s="147"/>
      <c r="R707" s="146">
        <v>2057</v>
      </c>
      <c r="S707" s="157"/>
      <c r="T707" s="144" t="s">
        <v>25</v>
      </c>
      <c r="U707" s="150" t="s">
        <v>18</v>
      </c>
      <c r="V707" s="146">
        <v>1100</v>
      </c>
      <c r="W707" s="148"/>
      <c r="X707" s="149">
        <v>45689</v>
      </c>
      <c r="Y707" s="165" t="s">
        <v>2623</v>
      </c>
    </row>
    <row r="708" spans="1:25">
      <c r="A708" s="163" t="s">
        <v>309</v>
      </c>
      <c r="B708" s="144" t="s">
        <v>163</v>
      </c>
      <c r="C708" s="164" t="s">
        <v>3731</v>
      </c>
      <c r="D708" s="144" t="s">
        <v>936</v>
      </c>
      <c r="E708" s="150" t="s">
        <v>2593</v>
      </c>
      <c r="F708" s="144" t="s">
        <v>2482</v>
      </c>
      <c r="G708" s="166" t="s">
        <v>3732</v>
      </c>
      <c r="H708" s="151">
        <v>1</v>
      </c>
      <c r="I708" s="160"/>
      <c r="J708" s="159">
        <v>7</v>
      </c>
      <c r="K708" s="161"/>
      <c r="L708" s="159">
        <v>7</v>
      </c>
      <c r="M708" s="160">
        <v>7</v>
      </c>
      <c r="N708" s="145"/>
      <c r="O708" s="156" t="s">
        <v>166</v>
      </c>
      <c r="P708" s="144" t="s">
        <v>2480</v>
      </c>
      <c r="Q708" s="147"/>
      <c r="R708" s="146">
        <v>2037</v>
      </c>
      <c r="S708" s="157"/>
      <c r="T708" s="144" t="s">
        <v>25</v>
      </c>
      <c r="U708" s="150" t="s">
        <v>18</v>
      </c>
      <c r="V708" s="146">
        <v>1101</v>
      </c>
      <c r="W708" s="148"/>
      <c r="X708" s="149">
        <v>45566</v>
      </c>
      <c r="Y708" s="165" t="s">
        <v>2623</v>
      </c>
    </row>
    <row r="709" spans="1:25">
      <c r="A709" s="163" t="s">
        <v>309</v>
      </c>
      <c r="B709" s="144" t="s">
        <v>2463</v>
      </c>
      <c r="C709" s="164" t="s">
        <v>3733</v>
      </c>
      <c r="D709" s="144" t="s">
        <v>3734</v>
      </c>
      <c r="E709" s="150" t="s">
        <v>2485</v>
      </c>
      <c r="F709" s="144" t="s">
        <v>2486</v>
      </c>
      <c r="G709" s="166"/>
      <c r="H709" s="151">
        <v>170</v>
      </c>
      <c r="I709" s="160"/>
      <c r="J709" s="159">
        <v>6</v>
      </c>
      <c r="K709" s="161"/>
      <c r="L709" s="159">
        <v>1020</v>
      </c>
      <c r="M709" s="160">
        <v>1020</v>
      </c>
      <c r="N709" s="145"/>
      <c r="O709" s="156" t="s">
        <v>135</v>
      </c>
      <c r="P709" s="144" t="s">
        <v>2478</v>
      </c>
      <c r="Q709" s="147"/>
      <c r="R709" s="146"/>
      <c r="S709" s="157"/>
      <c r="T709" s="144" t="s">
        <v>29</v>
      </c>
      <c r="U709" s="150" t="s">
        <v>17</v>
      </c>
      <c r="V709" s="146">
        <v>2297</v>
      </c>
      <c r="W709" s="148" t="s">
        <v>3735</v>
      </c>
      <c r="X709" s="149">
        <v>45689</v>
      </c>
      <c r="Y709" s="165" t="s">
        <v>3018</v>
      </c>
    </row>
    <row r="710" spans="1:25">
      <c r="A710" s="163" t="s">
        <v>309</v>
      </c>
      <c r="B710" s="144" t="s">
        <v>2463</v>
      </c>
      <c r="C710" s="164" t="s">
        <v>3736</v>
      </c>
      <c r="D710" s="144" t="s">
        <v>3737</v>
      </c>
      <c r="E710" s="150" t="s">
        <v>2485</v>
      </c>
      <c r="F710" s="144" t="s">
        <v>2486</v>
      </c>
      <c r="G710" s="166"/>
      <c r="H710" s="151">
        <v>1</v>
      </c>
      <c r="I710" s="160"/>
      <c r="J710" s="159">
        <v>966</v>
      </c>
      <c r="K710" s="161"/>
      <c r="L710" s="159">
        <v>966</v>
      </c>
      <c r="M710" s="160">
        <v>966</v>
      </c>
      <c r="N710" s="145"/>
      <c r="O710" s="156" t="s">
        <v>135</v>
      </c>
      <c r="P710" s="144" t="s">
        <v>2478</v>
      </c>
      <c r="Q710" s="147"/>
      <c r="R710" s="146"/>
      <c r="S710" s="157"/>
      <c r="T710" s="144" t="s">
        <v>29</v>
      </c>
      <c r="U710" s="150" t="s">
        <v>17</v>
      </c>
      <c r="V710" s="146">
        <v>2762</v>
      </c>
      <c r="W710" s="148" t="s">
        <v>3738</v>
      </c>
      <c r="X710" s="149">
        <v>45901</v>
      </c>
      <c r="Y710" s="165" t="s">
        <v>3739</v>
      </c>
    </row>
    <row r="711" spans="1:25">
      <c r="A711" s="163" t="s">
        <v>7</v>
      </c>
      <c r="B711" s="144" t="s">
        <v>163</v>
      </c>
      <c r="C711" s="164" t="s">
        <v>3740</v>
      </c>
      <c r="D711" s="144" t="s">
        <v>2905</v>
      </c>
      <c r="E711" s="150" t="s">
        <v>2593</v>
      </c>
      <c r="F711" s="144" t="s">
        <v>2482</v>
      </c>
      <c r="G711" s="166" t="s">
        <v>3741</v>
      </c>
      <c r="H711" s="151">
        <v>1</v>
      </c>
      <c r="I711" s="160">
        <v>7.2</v>
      </c>
      <c r="J711" s="159">
        <v>7.2</v>
      </c>
      <c r="K711" s="161">
        <v>7.2</v>
      </c>
      <c r="L711" s="159">
        <v>7.2</v>
      </c>
      <c r="M711" s="160">
        <v>7.2</v>
      </c>
      <c r="N711" s="145">
        <v>0</v>
      </c>
      <c r="O711" s="156" t="s">
        <v>166</v>
      </c>
      <c r="P711" s="144" t="s">
        <v>2480</v>
      </c>
      <c r="Q711" s="147"/>
      <c r="R711" s="146"/>
      <c r="S711" s="157"/>
      <c r="T711" s="144" t="s">
        <v>25</v>
      </c>
      <c r="U711" s="150" t="s">
        <v>18</v>
      </c>
      <c r="V711" s="146">
        <v>1102</v>
      </c>
      <c r="W711" s="148"/>
      <c r="X711" s="149">
        <v>45566</v>
      </c>
      <c r="Y711" s="165" t="s">
        <v>3742</v>
      </c>
    </row>
    <row r="712" spans="1:25">
      <c r="A712" s="163" t="s">
        <v>309</v>
      </c>
      <c r="B712" s="144" t="s">
        <v>2463</v>
      </c>
      <c r="C712" s="164" t="s">
        <v>3743</v>
      </c>
      <c r="D712" s="144" t="s">
        <v>2997</v>
      </c>
      <c r="E712" s="150" t="s">
        <v>2476</v>
      </c>
      <c r="F712" s="144" t="s">
        <v>2477</v>
      </c>
      <c r="G712" s="166"/>
      <c r="H712" s="151">
        <v>1</v>
      </c>
      <c r="I712" s="160"/>
      <c r="J712" s="159">
        <v>50</v>
      </c>
      <c r="K712" s="161"/>
      <c r="L712" s="159">
        <v>50</v>
      </c>
      <c r="M712" s="160">
        <v>50</v>
      </c>
      <c r="N712" s="145"/>
      <c r="O712" s="156" t="s">
        <v>135</v>
      </c>
      <c r="P712" s="144" t="s">
        <v>2478</v>
      </c>
      <c r="Q712" s="147"/>
      <c r="R712" s="146"/>
      <c r="S712" s="157"/>
      <c r="T712" s="144" t="s">
        <v>29</v>
      </c>
      <c r="U712" s="150" t="s">
        <v>2479</v>
      </c>
      <c r="V712" s="146">
        <v>2948</v>
      </c>
      <c r="W712" s="148"/>
      <c r="X712" s="149"/>
      <c r="Y712" s="165" t="s">
        <v>2474</v>
      </c>
    </row>
    <row r="713" spans="1:25">
      <c r="A713" s="163" t="s">
        <v>309</v>
      </c>
      <c r="B713" s="144" t="s">
        <v>2463</v>
      </c>
      <c r="C713" s="164" t="s">
        <v>3743</v>
      </c>
      <c r="D713" s="144" t="s">
        <v>3744</v>
      </c>
      <c r="E713" s="150" t="s">
        <v>2476</v>
      </c>
      <c r="F713" s="144" t="s">
        <v>2477</v>
      </c>
      <c r="G713" s="166"/>
      <c r="H713" s="151">
        <v>1</v>
      </c>
      <c r="I713" s="160">
        <v>50</v>
      </c>
      <c r="J713" s="159">
        <v>50</v>
      </c>
      <c r="K713" s="161">
        <v>50</v>
      </c>
      <c r="L713" s="159">
        <v>50</v>
      </c>
      <c r="M713" s="160">
        <v>50</v>
      </c>
      <c r="N713" s="145"/>
      <c r="O713" s="156" t="s">
        <v>135</v>
      </c>
      <c r="P713" s="144" t="s">
        <v>2478</v>
      </c>
      <c r="Q713" s="147"/>
      <c r="R713" s="146"/>
      <c r="S713" s="157"/>
      <c r="T713" s="144" t="s">
        <v>29</v>
      </c>
      <c r="U713" s="150" t="s">
        <v>2479</v>
      </c>
      <c r="V713" s="146">
        <v>1635</v>
      </c>
      <c r="W713" s="148"/>
      <c r="X713" s="149">
        <v>45689</v>
      </c>
      <c r="Y713" s="165" t="s">
        <v>3745</v>
      </c>
    </row>
    <row r="714" spans="1:25">
      <c r="A714" s="163" t="s">
        <v>309</v>
      </c>
      <c r="B714" s="144" t="s">
        <v>2463</v>
      </c>
      <c r="C714" s="164" t="s">
        <v>3746</v>
      </c>
      <c r="D714" s="144" t="s">
        <v>2997</v>
      </c>
      <c r="E714" s="150" t="s">
        <v>2476</v>
      </c>
      <c r="F714" s="144" t="s">
        <v>2477</v>
      </c>
      <c r="G714" s="166"/>
      <c r="H714" s="151">
        <v>1</v>
      </c>
      <c r="I714" s="160"/>
      <c r="J714" s="159">
        <v>50</v>
      </c>
      <c r="K714" s="161"/>
      <c r="L714" s="159">
        <v>50</v>
      </c>
      <c r="M714" s="160">
        <v>50</v>
      </c>
      <c r="N714" s="145"/>
      <c r="O714" s="156" t="s">
        <v>135</v>
      </c>
      <c r="P714" s="144" t="s">
        <v>2478</v>
      </c>
      <c r="Q714" s="147"/>
      <c r="R714" s="146"/>
      <c r="S714" s="157"/>
      <c r="T714" s="144" t="s">
        <v>29</v>
      </c>
      <c r="U714" s="150" t="s">
        <v>2479</v>
      </c>
      <c r="V714" s="146">
        <v>2960</v>
      </c>
      <c r="W714" s="148"/>
      <c r="X714" s="149"/>
      <c r="Y714" s="165" t="s">
        <v>2474</v>
      </c>
    </row>
    <row r="715" spans="1:25">
      <c r="A715" s="163" t="s">
        <v>309</v>
      </c>
      <c r="B715" s="144" t="s">
        <v>163</v>
      </c>
      <c r="C715" s="164" t="s">
        <v>966</v>
      </c>
      <c r="D715" s="144" t="s">
        <v>967</v>
      </c>
      <c r="E715" s="150" t="s">
        <v>2491</v>
      </c>
      <c r="F715" s="144" t="s">
        <v>2477</v>
      </c>
      <c r="G715" s="166" t="s">
        <v>968</v>
      </c>
      <c r="H715" s="151">
        <v>6</v>
      </c>
      <c r="I715" s="160"/>
      <c r="J715" s="159">
        <v>2.5</v>
      </c>
      <c r="K715" s="161"/>
      <c r="L715" s="159">
        <v>15</v>
      </c>
      <c r="M715" s="160">
        <v>15</v>
      </c>
      <c r="N715" s="145"/>
      <c r="O715" s="156" t="s">
        <v>166</v>
      </c>
      <c r="P715" s="144" t="s">
        <v>2478</v>
      </c>
      <c r="Q715" s="147"/>
      <c r="R715" s="146">
        <v>2046</v>
      </c>
      <c r="S715" s="157"/>
      <c r="T715" s="144" t="s">
        <v>25</v>
      </c>
      <c r="U715" s="150" t="s">
        <v>2479</v>
      </c>
      <c r="V715" s="146">
        <v>1465</v>
      </c>
      <c r="W715" s="148"/>
      <c r="X715" s="149">
        <v>45689</v>
      </c>
      <c r="Y715" s="165" t="s">
        <v>2520</v>
      </c>
    </row>
    <row r="716" spans="1:25">
      <c r="A716" s="163" t="s">
        <v>309</v>
      </c>
      <c r="B716" s="144" t="s">
        <v>163</v>
      </c>
      <c r="C716" s="164" t="s">
        <v>969</v>
      </c>
      <c r="D716" s="144" t="s">
        <v>970</v>
      </c>
      <c r="E716" s="150" t="s">
        <v>2466</v>
      </c>
      <c r="F716" s="144" t="s">
        <v>2467</v>
      </c>
      <c r="G716" s="166" t="s">
        <v>971</v>
      </c>
      <c r="H716" s="151">
        <v>4</v>
      </c>
      <c r="I716" s="160">
        <v>0</v>
      </c>
      <c r="J716" s="159">
        <v>0.5</v>
      </c>
      <c r="K716" s="161">
        <v>0</v>
      </c>
      <c r="L716" s="159">
        <v>2</v>
      </c>
      <c r="M716" s="160">
        <v>2</v>
      </c>
      <c r="N716" s="145">
        <v>4</v>
      </c>
      <c r="O716" s="156" t="s">
        <v>166</v>
      </c>
      <c r="P716" s="144" t="s">
        <v>2480</v>
      </c>
      <c r="Q716" s="147"/>
      <c r="R716" s="146">
        <v>2046</v>
      </c>
      <c r="S716" s="157"/>
      <c r="T716" s="144" t="s">
        <v>25</v>
      </c>
      <c r="U716" s="150" t="s">
        <v>20</v>
      </c>
      <c r="V716" s="146">
        <v>1604</v>
      </c>
      <c r="W716" s="148"/>
      <c r="X716" s="149">
        <v>45566</v>
      </c>
      <c r="Y716" s="165" t="s">
        <v>2520</v>
      </c>
    </row>
    <row r="717" spans="1:25">
      <c r="A717" s="163" t="s">
        <v>309</v>
      </c>
      <c r="B717" s="144" t="s">
        <v>163</v>
      </c>
      <c r="C717" s="164" t="s">
        <v>972</v>
      </c>
      <c r="D717" s="144" t="s">
        <v>967</v>
      </c>
      <c r="E717" s="150" t="s">
        <v>2485</v>
      </c>
      <c r="F717" s="144" t="s">
        <v>2486</v>
      </c>
      <c r="G717" s="166" t="s">
        <v>973</v>
      </c>
      <c r="H717" s="151">
        <v>12</v>
      </c>
      <c r="I717" s="160"/>
      <c r="J717" s="159">
        <v>3.6</v>
      </c>
      <c r="K717" s="161"/>
      <c r="L717" s="159">
        <v>43.2</v>
      </c>
      <c r="M717" s="160">
        <v>43.2</v>
      </c>
      <c r="N717" s="145"/>
      <c r="O717" s="156" t="s">
        <v>166</v>
      </c>
      <c r="P717" s="144" t="s">
        <v>2478</v>
      </c>
      <c r="Q717" s="147"/>
      <c r="R717" s="146">
        <v>2046</v>
      </c>
      <c r="S717" s="157"/>
      <c r="T717" s="144" t="s">
        <v>25</v>
      </c>
      <c r="U717" s="150" t="s">
        <v>17</v>
      </c>
      <c r="V717" s="146">
        <v>1464</v>
      </c>
      <c r="W717" s="148"/>
      <c r="X717" s="149">
        <v>45689</v>
      </c>
      <c r="Y717" s="165" t="s">
        <v>2520</v>
      </c>
    </row>
    <row r="718" spans="1:25">
      <c r="A718" s="163" t="s">
        <v>423</v>
      </c>
      <c r="B718" s="144" t="s">
        <v>2463</v>
      </c>
      <c r="C718" s="164" t="s">
        <v>1416</v>
      </c>
      <c r="D718" s="144" t="s">
        <v>3747</v>
      </c>
      <c r="E718" s="150" t="s">
        <v>2485</v>
      </c>
      <c r="F718" s="144" t="s">
        <v>2486</v>
      </c>
      <c r="G718" s="166"/>
      <c r="H718" s="151">
        <v>1</v>
      </c>
      <c r="I718" s="160">
        <v>5</v>
      </c>
      <c r="J718" s="159">
        <v>600</v>
      </c>
      <c r="K718" s="161">
        <v>5</v>
      </c>
      <c r="L718" s="159">
        <v>600</v>
      </c>
      <c r="M718" s="160" t="s">
        <v>3748</v>
      </c>
      <c r="N718" s="145"/>
      <c r="O718" s="156" t="s">
        <v>135</v>
      </c>
      <c r="P718" s="144" t="s">
        <v>2478</v>
      </c>
      <c r="Q718" s="147">
        <v>47635</v>
      </c>
      <c r="R718" s="146">
        <v>2057</v>
      </c>
      <c r="S718" s="157"/>
      <c r="T718" s="144" t="s">
        <v>29</v>
      </c>
      <c r="U718" s="150" t="s">
        <v>17</v>
      </c>
      <c r="V718" s="146">
        <v>1888</v>
      </c>
      <c r="W718" s="148"/>
      <c r="X718" s="149">
        <v>45901</v>
      </c>
      <c r="Y718" s="165" t="s">
        <v>2712</v>
      </c>
    </row>
    <row r="719" spans="1:25">
      <c r="A719" s="163" t="s">
        <v>423</v>
      </c>
      <c r="B719" s="144" t="s">
        <v>2463</v>
      </c>
      <c r="C719" s="164" t="s">
        <v>3749</v>
      </c>
      <c r="D719" s="144" t="s">
        <v>3750</v>
      </c>
      <c r="E719" s="150" t="s">
        <v>2466</v>
      </c>
      <c r="F719" s="144" t="s">
        <v>2467</v>
      </c>
      <c r="G719" s="166"/>
      <c r="H719" s="151">
        <v>50</v>
      </c>
      <c r="I719" s="160">
        <v>0</v>
      </c>
      <c r="J719" s="159">
        <v>4</v>
      </c>
      <c r="K719" s="161">
        <v>0</v>
      </c>
      <c r="L719" s="159">
        <v>200</v>
      </c>
      <c r="M719" s="160">
        <v>200</v>
      </c>
      <c r="N719" s="145">
        <v>800</v>
      </c>
      <c r="O719" s="156" t="s">
        <v>135</v>
      </c>
      <c r="P719" s="144" t="s">
        <v>2468</v>
      </c>
      <c r="Q719" s="147"/>
      <c r="R719" s="146"/>
      <c r="S719" s="157"/>
      <c r="T719" s="144" t="s">
        <v>29</v>
      </c>
      <c r="U719" s="150" t="s">
        <v>20</v>
      </c>
      <c r="V719" s="146">
        <v>1916</v>
      </c>
      <c r="W719" s="148"/>
      <c r="X719" s="149">
        <v>45901</v>
      </c>
      <c r="Y719" s="165" t="s">
        <v>2810</v>
      </c>
    </row>
    <row r="720" spans="1:25">
      <c r="A720" s="163" t="s">
        <v>423</v>
      </c>
      <c r="B720" s="144" t="s">
        <v>2463</v>
      </c>
      <c r="C720" s="164" t="s">
        <v>3751</v>
      </c>
      <c r="D720" s="144" t="s">
        <v>3752</v>
      </c>
      <c r="E720" s="150" t="s">
        <v>2466</v>
      </c>
      <c r="F720" s="144" t="s">
        <v>2467</v>
      </c>
      <c r="G720" s="166"/>
      <c r="H720" s="151">
        <v>56</v>
      </c>
      <c r="I720" s="160">
        <v>1.84</v>
      </c>
      <c r="J720" s="159">
        <v>1.84</v>
      </c>
      <c r="K720" s="161">
        <v>103.04</v>
      </c>
      <c r="L720" s="159">
        <v>103.04</v>
      </c>
      <c r="M720" s="160">
        <v>103.04</v>
      </c>
      <c r="N720" s="145">
        <v>206</v>
      </c>
      <c r="O720" s="156" t="s">
        <v>135</v>
      </c>
      <c r="P720" s="144" t="s">
        <v>2468</v>
      </c>
      <c r="Q720" s="147">
        <v>46447</v>
      </c>
      <c r="R720" s="146">
        <v>2067</v>
      </c>
      <c r="S720" s="157"/>
      <c r="T720" s="144" t="s">
        <v>29</v>
      </c>
      <c r="U720" s="150" t="s">
        <v>20</v>
      </c>
      <c r="V720" s="146">
        <v>2461</v>
      </c>
      <c r="W720" s="148" t="s">
        <v>3753</v>
      </c>
      <c r="X720" s="149">
        <v>45778</v>
      </c>
      <c r="Y720" s="165" t="s">
        <v>2836</v>
      </c>
    </row>
    <row r="721" spans="1:25">
      <c r="A721" s="163" t="s">
        <v>423</v>
      </c>
      <c r="B721" s="144" t="s">
        <v>2463</v>
      </c>
      <c r="C721" s="164" t="s">
        <v>1066</v>
      </c>
      <c r="D721" s="144" t="s">
        <v>1067</v>
      </c>
      <c r="E721" s="150" t="s">
        <v>2491</v>
      </c>
      <c r="F721" s="144" t="s">
        <v>2477</v>
      </c>
      <c r="G721" s="166"/>
      <c r="H721" s="151">
        <v>35</v>
      </c>
      <c r="I721" s="160">
        <v>0</v>
      </c>
      <c r="J721" s="159">
        <v>3.32</v>
      </c>
      <c r="K721" s="161">
        <v>0</v>
      </c>
      <c r="L721" s="159">
        <v>116.2</v>
      </c>
      <c r="M721" s="160">
        <v>116.2</v>
      </c>
      <c r="N721" s="145"/>
      <c r="O721" s="156" t="s">
        <v>135</v>
      </c>
      <c r="P721" s="144" t="s">
        <v>2478</v>
      </c>
      <c r="Q721" s="147">
        <v>46722</v>
      </c>
      <c r="R721" s="146">
        <v>2056</v>
      </c>
      <c r="S721" s="157"/>
      <c r="T721" s="144" t="s">
        <v>29</v>
      </c>
      <c r="U721" s="150" t="s">
        <v>2479</v>
      </c>
      <c r="V721" s="146">
        <v>1980</v>
      </c>
      <c r="W721" s="148" t="s">
        <v>3754</v>
      </c>
      <c r="X721" s="149">
        <v>45689</v>
      </c>
      <c r="Y721" s="165" t="s">
        <v>2622</v>
      </c>
    </row>
    <row r="722" spans="1:25">
      <c r="A722" s="163" t="s">
        <v>423</v>
      </c>
      <c r="B722" s="144" t="s">
        <v>2463</v>
      </c>
      <c r="C722" s="164" t="s">
        <v>1066</v>
      </c>
      <c r="D722" s="144" t="s">
        <v>1067</v>
      </c>
      <c r="E722" s="150" t="s">
        <v>2466</v>
      </c>
      <c r="F722" s="144" t="s">
        <v>2467</v>
      </c>
      <c r="G722" s="166"/>
      <c r="H722" s="151">
        <v>1</v>
      </c>
      <c r="I722" s="160"/>
      <c r="J722" s="159">
        <v>2.62</v>
      </c>
      <c r="K722" s="161"/>
      <c r="L722" s="159">
        <v>2.62</v>
      </c>
      <c r="M722" s="160">
        <v>2.62</v>
      </c>
      <c r="N722" s="145">
        <v>110</v>
      </c>
      <c r="O722" s="156" t="s">
        <v>135</v>
      </c>
      <c r="P722" s="144" t="s">
        <v>2468</v>
      </c>
      <c r="Q722" s="147">
        <v>46631</v>
      </c>
      <c r="R722" s="146">
        <v>2056</v>
      </c>
      <c r="S722" s="157"/>
      <c r="T722" s="144" t="s">
        <v>29</v>
      </c>
      <c r="U722" s="150" t="s">
        <v>20</v>
      </c>
      <c r="V722" s="146">
        <v>1980</v>
      </c>
      <c r="W722" s="148" t="s">
        <v>3754</v>
      </c>
      <c r="X722" s="149">
        <v>45689</v>
      </c>
      <c r="Y722" s="165" t="s">
        <v>2622</v>
      </c>
    </row>
    <row r="723" spans="1:25">
      <c r="A723" s="163" t="s">
        <v>423</v>
      </c>
      <c r="B723" s="144" t="s">
        <v>163</v>
      </c>
      <c r="C723" s="164" t="s">
        <v>465</v>
      </c>
      <c r="D723" s="144" t="s">
        <v>466</v>
      </c>
      <c r="E723" s="150" t="s">
        <v>2476</v>
      </c>
      <c r="F723" s="144" t="s">
        <v>2477</v>
      </c>
      <c r="G723" s="166" t="s">
        <v>467</v>
      </c>
      <c r="H723" s="151">
        <v>9</v>
      </c>
      <c r="I723" s="160">
        <v>0</v>
      </c>
      <c r="J723" s="159">
        <v>3.33</v>
      </c>
      <c r="K723" s="161">
        <v>0</v>
      </c>
      <c r="L723" s="159">
        <v>30</v>
      </c>
      <c r="M723" s="160">
        <v>30</v>
      </c>
      <c r="N723" s="145"/>
      <c r="O723" s="156" t="s">
        <v>166</v>
      </c>
      <c r="P723" s="144" t="s">
        <v>2478</v>
      </c>
      <c r="Q723" s="147">
        <v>45809</v>
      </c>
      <c r="R723" s="146">
        <v>2050</v>
      </c>
      <c r="S723" s="157"/>
      <c r="T723" s="144" t="s">
        <v>25</v>
      </c>
      <c r="U723" s="150" t="s">
        <v>2479</v>
      </c>
      <c r="V723" s="146">
        <v>3091</v>
      </c>
      <c r="W723" s="148"/>
      <c r="X723" s="149">
        <v>45901</v>
      </c>
      <c r="Y723" s="165" t="s">
        <v>2810</v>
      </c>
    </row>
    <row r="724" spans="1:25">
      <c r="A724" s="163" t="s">
        <v>7</v>
      </c>
      <c r="B724" s="144" t="s">
        <v>2463</v>
      </c>
      <c r="C724" s="164" t="s">
        <v>3755</v>
      </c>
      <c r="D724" s="144" t="s">
        <v>1002</v>
      </c>
      <c r="E724" s="150" t="s">
        <v>2555</v>
      </c>
      <c r="F724" s="144" t="s">
        <v>2556</v>
      </c>
      <c r="G724" s="166"/>
      <c r="H724" s="151">
        <v>2</v>
      </c>
      <c r="I724" s="160">
        <v>385</v>
      </c>
      <c r="J724" s="159">
        <v>385</v>
      </c>
      <c r="K724" s="161">
        <v>770</v>
      </c>
      <c r="L724" s="159">
        <v>770</v>
      </c>
      <c r="M724" s="160">
        <v>770</v>
      </c>
      <c r="N724" s="145"/>
      <c r="O724" s="156" t="s">
        <v>135</v>
      </c>
      <c r="P724" s="144" t="s">
        <v>2468</v>
      </c>
      <c r="Q724" s="147">
        <v>47453</v>
      </c>
      <c r="R724" s="146"/>
      <c r="S724" s="157"/>
      <c r="T724" s="144" t="s">
        <v>29</v>
      </c>
      <c r="U724" s="150" t="s">
        <v>14</v>
      </c>
      <c r="V724" s="146">
        <v>2929</v>
      </c>
      <c r="W724" s="148" t="s">
        <v>3756</v>
      </c>
      <c r="X724" s="149"/>
      <c r="Y724" s="165" t="s">
        <v>3241</v>
      </c>
    </row>
    <row r="725" spans="1:25">
      <c r="A725" s="163" t="s">
        <v>7</v>
      </c>
      <c r="B725" s="144" t="s">
        <v>2463</v>
      </c>
      <c r="C725" s="164" t="s">
        <v>611</v>
      </c>
      <c r="D725" s="144" t="s">
        <v>1217</v>
      </c>
      <c r="E725" s="150" t="s">
        <v>2485</v>
      </c>
      <c r="F725" s="144" t="s">
        <v>2486</v>
      </c>
      <c r="G725" s="166"/>
      <c r="H725" s="151">
        <v>55</v>
      </c>
      <c r="I725" s="160">
        <v>6</v>
      </c>
      <c r="J725" s="159">
        <v>6</v>
      </c>
      <c r="K725" s="161">
        <v>330</v>
      </c>
      <c r="L725" s="159">
        <v>330</v>
      </c>
      <c r="M725" s="160">
        <v>330</v>
      </c>
      <c r="N725" s="145"/>
      <c r="O725" s="156" t="s">
        <v>135</v>
      </c>
      <c r="P725" s="144" t="s">
        <v>2478</v>
      </c>
      <c r="Q725" s="147">
        <v>47543</v>
      </c>
      <c r="R725" s="146">
        <v>2060</v>
      </c>
      <c r="S725" s="157"/>
      <c r="T725" s="144" t="s">
        <v>29</v>
      </c>
      <c r="U725" s="150" t="s">
        <v>17</v>
      </c>
      <c r="V725" s="146">
        <v>2188</v>
      </c>
      <c r="W725" s="148" t="s">
        <v>3757</v>
      </c>
      <c r="X725" s="149">
        <v>45689</v>
      </c>
      <c r="Y725" s="165" t="s">
        <v>2500</v>
      </c>
    </row>
    <row r="726" spans="1:25">
      <c r="A726" s="163" t="s">
        <v>423</v>
      </c>
      <c r="B726" s="144" t="s">
        <v>2463</v>
      </c>
      <c r="C726" s="164" t="s">
        <v>790</v>
      </c>
      <c r="D726" s="144" t="s">
        <v>791</v>
      </c>
      <c r="E726" s="150" t="s">
        <v>2466</v>
      </c>
      <c r="F726" s="144" t="s">
        <v>2467</v>
      </c>
      <c r="G726" s="166"/>
      <c r="H726" s="151">
        <v>64</v>
      </c>
      <c r="I726" s="160"/>
      <c r="J726" s="159">
        <v>3.44</v>
      </c>
      <c r="K726" s="161"/>
      <c r="L726" s="159">
        <v>220.03</v>
      </c>
      <c r="M726" s="160">
        <v>220.03</v>
      </c>
      <c r="N726" s="145">
        <v>880</v>
      </c>
      <c r="O726" s="156" t="s">
        <v>135</v>
      </c>
      <c r="P726" s="144" t="s">
        <v>2468</v>
      </c>
      <c r="Q726" s="147">
        <v>46966</v>
      </c>
      <c r="R726" s="146">
        <v>2057</v>
      </c>
      <c r="S726" s="157"/>
      <c r="T726" s="144" t="s">
        <v>29</v>
      </c>
      <c r="U726" s="150" t="s">
        <v>20</v>
      </c>
      <c r="V726" s="146">
        <v>2890</v>
      </c>
      <c r="W726" s="148" t="s">
        <v>3758</v>
      </c>
      <c r="X726" s="149">
        <v>45901</v>
      </c>
      <c r="Y726" s="165" t="s">
        <v>3759</v>
      </c>
    </row>
    <row r="727" spans="1:25">
      <c r="A727" s="163" t="s">
        <v>423</v>
      </c>
      <c r="B727" s="144" t="s">
        <v>163</v>
      </c>
      <c r="C727" s="164" t="s">
        <v>1551</v>
      </c>
      <c r="D727" s="144" t="s">
        <v>1552</v>
      </c>
      <c r="E727" s="150" t="s">
        <v>2491</v>
      </c>
      <c r="F727" s="144" t="s">
        <v>2477</v>
      </c>
      <c r="G727" s="166" t="s">
        <v>1553</v>
      </c>
      <c r="H727" s="151">
        <v>150</v>
      </c>
      <c r="I727" s="160">
        <v>1.33</v>
      </c>
      <c r="J727" s="159">
        <v>1.33</v>
      </c>
      <c r="K727" s="161">
        <v>199.95</v>
      </c>
      <c r="L727" s="159">
        <v>199.95</v>
      </c>
      <c r="M727" s="160">
        <v>199.95</v>
      </c>
      <c r="N727" s="145">
        <v>0</v>
      </c>
      <c r="O727" s="156" t="s">
        <v>166</v>
      </c>
      <c r="P727" s="144" t="s">
        <v>2478</v>
      </c>
      <c r="Q727" s="147">
        <v>44562</v>
      </c>
      <c r="R727" s="146">
        <v>2049</v>
      </c>
      <c r="S727" s="157"/>
      <c r="T727" s="144" t="s">
        <v>25</v>
      </c>
      <c r="U727" s="150" t="s">
        <v>2479</v>
      </c>
      <c r="V727" s="146">
        <v>1602</v>
      </c>
      <c r="W727" s="148"/>
      <c r="X727" s="149">
        <v>45901</v>
      </c>
      <c r="Y727" s="165" t="s">
        <v>3759</v>
      </c>
    </row>
    <row r="728" spans="1:25">
      <c r="A728" s="163" t="s">
        <v>423</v>
      </c>
      <c r="B728" s="144" t="s">
        <v>163</v>
      </c>
      <c r="C728" s="164" t="s">
        <v>2117</v>
      </c>
      <c r="D728" s="144" t="s">
        <v>3760</v>
      </c>
      <c r="E728" s="150" t="s">
        <v>2485</v>
      </c>
      <c r="F728" s="144" t="s">
        <v>2486</v>
      </c>
      <c r="G728" s="166" t="s">
        <v>3761</v>
      </c>
      <c r="H728" s="151">
        <v>9</v>
      </c>
      <c r="I728" s="160">
        <v>3.45</v>
      </c>
      <c r="J728" s="159">
        <v>3.45</v>
      </c>
      <c r="K728" s="161">
        <v>31.05</v>
      </c>
      <c r="L728" s="159">
        <v>31.05</v>
      </c>
      <c r="M728" s="160">
        <v>31.05</v>
      </c>
      <c r="N728" s="145"/>
      <c r="O728" s="156" t="s">
        <v>166</v>
      </c>
      <c r="P728" s="144" t="s">
        <v>2478</v>
      </c>
      <c r="Q728" s="147"/>
      <c r="R728" s="146">
        <v>2042</v>
      </c>
      <c r="S728" s="157"/>
      <c r="T728" s="144" t="s">
        <v>25</v>
      </c>
      <c r="U728" s="150" t="s">
        <v>17</v>
      </c>
      <c r="V728" s="146">
        <v>1382</v>
      </c>
      <c r="W728" s="148"/>
      <c r="X728" s="149">
        <v>45689</v>
      </c>
      <c r="Y728" s="165" t="s">
        <v>2500</v>
      </c>
    </row>
    <row r="729" spans="1:25">
      <c r="A729" s="163" t="s">
        <v>309</v>
      </c>
      <c r="B729" s="144" t="s">
        <v>2463</v>
      </c>
      <c r="C729" s="164" t="s">
        <v>336</v>
      </c>
      <c r="D729" s="144" t="s">
        <v>337</v>
      </c>
      <c r="E729" s="150" t="s">
        <v>2636</v>
      </c>
      <c r="F729" s="144" t="s">
        <v>2482</v>
      </c>
      <c r="G729" s="166"/>
      <c r="H729" s="151">
        <v>2</v>
      </c>
      <c r="I729" s="160"/>
      <c r="J729" s="159">
        <v>125</v>
      </c>
      <c r="K729" s="161"/>
      <c r="L729" s="159">
        <v>250</v>
      </c>
      <c r="M729" s="160">
        <v>250</v>
      </c>
      <c r="N729" s="145">
        <v>2000</v>
      </c>
      <c r="O729" s="156" t="s">
        <v>27</v>
      </c>
      <c r="P729" s="144" t="s">
        <v>2468</v>
      </c>
      <c r="Q729" s="147">
        <v>46296</v>
      </c>
      <c r="R729" s="146">
        <v>2105</v>
      </c>
      <c r="S729" s="157"/>
      <c r="T729" s="144" t="s">
        <v>27</v>
      </c>
      <c r="U729" s="150" t="s">
        <v>18</v>
      </c>
      <c r="V729" s="146">
        <v>1352</v>
      </c>
      <c r="W729" s="148"/>
      <c r="X729" s="149">
        <v>45901</v>
      </c>
      <c r="Y729" s="165" t="s">
        <v>2712</v>
      </c>
    </row>
    <row r="730" spans="1:25">
      <c r="A730" s="163" t="s">
        <v>309</v>
      </c>
      <c r="B730" s="144" t="s">
        <v>163</v>
      </c>
      <c r="C730" s="164" t="s">
        <v>3762</v>
      </c>
      <c r="D730" s="144" t="s">
        <v>1255</v>
      </c>
      <c r="E730" s="150" t="s">
        <v>2476</v>
      </c>
      <c r="F730" s="144" t="s">
        <v>2477</v>
      </c>
      <c r="G730" s="166" t="s">
        <v>3763</v>
      </c>
      <c r="H730" s="151">
        <v>20</v>
      </c>
      <c r="I730" s="160">
        <v>2.5</v>
      </c>
      <c r="J730" s="159">
        <v>2.5</v>
      </c>
      <c r="K730" s="161">
        <v>50</v>
      </c>
      <c r="L730" s="159">
        <v>50</v>
      </c>
      <c r="M730" s="160">
        <v>50</v>
      </c>
      <c r="N730" s="145">
        <v>0</v>
      </c>
      <c r="O730" s="156" t="s">
        <v>166</v>
      </c>
      <c r="P730" s="144" t="s">
        <v>2478</v>
      </c>
      <c r="Q730" s="147">
        <v>43070</v>
      </c>
      <c r="R730" s="146">
        <v>2037</v>
      </c>
      <c r="S730" s="157"/>
      <c r="T730" s="144" t="s">
        <v>25</v>
      </c>
      <c r="U730" s="150" t="s">
        <v>2479</v>
      </c>
      <c r="V730" s="146">
        <v>1378</v>
      </c>
      <c r="W730" s="148"/>
      <c r="X730" s="149">
        <v>45689</v>
      </c>
      <c r="Y730" s="165" t="s">
        <v>2470</v>
      </c>
    </row>
    <row r="731" spans="1:25">
      <c r="A731" s="163" t="s">
        <v>309</v>
      </c>
      <c r="B731" s="144" t="s">
        <v>2463</v>
      </c>
      <c r="C731" s="164" t="s">
        <v>3764</v>
      </c>
      <c r="D731" s="144" t="s">
        <v>1255</v>
      </c>
      <c r="E731" s="150" t="s">
        <v>2476</v>
      </c>
      <c r="F731" s="144" t="s">
        <v>2477</v>
      </c>
      <c r="G731" s="166"/>
      <c r="H731" s="151">
        <v>1</v>
      </c>
      <c r="I731" s="160">
        <v>270</v>
      </c>
      <c r="J731" s="159">
        <v>270</v>
      </c>
      <c r="K731" s="161">
        <v>270</v>
      </c>
      <c r="L731" s="159">
        <v>270</v>
      </c>
      <c r="M731" s="160">
        <v>270</v>
      </c>
      <c r="N731" s="145">
        <v>0</v>
      </c>
      <c r="O731" s="156" t="s">
        <v>135</v>
      </c>
      <c r="P731" s="144" t="s">
        <v>2478</v>
      </c>
      <c r="Q731" s="147"/>
      <c r="R731" s="146">
        <v>2045</v>
      </c>
      <c r="S731" s="157"/>
      <c r="T731" s="144" t="s">
        <v>29</v>
      </c>
      <c r="U731" s="150" t="s">
        <v>2479</v>
      </c>
      <c r="V731" s="146">
        <v>1406</v>
      </c>
      <c r="W731" s="148"/>
      <c r="X731" s="149">
        <v>45689</v>
      </c>
      <c r="Y731" s="165" t="s">
        <v>2500</v>
      </c>
    </row>
    <row r="732" spans="1:25">
      <c r="A732" s="163" t="s">
        <v>309</v>
      </c>
      <c r="B732" s="144" t="s">
        <v>2463</v>
      </c>
      <c r="C732" s="164" t="s">
        <v>3765</v>
      </c>
      <c r="D732" s="144" t="s">
        <v>1255</v>
      </c>
      <c r="E732" s="150" t="s">
        <v>2485</v>
      </c>
      <c r="F732" s="144" t="s">
        <v>2486</v>
      </c>
      <c r="G732" s="166"/>
      <c r="H732" s="151">
        <v>1</v>
      </c>
      <c r="I732" s="160">
        <v>258</v>
      </c>
      <c r="J732" s="159">
        <v>258</v>
      </c>
      <c r="K732" s="161">
        <v>258</v>
      </c>
      <c r="L732" s="159">
        <v>258</v>
      </c>
      <c r="M732" s="160">
        <v>258</v>
      </c>
      <c r="N732" s="145"/>
      <c r="O732" s="156" t="s">
        <v>135</v>
      </c>
      <c r="P732" s="144" t="s">
        <v>2478</v>
      </c>
      <c r="Q732" s="147"/>
      <c r="R732" s="146">
        <v>2045</v>
      </c>
      <c r="S732" s="157"/>
      <c r="T732" s="144" t="s">
        <v>29</v>
      </c>
      <c r="U732" s="150" t="s">
        <v>17</v>
      </c>
      <c r="V732" s="146">
        <v>1513</v>
      </c>
      <c r="W732" s="148" t="s">
        <v>3766</v>
      </c>
      <c r="X732" s="149">
        <v>45689</v>
      </c>
      <c r="Y732" s="165" t="s">
        <v>3067</v>
      </c>
    </row>
    <row r="733" spans="1:25">
      <c r="A733" s="163" t="s">
        <v>423</v>
      </c>
      <c r="B733" s="144" t="s">
        <v>2463</v>
      </c>
      <c r="C733" s="164" t="s">
        <v>3767</v>
      </c>
      <c r="D733" s="144" t="s">
        <v>3768</v>
      </c>
      <c r="E733" s="150" t="s">
        <v>2466</v>
      </c>
      <c r="F733" s="144" t="s">
        <v>2467</v>
      </c>
      <c r="G733" s="166"/>
      <c r="H733" s="151">
        <v>1</v>
      </c>
      <c r="I733" s="160">
        <v>500</v>
      </c>
      <c r="J733" s="159">
        <v>500</v>
      </c>
      <c r="K733" s="161">
        <v>500</v>
      </c>
      <c r="L733" s="159">
        <v>500</v>
      </c>
      <c r="M733" s="160">
        <v>500</v>
      </c>
      <c r="N733" s="145">
        <v>1000</v>
      </c>
      <c r="O733" s="156" t="s">
        <v>135</v>
      </c>
      <c r="P733" s="144" t="s">
        <v>2468</v>
      </c>
      <c r="Q733" s="147"/>
      <c r="R733" s="146"/>
      <c r="S733" s="157"/>
      <c r="T733" s="144" t="s">
        <v>29</v>
      </c>
      <c r="U733" s="150" t="s">
        <v>20</v>
      </c>
      <c r="V733" s="146">
        <v>2659</v>
      </c>
      <c r="W733" s="148" t="s">
        <v>3769</v>
      </c>
      <c r="X733" s="149">
        <v>45689</v>
      </c>
      <c r="Y733" s="165" t="s">
        <v>2609</v>
      </c>
    </row>
    <row r="734" spans="1:25">
      <c r="A734" s="163" t="s">
        <v>380</v>
      </c>
      <c r="B734" s="144" t="s">
        <v>2463</v>
      </c>
      <c r="C734" s="164" t="s">
        <v>747</v>
      </c>
      <c r="D734" s="144" t="s">
        <v>748</v>
      </c>
      <c r="E734" s="150" t="s">
        <v>2466</v>
      </c>
      <c r="F734" s="144" t="s">
        <v>2467</v>
      </c>
      <c r="G734" s="166"/>
      <c r="H734" s="151">
        <v>1</v>
      </c>
      <c r="I734" s="160"/>
      <c r="J734" s="159">
        <v>4.2</v>
      </c>
      <c r="K734" s="161"/>
      <c r="L734" s="159">
        <v>4.2</v>
      </c>
      <c r="M734" s="160">
        <v>4.2</v>
      </c>
      <c r="N734" s="145">
        <v>600</v>
      </c>
      <c r="O734" s="156" t="s">
        <v>135</v>
      </c>
      <c r="P734" s="144" t="s">
        <v>2468</v>
      </c>
      <c r="Q734" s="147">
        <v>47088</v>
      </c>
      <c r="R734" s="146">
        <v>2068</v>
      </c>
      <c r="S734" s="157"/>
      <c r="T734" s="144" t="s">
        <v>29</v>
      </c>
      <c r="U734" s="150" t="s">
        <v>20</v>
      </c>
      <c r="V734" s="146">
        <v>2946</v>
      </c>
      <c r="W734" s="148" t="s">
        <v>3770</v>
      </c>
      <c r="X734" s="149">
        <v>45778</v>
      </c>
      <c r="Y734" s="165" t="s">
        <v>2787</v>
      </c>
    </row>
    <row r="735" spans="1:25">
      <c r="A735" s="163" t="s">
        <v>309</v>
      </c>
      <c r="B735" s="144" t="s">
        <v>163</v>
      </c>
      <c r="C735" s="164" t="s">
        <v>724</v>
      </c>
      <c r="D735" s="144" t="s">
        <v>725</v>
      </c>
      <c r="E735" s="150" t="s">
        <v>2491</v>
      </c>
      <c r="F735" s="144" t="s">
        <v>2477</v>
      </c>
      <c r="G735" s="166" t="s">
        <v>726</v>
      </c>
      <c r="H735" s="151">
        <v>9</v>
      </c>
      <c r="I735" s="160">
        <v>4.4400000000000004</v>
      </c>
      <c r="J735" s="159">
        <v>4.4400000000000004</v>
      </c>
      <c r="K735" s="161">
        <v>40</v>
      </c>
      <c r="L735" s="159">
        <v>40</v>
      </c>
      <c r="M735" s="160">
        <v>40</v>
      </c>
      <c r="N735" s="145"/>
      <c r="O735" s="156" t="s">
        <v>166</v>
      </c>
      <c r="P735" s="144" t="s">
        <v>2478</v>
      </c>
      <c r="Q735" s="147">
        <v>45597</v>
      </c>
      <c r="R735" s="146">
        <v>2050</v>
      </c>
      <c r="S735" s="157"/>
      <c r="T735" s="144" t="s">
        <v>25</v>
      </c>
      <c r="U735" s="150" t="s">
        <v>2479</v>
      </c>
      <c r="V735" s="146">
        <v>1528</v>
      </c>
      <c r="W735" s="148"/>
      <c r="X735" s="149">
        <v>45901</v>
      </c>
      <c r="Y735" s="165" t="s">
        <v>3006</v>
      </c>
    </row>
    <row r="736" spans="1:25">
      <c r="A736" s="163" t="s">
        <v>380</v>
      </c>
      <c r="B736" s="144" t="s">
        <v>2463</v>
      </c>
      <c r="C736" s="164" t="s">
        <v>3771</v>
      </c>
      <c r="D736" s="144" t="s">
        <v>1698</v>
      </c>
      <c r="E736" s="150" t="s">
        <v>2491</v>
      </c>
      <c r="F736" s="144" t="s">
        <v>2477</v>
      </c>
      <c r="G736" s="166"/>
      <c r="H736" s="151">
        <v>120</v>
      </c>
      <c r="I736" s="160"/>
      <c r="J736" s="159"/>
      <c r="K736" s="161"/>
      <c r="L736" s="159"/>
      <c r="M736" s="160" t="s">
        <v>3040</v>
      </c>
      <c r="N736" s="145"/>
      <c r="O736" s="156" t="s">
        <v>135</v>
      </c>
      <c r="P736" s="144" t="s">
        <v>2478</v>
      </c>
      <c r="Q736" s="147"/>
      <c r="R736" s="146"/>
      <c r="S736" s="157"/>
      <c r="T736" s="144" t="s">
        <v>29</v>
      </c>
      <c r="U736" s="150" t="s">
        <v>2479</v>
      </c>
      <c r="V736" s="146">
        <v>1395</v>
      </c>
      <c r="W736" s="148"/>
      <c r="X736" s="149">
        <v>45901</v>
      </c>
      <c r="Y736" s="165" t="s">
        <v>3772</v>
      </c>
    </row>
    <row r="737" spans="1:25">
      <c r="A737" s="163" t="s">
        <v>380</v>
      </c>
      <c r="B737" s="144" t="s">
        <v>2463</v>
      </c>
      <c r="C737" s="164" t="s">
        <v>3773</v>
      </c>
      <c r="D737" s="144" t="s">
        <v>1698</v>
      </c>
      <c r="E737" s="150" t="s">
        <v>2466</v>
      </c>
      <c r="F737" s="144" t="s">
        <v>2467</v>
      </c>
      <c r="G737" s="166"/>
      <c r="H737" s="151">
        <v>1</v>
      </c>
      <c r="I737" s="160"/>
      <c r="J737" s="159">
        <v>100</v>
      </c>
      <c r="K737" s="161"/>
      <c r="L737" s="159">
        <v>100</v>
      </c>
      <c r="M737" s="160">
        <v>100</v>
      </c>
      <c r="N737" s="145">
        <v>0</v>
      </c>
      <c r="O737" s="156" t="s">
        <v>135</v>
      </c>
      <c r="P737" s="144" t="s">
        <v>2468</v>
      </c>
      <c r="Q737" s="147"/>
      <c r="R737" s="146"/>
      <c r="S737" s="157"/>
      <c r="T737" s="144" t="s">
        <v>29</v>
      </c>
      <c r="U737" s="150" t="s">
        <v>20</v>
      </c>
      <c r="V737" s="146">
        <v>2051</v>
      </c>
      <c r="W737" s="148"/>
      <c r="X737" s="149">
        <v>45901</v>
      </c>
      <c r="Y737" s="165" t="s">
        <v>2704</v>
      </c>
    </row>
    <row r="738" spans="1:25">
      <c r="A738" s="163" t="s">
        <v>7</v>
      </c>
      <c r="B738" s="144" t="s">
        <v>2463</v>
      </c>
      <c r="C738" s="164" t="s">
        <v>3774</v>
      </c>
      <c r="D738" s="144" t="s">
        <v>3775</v>
      </c>
      <c r="E738" s="150" t="s">
        <v>2485</v>
      </c>
      <c r="F738" s="144" t="s">
        <v>2486</v>
      </c>
      <c r="G738" s="166"/>
      <c r="H738" s="151">
        <v>89</v>
      </c>
      <c r="I738" s="160">
        <v>4.49</v>
      </c>
      <c r="J738" s="159">
        <v>4.49</v>
      </c>
      <c r="K738" s="161">
        <v>399.61</v>
      </c>
      <c r="L738" s="159">
        <v>399.61</v>
      </c>
      <c r="M738" s="160">
        <v>399.61</v>
      </c>
      <c r="N738" s="145"/>
      <c r="O738" s="156" t="s">
        <v>135</v>
      </c>
      <c r="P738" s="144" t="s">
        <v>2478</v>
      </c>
      <c r="Q738" s="147"/>
      <c r="R738" s="146"/>
      <c r="S738" s="157"/>
      <c r="T738" s="144" t="s">
        <v>29</v>
      </c>
      <c r="U738" s="150" t="s">
        <v>17</v>
      </c>
      <c r="V738" s="146">
        <v>2637</v>
      </c>
      <c r="W738" s="148" t="s">
        <v>3776</v>
      </c>
      <c r="X738" s="149">
        <v>45901</v>
      </c>
      <c r="Y738" s="165" t="s">
        <v>2600</v>
      </c>
    </row>
    <row r="739" spans="1:25">
      <c r="A739" s="163" t="s">
        <v>7</v>
      </c>
      <c r="B739" s="144" t="s">
        <v>2463</v>
      </c>
      <c r="C739" s="164" t="s">
        <v>3777</v>
      </c>
      <c r="D739" s="144" t="s">
        <v>3778</v>
      </c>
      <c r="E739" s="150" t="s">
        <v>2466</v>
      </c>
      <c r="F739" s="144" t="s">
        <v>2467</v>
      </c>
      <c r="G739" s="166"/>
      <c r="H739" s="151">
        <v>1</v>
      </c>
      <c r="I739" s="160">
        <v>250</v>
      </c>
      <c r="J739" s="159">
        <v>250</v>
      </c>
      <c r="K739" s="161">
        <v>250</v>
      </c>
      <c r="L739" s="159">
        <v>250</v>
      </c>
      <c r="M739" s="160">
        <v>250</v>
      </c>
      <c r="N739" s="145">
        <v>500</v>
      </c>
      <c r="O739" s="156" t="s">
        <v>135</v>
      </c>
      <c r="P739" s="144" t="s">
        <v>2468</v>
      </c>
      <c r="Q739" s="147"/>
      <c r="R739" s="146"/>
      <c r="S739" s="157"/>
      <c r="T739" s="144" t="s">
        <v>29</v>
      </c>
      <c r="U739" s="150" t="s">
        <v>20</v>
      </c>
      <c r="V739" s="146">
        <v>2585</v>
      </c>
      <c r="W739" s="148" t="s">
        <v>3779</v>
      </c>
      <c r="X739" s="149">
        <v>45689</v>
      </c>
      <c r="Y739" s="165" t="s">
        <v>2538</v>
      </c>
    </row>
    <row r="740" spans="1:25">
      <c r="A740" s="163" t="s">
        <v>309</v>
      </c>
      <c r="B740" s="144" t="s">
        <v>2463</v>
      </c>
      <c r="C740" s="164" t="s">
        <v>3780</v>
      </c>
      <c r="D740" s="144" t="s">
        <v>1250</v>
      </c>
      <c r="E740" s="150" t="s">
        <v>2476</v>
      </c>
      <c r="F740" s="144" t="s">
        <v>2477</v>
      </c>
      <c r="G740" s="166"/>
      <c r="H740" s="151">
        <v>1</v>
      </c>
      <c r="I740" s="160">
        <v>55</v>
      </c>
      <c r="J740" s="159">
        <v>55</v>
      </c>
      <c r="K740" s="161">
        <v>55</v>
      </c>
      <c r="L740" s="159">
        <v>55</v>
      </c>
      <c r="M740" s="160">
        <v>55</v>
      </c>
      <c r="N740" s="145"/>
      <c r="O740" s="156" t="s">
        <v>135</v>
      </c>
      <c r="P740" s="144" t="s">
        <v>2478</v>
      </c>
      <c r="Q740" s="147"/>
      <c r="R740" s="146"/>
      <c r="S740" s="157"/>
      <c r="T740" s="144" t="s">
        <v>29</v>
      </c>
      <c r="U740" s="150" t="s">
        <v>2479</v>
      </c>
      <c r="V740" s="146">
        <v>1446</v>
      </c>
      <c r="W740" s="148"/>
      <c r="X740" s="149">
        <v>45689</v>
      </c>
      <c r="Y740" s="165" t="s">
        <v>3074</v>
      </c>
    </row>
    <row r="741" spans="1:25">
      <c r="A741" s="163" t="s">
        <v>309</v>
      </c>
      <c r="B741" s="144" t="s">
        <v>163</v>
      </c>
      <c r="C741" s="164" t="s">
        <v>3781</v>
      </c>
      <c r="D741" s="144" t="s">
        <v>3782</v>
      </c>
      <c r="E741" s="150" t="s">
        <v>2918</v>
      </c>
      <c r="F741" s="144" t="s">
        <v>2640</v>
      </c>
      <c r="G741" s="166" t="s">
        <v>3783</v>
      </c>
      <c r="H741" s="151">
        <v>1</v>
      </c>
      <c r="I741" s="160"/>
      <c r="J741" s="159">
        <v>744</v>
      </c>
      <c r="K741" s="161"/>
      <c r="L741" s="159">
        <v>744</v>
      </c>
      <c r="M741" s="160">
        <v>744</v>
      </c>
      <c r="N741" s="145"/>
      <c r="O741" s="156" t="s">
        <v>166</v>
      </c>
      <c r="P741" s="144" t="s">
        <v>2468</v>
      </c>
      <c r="Q741" s="147"/>
      <c r="R741" s="146">
        <v>2042</v>
      </c>
      <c r="S741" s="157"/>
      <c r="T741" s="144" t="s">
        <v>25</v>
      </c>
      <c r="U741" s="150" t="s">
        <v>12</v>
      </c>
      <c r="V741" s="146">
        <v>1104</v>
      </c>
      <c r="W741" s="148"/>
      <c r="X741" s="149">
        <v>45689</v>
      </c>
      <c r="Y741" s="165" t="s">
        <v>2842</v>
      </c>
    </row>
    <row r="742" spans="1:25">
      <c r="A742" s="163" t="s">
        <v>380</v>
      </c>
      <c r="B742" s="144" t="s">
        <v>2463</v>
      </c>
      <c r="C742" s="164" t="s">
        <v>3784</v>
      </c>
      <c r="D742" s="144" t="s">
        <v>340</v>
      </c>
      <c r="E742" s="150" t="s">
        <v>2466</v>
      </c>
      <c r="F742" s="144" t="s">
        <v>2467</v>
      </c>
      <c r="G742" s="166"/>
      <c r="H742" s="151">
        <v>1</v>
      </c>
      <c r="I742" s="160">
        <v>200</v>
      </c>
      <c r="J742" s="159">
        <v>200</v>
      </c>
      <c r="K742" s="161">
        <v>200</v>
      </c>
      <c r="L742" s="159">
        <v>200</v>
      </c>
      <c r="M742" s="160">
        <v>200</v>
      </c>
      <c r="N742" s="145">
        <v>800</v>
      </c>
      <c r="O742" s="156" t="s">
        <v>135</v>
      </c>
      <c r="P742" s="144" t="s">
        <v>2468</v>
      </c>
      <c r="Q742" s="147">
        <v>46174</v>
      </c>
      <c r="R742" s="146"/>
      <c r="S742" s="157"/>
      <c r="T742" s="144" t="s">
        <v>29</v>
      </c>
      <c r="U742" s="150" t="s">
        <v>20</v>
      </c>
      <c r="V742" s="146">
        <v>2599</v>
      </c>
      <c r="W742" s="148" t="s">
        <v>3785</v>
      </c>
      <c r="X742" s="149">
        <v>45901</v>
      </c>
      <c r="Y742" s="165" t="s">
        <v>2858</v>
      </c>
    </row>
    <row r="743" spans="1:25">
      <c r="A743" s="163" t="s">
        <v>7</v>
      </c>
      <c r="B743" s="144" t="s">
        <v>2463</v>
      </c>
      <c r="C743" s="164" t="s">
        <v>3786</v>
      </c>
      <c r="D743" s="144" t="s">
        <v>690</v>
      </c>
      <c r="E743" s="150" t="s">
        <v>2485</v>
      </c>
      <c r="F743" s="144" t="s">
        <v>2486</v>
      </c>
      <c r="G743" s="166"/>
      <c r="H743" s="151">
        <v>50</v>
      </c>
      <c r="I743" s="160">
        <v>0</v>
      </c>
      <c r="J743" s="159">
        <v>6</v>
      </c>
      <c r="K743" s="161">
        <v>0</v>
      </c>
      <c r="L743" s="159">
        <v>300</v>
      </c>
      <c r="M743" s="160">
        <v>300</v>
      </c>
      <c r="N743" s="145"/>
      <c r="O743" s="156" t="s">
        <v>135</v>
      </c>
      <c r="P743" s="144" t="s">
        <v>2478</v>
      </c>
      <c r="Q743" s="147"/>
      <c r="R743" s="146"/>
      <c r="S743" s="157"/>
      <c r="T743" s="144" t="s">
        <v>29</v>
      </c>
      <c r="U743" s="150" t="s">
        <v>17</v>
      </c>
      <c r="V743" s="146">
        <v>2993</v>
      </c>
      <c r="W743" s="148" t="s">
        <v>3787</v>
      </c>
      <c r="X743" s="149">
        <v>45778</v>
      </c>
      <c r="Y743" s="165"/>
    </row>
    <row r="744" spans="1:25">
      <c r="A744" s="163" t="s">
        <v>423</v>
      </c>
      <c r="B744" s="144" t="s">
        <v>2463</v>
      </c>
      <c r="C744" s="164" t="s">
        <v>3788</v>
      </c>
      <c r="D744" s="144" t="s">
        <v>540</v>
      </c>
      <c r="E744" s="150" t="s">
        <v>2466</v>
      </c>
      <c r="F744" s="144" t="s">
        <v>2467</v>
      </c>
      <c r="G744" s="166"/>
      <c r="H744" s="151">
        <v>1</v>
      </c>
      <c r="I744" s="160">
        <v>150</v>
      </c>
      <c r="J744" s="159">
        <v>150</v>
      </c>
      <c r="K744" s="161">
        <v>150</v>
      </c>
      <c r="L744" s="159">
        <v>150</v>
      </c>
      <c r="M744" s="160">
        <v>150</v>
      </c>
      <c r="N744" s="145">
        <v>0</v>
      </c>
      <c r="O744" s="156" t="s">
        <v>135</v>
      </c>
      <c r="P744" s="144" t="s">
        <v>2468</v>
      </c>
      <c r="Q744" s="147"/>
      <c r="R744" s="146"/>
      <c r="S744" s="157"/>
      <c r="T744" s="144" t="s">
        <v>29</v>
      </c>
      <c r="U744" s="150" t="s">
        <v>20</v>
      </c>
      <c r="V744" s="146">
        <v>3072</v>
      </c>
      <c r="W744" s="148" t="s">
        <v>3789</v>
      </c>
      <c r="X744" s="149">
        <v>45901</v>
      </c>
      <c r="Y744" s="165" t="s">
        <v>2490</v>
      </c>
    </row>
    <row r="745" spans="1:25">
      <c r="A745" s="163" t="s">
        <v>423</v>
      </c>
      <c r="B745" s="144" t="s">
        <v>163</v>
      </c>
      <c r="C745" s="164" t="s">
        <v>429</v>
      </c>
      <c r="D745" s="144" t="s">
        <v>430</v>
      </c>
      <c r="E745" s="150" t="s">
        <v>2466</v>
      </c>
      <c r="F745" s="144" t="s">
        <v>2467</v>
      </c>
      <c r="G745" s="166" t="s">
        <v>431</v>
      </c>
      <c r="H745" s="151">
        <v>1</v>
      </c>
      <c r="I745" s="160"/>
      <c r="J745" s="159">
        <v>185</v>
      </c>
      <c r="K745" s="161"/>
      <c r="L745" s="159">
        <v>185</v>
      </c>
      <c r="M745" s="160">
        <v>185</v>
      </c>
      <c r="N745" s="145">
        <v>370</v>
      </c>
      <c r="O745" s="156" t="s">
        <v>166</v>
      </c>
      <c r="P745" s="144" t="s">
        <v>2468</v>
      </c>
      <c r="Q745" s="147">
        <v>45809</v>
      </c>
      <c r="R745" s="146">
        <v>2055</v>
      </c>
      <c r="S745" s="157"/>
      <c r="T745" s="144" t="s">
        <v>25</v>
      </c>
      <c r="U745" s="150" t="s">
        <v>20</v>
      </c>
      <c r="V745" s="146">
        <v>2173</v>
      </c>
      <c r="W745" s="148" t="s">
        <v>3790</v>
      </c>
      <c r="X745" s="149">
        <v>45901</v>
      </c>
      <c r="Y745" s="165" t="s">
        <v>2578</v>
      </c>
    </row>
    <row r="746" spans="1:25">
      <c r="A746" s="163" t="s">
        <v>423</v>
      </c>
      <c r="B746" s="144" t="s">
        <v>2463</v>
      </c>
      <c r="C746" s="164" t="s">
        <v>3791</v>
      </c>
      <c r="D746" s="144" t="s">
        <v>797</v>
      </c>
      <c r="E746" s="150" t="s">
        <v>2485</v>
      </c>
      <c r="F746" s="144" t="s">
        <v>2486</v>
      </c>
      <c r="G746" s="166"/>
      <c r="H746" s="151">
        <v>50</v>
      </c>
      <c r="I746" s="160">
        <v>4</v>
      </c>
      <c r="J746" s="159">
        <v>8</v>
      </c>
      <c r="K746" s="161">
        <v>200</v>
      </c>
      <c r="L746" s="159">
        <v>400</v>
      </c>
      <c r="M746" s="160" t="s">
        <v>2488</v>
      </c>
      <c r="N746" s="145"/>
      <c r="O746" s="156" t="s">
        <v>135</v>
      </c>
      <c r="P746" s="144" t="s">
        <v>2478</v>
      </c>
      <c r="Q746" s="147"/>
      <c r="R746" s="146"/>
      <c r="S746" s="157"/>
      <c r="T746" s="144" t="s">
        <v>29</v>
      </c>
      <c r="U746" s="150" t="s">
        <v>17</v>
      </c>
      <c r="V746" s="146">
        <v>2739</v>
      </c>
      <c r="W746" s="148" t="s">
        <v>3792</v>
      </c>
      <c r="X746" s="149">
        <v>45689</v>
      </c>
      <c r="Y746" s="165" t="s">
        <v>2558</v>
      </c>
    </row>
    <row r="747" spans="1:25">
      <c r="A747" s="163" t="s">
        <v>7</v>
      </c>
      <c r="B747" s="144" t="s">
        <v>2463</v>
      </c>
      <c r="C747" s="164" t="s">
        <v>3793</v>
      </c>
      <c r="D747" s="144" t="s">
        <v>3794</v>
      </c>
      <c r="E747" s="150" t="s">
        <v>2466</v>
      </c>
      <c r="F747" s="144" t="s">
        <v>2467</v>
      </c>
      <c r="G747" s="166"/>
      <c r="H747" s="151">
        <v>1</v>
      </c>
      <c r="I747" s="160">
        <v>1200</v>
      </c>
      <c r="J747" s="159">
        <v>1200</v>
      </c>
      <c r="K747" s="161">
        <v>1200</v>
      </c>
      <c r="L747" s="159">
        <v>1200</v>
      </c>
      <c r="M747" s="160">
        <v>1200</v>
      </c>
      <c r="N747" s="145">
        <v>0</v>
      </c>
      <c r="O747" s="156" t="s">
        <v>135</v>
      </c>
      <c r="P747" s="144" t="s">
        <v>2468</v>
      </c>
      <c r="Q747" s="147"/>
      <c r="R747" s="146"/>
      <c r="S747" s="157"/>
      <c r="T747" s="144" t="s">
        <v>29</v>
      </c>
      <c r="U747" s="150" t="s">
        <v>20</v>
      </c>
      <c r="V747" s="146">
        <v>2415</v>
      </c>
      <c r="W747" s="148"/>
      <c r="X747" s="149">
        <v>45901</v>
      </c>
      <c r="Y747" s="165" t="s">
        <v>3795</v>
      </c>
    </row>
    <row r="748" spans="1:25">
      <c r="A748" s="163" t="s">
        <v>423</v>
      </c>
      <c r="B748" s="144" t="s">
        <v>2463</v>
      </c>
      <c r="C748" s="164" t="s">
        <v>3796</v>
      </c>
      <c r="D748" s="144" t="s">
        <v>3797</v>
      </c>
      <c r="E748" s="150" t="s">
        <v>2630</v>
      </c>
      <c r="F748" s="144" t="s">
        <v>2486</v>
      </c>
      <c r="G748" s="166"/>
      <c r="H748" s="151">
        <v>147</v>
      </c>
      <c r="I748" s="160">
        <v>15</v>
      </c>
      <c r="J748" s="159">
        <v>15</v>
      </c>
      <c r="K748" s="161">
        <v>2205</v>
      </c>
      <c r="L748" s="159">
        <v>2205</v>
      </c>
      <c r="M748" s="160">
        <v>2205</v>
      </c>
      <c r="N748" s="145"/>
      <c r="O748" s="156" t="s">
        <v>135</v>
      </c>
      <c r="P748" s="144" t="s">
        <v>2478</v>
      </c>
      <c r="Q748" s="147">
        <v>49644</v>
      </c>
      <c r="R748" s="146"/>
      <c r="S748" s="157"/>
      <c r="T748" s="144" t="s">
        <v>29</v>
      </c>
      <c r="U748" s="150" t="s">
        <v>17</v>
      </c>
      <c r="V748" s="146">
        <v>2899</v>
      </c>
      <c r="W748" s="148"/>
      <c r="X748" s="149"/>
      <c r="Y748" s="165" t="s">
        <v>2474</v>
      </c>
    </row>
    <row r="749" spans="1:25">
      <c r="A749" s="163" t="s">
        <v>380</v>
      </c>
      <c r="B749" s="144" t="s">
        <v>163</v>
      </c>
      <c r="C749" s="164" t="s">
        <v>1778</v>
      </c>
      <c r="D749" s="144" t="s">
        <v>1759</v>
      </c>
      <c r="E749" s="150" t="s">
        <v>2555</v>
      </c>
      <c r="F749" s="144" t="s">
        <v>2556</v>
      </c>
      <c r="G749" s="166" t="s">
        <v>3798</v>
      </c>
      <c r="H749" s="151">
        <v>1</v>
      </c>
      <c r="I749" s="160"/>
      <c r="J749" s="159">
        <v>40</v>
      </c>
      <c r="K749" s="161"/>
      <c r="L749" s="159">
        <v>40</v>
      </c>
      <c r="M749" s="160">
        <v>40</v>
      </c>
      <c r="N749" s="145"/>
      <c r="O749" s="156" t="s">
        <v>166</v>
      </c>
      <c r="P749" s="144" t="s">
        <v>2468</v>
      </c>
      <c r="Q749" s="147"/>
      <c r="R749" s="146">
        <v>2035</v>
      </c>
      <c r="S749" s="157"/>
      <c r="T749" s="144" t="s">
        <v>25</v>
      </c>
      <c r="U749" s="150" t="s">
        <v>14</v>
      </c>
      <c r="V749" s="146">
        <v>1107</v>
      </c>
      <c r="W749" s="148"/>
      <c r="X749" s="149">
        <v>45689</v>
      </c>
      <c r="Y749" s="165" t="s">
        <v>2500</v>
      </c>
    </row>
    <row r="750" spans="1:25">
      <c r="A750" s="163" t="s">
        <v>380</v>
      </c>
      <c r="B750" s="144" t="s">
        <v>163</v>
      </c>
      <c r="C750" s="164" t="s">
        <v>1778</v>
      </c>
      <c r="D750" s="144" t="s">
        <v>1759</v>
      </c>
      <c r="E750" s="150" t="s">
        <v>2555</v>
      </c>
      <c r="F750" s="144" t="s">
        <v>2556</v>
      </c>
      <c r="G750" s="166" t="s">
        <v>3799</v>
      </c>
      <c r="H750" s="151">
        <v>1</v>
      </c>
      <c r="I750" s="160"/>
      <c r="J750" s="159">
        <v>40</v>
      </c>
      <c r="K750" s="161"/>
      <c r="L750" s="159">
        <v>40</v>
      </c>
      <c r="M750" s="160">
        <v>40</v>
      </c>
      <c r="N750" s="145"/>
      <c r="O750" s="156" t="s">
        <v>166</v>
      </c>
      <c r="P750" s="144" t="s">
        <v>2468</v>
      </c>
      <c r="Q750" s="147"/>
      <c r="R750" s="146">
        <v>2035</v>
      </c>
      <c r="S750" s="157"/>
      <c r="T750" s="144" t="s">
        <v>25</v>
      </c>
      <c r="U750" s="150" t="s">
        <v>14</v>
      </c>
      <c r="V750" s="146">
        <v>1107</v>
      </c>
      <c r="W750" s="148"/>
      <c r="X750" s="149">
        <v>45689</v>
      </c>
      <c r="Y750" s="165" t="s">
        <v>2500</v>
      </c>
    </row>
    <row r="751" spans="1:25">
      <c r="A751" s="163" t="s">
        <v>380</v>
      </c>
      <c r="B751" s="144" t="s">
        <v>163</v>
      </c>
      <c r="C751" s="164" t="s">
        <v>3800</v>
      </c>
      <c r="D751" s="144" t="s">
        <v>3801</v>
      </c>
      <c r="E751" s="150" t="s">
        <v>2485</v>
      </c>
      <c r="F751" s="144" t="s">
        <v>2486</v>
      </c>
      <c r="G751" s="166" t="s">
        <v>3802</v>
      </c>
      <c r="H751" s="151">
        <v>46</v>
      </c>
      <c r="I751" s="160">
        <v>1.75</v>
      </c>
      <c r="J751" s="159">
        <v>1.75</v>
      </c>
      <c r="K751" s="161">
        <v>80.5</v>
      </c>
      <c r="L751" s="159">
        <v>80.5</v>
      </c>
      <c r="M751" s="160">
        <v>80.5</v>
      </c>
      <c r="N751" s="145"/>
      <c r="O751" s="156" t="s">
        <v>166</v>
      </c>
      <c r="P751" s="144" t="s">
        <v>2478</v>
      </c>
      <c r="Q751" s="147"/>
      <c r="R751" s="146">
        <v>2035</v>
      </c>
      <c r="S751" s="157"/>
      <c r="T751" s="144" t="s">
        <v>25</v>
      </c>
      <c r="U751" s="150" t="s">
        <v>17</v>
      </c>
      <c r="V751" s="146">
        <v>1108</v>
      </c>
      <c r="W751" s="148"/>
      <c r="X751" s="149">
        <v>45689</v>
      </c>
      <c r="Y751" s="165" t="s">
        <v>2730</v>
      </c>
    </row>
    <row r="752" spans="1:25">
      <c r="A752" s="163" t="s">
        <v>380</v>
      </c>
      <c r="B752" s="144" t="s">
        <v>163</v>
      </c>
      <c r="C752" s="164" t="s">
        <v>3803</v>
      </c>
      <c r="D752" s="144" t="s">
        <v>3801</v>
      </c>
      <c r="E752" s="150" t="s">
        <v>2485</v>
      </c>
      <c r="F752" s="144" t="s">
        <v>2486</v>
      </c>
      <c r="G752" s="166" t="s">
        <v>3804</v>
      </c>
      <c r="H752" s="151">
        <v>53</v>
      </c>
      <c r="I752" s="160">
        <v>3</v>
      </c>
      <c r="J752" s="159">
        <v>3</v>
      </c>
      <c r="K752" s="161">
        <v>159</v>
      </c>
      <c r="L752" s="159">
        <v>159</v>
      </c>
      <c r="M752" s="160">
        <v>159</v>
      </c>
      <c r="N752" s="145"/>
      <c r="O752" s="156" t="s">
        <v>166</v>
      </c>
      <c r="P752" s="144" t="s">
        <v>2478</v>
      </c>
      <c r="Q752" s="147"/>
      <c r="R752" s="146">
        <v>2038</v>
      </c>
      <c r="S752" s="157"/>
      <c r="T752" s="144" t="s">
        <v>25</v>
      </c>
      <c r="U752" s="150" t="s">
        <v>17</v>
      </c>
      <c r="V752" s="146">
        <v>1109</v>
      </c>
      <c r="W752" s="148"/>
      <c r="X752" s="149">
        <v>45689</v>
      </c>
      <c r="Y752" s="165" t="s">
        <v>2730</v>
      </c>
    </row>
    <row r="753" spans="1:25">
      <c r="A753" s="163" t="s">
        <v>380</v>
      </c>
      <c r="B753" s="144" t="s">
        <v>163</v>
      </c>
      <c r="C753" s="164" t="s">
        <v>3805</v>
      </c>
      <c r="D753" s="144" t="s">
        <v>3801</v>
      </c>
      <c r="E753" s="150" t="s">
        <v>2485</v>
      </c>
      <c r="F753" s="144" t="s">
        <v>2486</v>
      </c>
      <c r="G753" s="166" t="s">
        <v>3806</v>
      </c>
      <c r="H753" s="151">
        <v>13</v>
      </c>
      <c r="I753" s="160">
        <v>3</v>
      </c>
      <c r="J753" s="159">
        <v>3</v>
      </c>
      <c r="K753" s="161">
        <v>39</v>
      </c>
      <c r="L753" s="159">
        <v>39</v>
      </c>
      <c r="M753" s="160">
        <v>39</v>
      </c>
      <c r="N753" s="145"/>
      <c r="O753" s="156" t="s">
        <v>166</v>
      </c>
      <c r="P753" s="144" t="s">
        <v>2478</v>
      </c>
      <c r="Q753" s="147"/>
      <c r="R753" s="146">
        <v>2040</v>
      </c>
      <c r="S753" s="157"/>
      <c r="T753" s="144" t="s">
        <v>25</v>
      </c>
      <c r="U753" s="150" t="s">
        <v>17</v>
      </c>
      <c r="V753" s="146">
        <v>1110</v>
      </c>
      <c r="W753" s="148"/>
      <c r="X753" s="149">
        <v>45689</v>
      </c>
      <c r="Y753" s="165" t="s">
        <v>2730</v>
      </c>
    </row>
    <row r="754" spans="1:25">
      <c r="A754" s="163" t="s">
        <v>380</v>
      </c>
      <c r="B754" s="144" t="s">
        <v>163</v>
      </c>
      <c r="C754" s="164" t="s">
        <v>1969</v>
      </c>
      <c r="D754" s="144" t="s">
        <v>3807</v>
      </c>
      <c r="E754" s="150" t="s">
        <v>2466</v>
      </c>
      <c r="F754" s="144" t="s">
        <v>2467</v>
      </c>
      <c r="G754" s="166" t="s">
        <v>3808</v>
      </c>
      <c r="H754" s="151">
        <v>1</v>
      </c>
      <c r="I754" s="160"/>
      <c r="J754" s="159">
        <v>25</v>
      </c>
      <c r="K754" s="161"/>
      <c r="L754" s="159">
        <v>25</v>
      </c>
      <c r="M754" s="160">
        <v>25</v>
      </c>
      <c r="N754" s="145">
        <v>52</v>
      </c>
      <c r="O754" s="156" t="s">
        <v>166</v>
      </c>
      <c r="P754" s="144" t="s">
        <v>2468</v>
      </c>
      <c r="Q754" s="147">
        <v>43770</v>
      </c>
      <c r="R754" s="146">
        <v>2034</v>
      </c>
      <c r="S754" s="157"/>
      <c r="T754" s="144" t="s">
        <v>25</v>
      </c>
      <c r="U754" s="150" t="s">
        <v>20</v>
      </c>
      <c r="V754" s="146">
        <v>1568</v>
      </c>
      <c r="W754" s="148"/>
      <c r="X754" s="149">
        <v>45689</v>
      </c>
      <c r="Y754" s="165" t="s">
        <v>3069</v>
      </c>
    </row>
    <row r="755" spans="1:25">
      <c r="A755" s="163" t="s">
        <v>565</v>
      </c>
      <c r="B755" s="144" t="s">
        <v>163</v>
      </c>
      <c r="C755" s="164" t="s">
        <v>3809</v>
      </c>
      <c r="D755" s="144" t="s">
        <v>1137</v>
      </c>
      <c r="E755" s="150" t="s">
        <v>2593</v>
      </c>
      <c r="F755" s="144" t="s">
        <v>2482</v>
      </c>
      <c r="G755" s="166" t="s">
        <v>3810</v>
      </c>
      <c r="H755" s="151">
        <v>1</v>
      </c>
      <c r="I755" s="160">
        <v>32.4</v>
      </c>
      <c r="J755" s="159">
        <v>32.4</v>
      </c>
      <c r="K755" s="161">
        <v>32.4</v>
      </c>
      <c r="L755" s="159">
        <v>32.4</v>
      </c>
      <c r="M755" s="160">
        <v>32.4</v>
      </c>
      <c r="N755" s="145"/>
      <c r="O755" s="156" t="s">
        <v>166</v>
      </c>
      <c r="P755" s="144" t="s">
        <v>2468</v>
      </c>
      <c r="Q755" s="147"/>
      <c r="R755" s="146">
        <v>2100</v>
      </c>
      <c r="S755" s="157"/>
      <c r="T755" s="144" t="s">
        <v>25</v>
      </c>
      <c r="U755" s="150" t="s">
        <v>18</v>
      </c>
      <c r="V755" s="146">
        <v>1111</v>
      </c>
      <c r="W755" s="148"/>
      <c r="X755" s="149">
        <v>45689</v>
      </c>
      <c r="Y755" s="165" t="s">
        <v>2541</v>
      </c>
    </row>
    <row r="756" spans="1:25">
      <c r="A756" s="163" t="s">
        <v>7</v>
      </c>
      <c r="B756" s="144" t="s">
        <v>2463</v>
      </c>
      <c r="C756" s="164" t="s">
        <v>3811</v>
      </c>
      <c r="D756" s="144" t="s">
        <v>1029</v>
      </c>
      <c r="E756" s="150" t="s">
        <v>2636</v>
      </c>
      <c r="F756" s="144" t="s">
        <v>2482</v>
      </c>
      <c r="G756" s="166"/>
      <c r="H756" s="151">
        <v>1</v>
      </c>
      <c r="I756" s="160"/>
      <c r="J756" s="159">
        <v>385</v>
      </c>
      <c r="K756" s="161"/>
      <c r="L756" s="159">
        <v>385</v>
      </c>
      <c r="M756" s="160">
        <v>385</v>
      </c>
      <c r="N756" s="145">
        <v>3080</v>
      </c>
      <c r="O756" s="156" t="s">
        <v>135</v>
      </c>
      <c r="P756" s="144" t="s">
        <v>2468</v>
      </c>
      <c r="Q756" s="147">
        <v>47818</v>
      </c>
      <c r="R756" s="146"/>
      <c r="S756" s="157"/>
      <c r="T756" s="144" t="s">
        <v>29</v>
      </c>
      <c r="U756" s="150" t="s">
        <v>18</v>
      </c>
      <c r="V756" s="146">
        <v>2033</v>
      </c>
      <c r="W756" s="148" t="s">
        <v>3812</v>
      </c>
      <c r="X756" s="149">
        <v>45689</v>
      </c>
      <c r="Y756" s="165" t="s">
        <v>2622</v>
      </c>
    </row>
    <row r="757" spans="1:25">
      <c r="A757" s="163" t="s">
        <v>7</v>
      </c>
      <c r="B757" s="144" t="s">
        <v>2463</v>
      </c>
      <c r="C757" s="164" t="s">
        <v>3813</v>
      </c>
      <c r="D757" s="144" t="s">
        <v>3814</v>
      </c>
      <c r="E757" s="150" t="s">
        <v>2466</v>
      </c>
      <c r="F757" s="144" t="s">
        <v>2467</v>
      </c>
      <c r="G757" s="166"/>
      <c r="H757" s="151">
        <v>1</v>
      </c>
      <c r="I757" s="160"/>
      <c r="J757" s="159">
        <v>300</v>
      </c>
      <c r="K757" s="161"/>
      <c r="L757" s="159">
        <v>300</v>
      </c>
      <c r="M757" s="160">
        <v>300</v>
      </c>
      <c r="N757" s="145">
        <v>0</v>
      </c>
      <c r="O757" s="156" t="s">
        <v>135</v>
      </c>
      <c r="P757" s="144" t="s">
        <v>2468</v>
      </c>
      <c r="Q757" s="147"/>
      <c r="R757" s="146"/>
      <c r="S757" s="157"/>
      <c r="T757" s="144" t="s">
        <v>29</v>
      </c>
      <c r="U757" s="150" t="s">
        <v>20</v>
      </c>
      <c r="V757" s="146">
        <v>2764</v>
      </c>
      <c r="W757" s="148" t="s">
        <v>3815</v>
      </c>
      <c r="X757" s="149">
        <v>45901</v>
      </c>
      <c r="Y757" s="165" t="s">
        <v>3739</v>
      </c>
    </row>
    <row r="758" spans="1:25">
      <c r="A758" s="163" t="s">
        <v>7</v>
      </c>
      <c r="B758" s="144" t="s">
        <v>2463</v>
      </c>
      <c r="C758" s="164" t="s">
        <v>3813</v>
      </c>
      <c r="D758" s="144" t="s">
        <v>3814</v>
      </c>
      <c r="E758" s="150" t="s">
        <v>2485</v>
      </c>
      <c r="F758" s="144" t="s">
        <v>2486</v>
      </c>
      <c r="G758" s="166"/>
      <c r="H758" s="151">
        <v>145</v>
      </c>
      <c r="I758" s="160"/>
      <c r="J758" s="159">
        <v>7.5</v>
      </c>
      <c r="K758" s="161"/>
      <c r="L758" s="159">
        <v>1087.5</v>
      </c>
      <c r="M758" s="160">
        <v>1087.5</v>
      </c>
      <c r="N758" s="145"/>
      <c r="O758" s="156" t="s">
        <v>135</v>
      </c>
      <c r="P758" s="144" t="s">
        <v>2478</v>
      </c>
      <c r="Q758" s="147"/>
      <c r="R758" s="146"/>
      <c r="S758" s="157"/>
      <c r="T758" s="144" t="s">
        <v>29</v>
      </c>
      <c r="U758" s="150" t="s">
        <v>17</v>
      </c>
      <c r="V758" s="146">
        <v>2764</v>
      </c>
      <c r="W758" s="148" t="s">
        <v>3815</v>
      </c>
      <c r="X758" s="149">
        <v>45901</v>
      </c>
      <c r="Y758" s="165" t="s">
        <v>3739</v>
      </c>
    </row>
    <row r="759" spans="1:25">
      <c r="A759" s="163" t="s">
        <v>309</v>
      </c>
      <c r="B759" s="144" t="s">
        <v>2463</v>
      </c>
      <c r="C759" s="164" t="s">
        <v>3816</v>
      </c>
      <c r="D759" s="144" t="s">
        <v>3817</v>
      </c>
      <c r="E759" s="150" t="s">
        <v>2485</v>
      </c>
      <c r="F759" s="144" t="s">
        <v>2486</v>
      </c>
      <c r="G759" s="166"/>
      <c r="H759" s="151">
        <v>17</v>
      </c>
      <c r="I759" s="160">
        <v>0</v>
      </c>
      <c r="J759" s="159">
        <v>4.3</v>
      </c>
      <c r="K759" s="161">
        <v>0</v>
      </c>
      <c r="L759" s="159">
        <v>73.099999999999994</v>
      </c>
      <c r="M759" s="160">
        <v>73.099999999999994</v>
      </c>
      <c r="N759" s="145"/>
      <c r="O759" s="156" t="s">
        <v>135</v>
      </c>
      <c r="P759" s="144" t="s">
        <v>2478</v>
      </c>
      <c r="Q759" s="147">
        <v>46905</v>
      </c>
      <c r="R759" s="146"/>
      <c r="S759" s="157"/>
      <c r="T759" s="144" t="s">
        <v>29</v>
      </c>
      <c r="U759" s="150" t="s">
        <v>17</v>
      </c>
      <c r="V759" s="146">
        <v>1626</v>
      </c>
      <c r="W759" s="148"/>
      <c r="X759" s="149">
        <v>45689</v>
      </c>
      <c r="Y759" s="165" t="s">
        <v>2612</v>
      </c>
    </row>
    <row r="760" spans="1:25">
      <c r="A760" s="163" t="s">
        <v>423</v>
      </c>
      <c r="B760" s="144" t="s">
        <v>2463</v>
      </c>
      <c r="C760" s="164" t="s">
        <v>3818</v>
      </c>
      <c r="D760" s="144" t="s">
        <v>2997</v>
      </c>
      <c r="E760" s="150" t="s">
        <v>2466</v>
      </c>
      <c r="F760" s="144" t="s">
        <v>2467</v>
      </c>
      <c r="G760" s="166"/>
      <c r="H760" s="151">
        <v>1</v>
      </c>
      <c r="I760" s="160"/>
      <c r="J760" s="159">
        <v>100</v>
      </c>
      <c r="K760" s="161"/>
      <c r="L760" s="159">
        <v>100</v>
      </c>
      <c r="M760" s="160">
        <v>100</v>
      </c>
      <c r="N760" s="145">
        <v>800</v>
      </c>
      <c r="O760" s="156" t="s">
        <v>135</v>
      </c>
      <c r="P760" s="144" t="s">
        <v>2468</v>
      </c>
      <c r="Q760" s="147"/>
      <c r="R760" s="146"/>
      <c r="S760" s="157"/>
      <c r="T760" s="144" t="s">
        <v>29</v>
      </c>
      <c r="U760" s="150" t="s">
        <v>20</v>
      </c>
      <c r="V760" s="146">
        <v>2962</v>
      </c>
      <c r="W760" s="148"/>
      <c r="X760" s="149"/>
      <c r="Y760" s="165" t="s">
        <v>2474</v>
      </c>
    </row>
    <row r="761" spans="1:25">
      <c r="A761" s="163" t="s">
        <v>423</v>
      </c>
      <c r="B761" s="144" t="s">
        <v>2463</v>
      </c>
      <c r="C761" s="164" t="s">
        <v>3819</v>
      </c>
      <c r="D761" s="144" t="s">
        <v>2997</v>
      </c>
      <c r="E761" s="150" t="s">
        <v>2485</v>
      </c>
      <c r="F761" s="144" t="s">
        <v>2486</v>
      </c>
      <c r="G761" s="166"/>
      <c r="H761" s="151">
        <v>1</v>
      </c>
      <c r="I761" s="160"/>
      <c r="J761" s="159">
        <v>310</v>
      </c>
      <c r="K761" s="161"/>
      <c r="L761" s="159">
        <v>310</v>
      </c>
      <c r="M761" s="160">
        <v>310</v>
      </c>
      <c r="N761" s="145"/>
      <c r="O761" s="156" t="s">
        <v>135</v>
      </c>
      <c r="P761" s="144" t="s">
        <v>2478</v>
      </c>
      <c r="Q761" s="147"/>
      <c r="R761" s="146"/>
      <c r="S761" s="157"/>
      <c r="T761" s="144" t="s">
        <v>29</v>
      </c>
      <c r="U761" s="150" t="s">
        <v>17</v>
      </c>
      <c r="V761" s="146">
        <v>2961</v>
      </c>
      <c r="W761" s="148"/>
      <c r="X761" s="149"/>
      <c r="Y761" s="165" t="s">
        <v>2474</v>
      </c>
    </row>
    <row r="762" spans="1:25">
      <c r="A762" s="163" t="s">
        <v>7</v>
      </c>
      <c r="B762" s="144" t="s">
        <v>2463</v>
      </c>
      <c r="C762" s="164" t="s">
        <v>3820</v>
      </c>
      <c r="D762" s="144" t="s">
        <v>3821</v>
      </c>
      <c r="E762" s="150" t="s">
        <v>2491</v>
      </c>
      <c r="F762" s="144" t="s">
        <v>2477</v>
      </c>
      <c r="G762" s="166"/>
      <c r="H762" s="151">
        <v>82</v>
      </c>
      <c r="I762" s="160"/>
      <c r="J762" s="159">
        <v>4.4000000000000004</v>
      </c>
      <c r="K762" s="161"/>
      <c r="L762" s="159">
        <v>360.8</v>
      </c>
      <c r="M762" s="160">
        <v>360.8</v>
      </c>
      <c r="N762" s="145"/>
      <c r="O762" s="156" t="s">
        <v>135</v>
      </c>
      <c r="P762" s="144" t="s">
        <v>2478</v>
      </c>
      <c r="Q762" s="147"/>
      <c r="R762" s="146">
        <v>2057</v>
      </c>
      <c r="S762" s="157"/>
      <c r="T762" s="144" t="s">
        <v>29</v>
      </c>
      <c r="U762" s="150" t="s">
        <v>2479</v>
      </c>
      <c r="V762" s="146">
        <v>2205</v>
      </c>
      <c r="W762" s="148" t="s">
        <v>3822</v>
      </c>
      <c r="X762" s="149">
        <v>45689</v>
      </c>
      <c r="Y762" s="165" t="s">
        <v>2520</v>
      </c>
    </row>
    <row r="763" spans="1:25">
      <c r="A763" s="163" t="s">
        <v>423</v>
      </c>
      <c r="B763" s="144" t="s">
        <v>2463</v>
      </c>
      <c r="C763" s="164" t="s">
        <v>469</v>
      </c>
      <c r="D763" s="144" t="s">
        <v>470</v>
      </c>
      <c r="E763" s="150" t="s">
        <v>2491</v>
      </c>
      <c r="F763" s="144" t="s">
        <v>2477</v>
      </c>
      <c r="G763" s="166"/>
      <c r="H763" s="151">
        <v>60</v>
      </c>
      <c r="I763" s="160"/>
      <c r="J763" s="159">
        <v>1.33</v>
      </c>
      <c r="K763" s="161"/>
      <c r="L763" s="159">
        <v>80.040000000000006</v>
      </c>
      <c r="M763" s="160">
        <v>80.040000000000006</v>
      </c>
      <c r="N763" s="145"/>
      <c r="O763" s="156" t="s">
        <v>27</v>
      </c>
      <c r="P763" s="144" t="s">
        <v>2478</v>
      </c>
      <c r="Q763" s="147">
        <v>46143</v>
      </c>
      <c r="R763" s="146">
        <v>2056</v>
      </c>
      <c r="S763" s="157"/>
      <c r="T763" s="144" t="s">
        <v>27</v>
      </c>
      <c r="U763" s="150" t="s">
        <v>2479</v>
      </c>
      <c r="V763" s="146">
        <v>2684</v>
      </c>
      <c r="W763" s="148"/>
      <c r="X763" s="149">
        <v>45901</v>
      </c>
      <c r="Y763" s="165" t="s">
        <v>2578</v>
      </c>
    </row>
    <row r="764" spans="1:25">
      <c r="A764" s="163" t="s">
        <v>423</v>
      </c>
      <c r="B764" s="144" t="s">
        <v>2463</v>
      </c>
      <c r="C764" s="164" t="s">
        <v>3823</v>
      </c>
      <c r="D764" s="144" t="s">
        <v>2986</v>
      </c>
      <c r="E764" s="150" t="s">
        <v>2491</v>
      </c>
      <c r="F764" s="144" t="s">
        <v>2477</v>
      </c>
      <c r="G764" s="166"/>
      <c r="H764" s="151">
        <v>1</v>
      </c>
      <c r="I764" s="160"/>
      <c r="J764" s="159">
        <v>400</v>
      </c>
      <c r="K764" s="161"/>
      <c r="L764" s="159">
        <v>400</v>
      </c>
      <c r="M764" s="160">
        <v>400</v>
      </c>
      <c r="N764" s="145"/>
      <c r="O764" s="156" t="s">
        <v>135</v>
      </c>
      <c r="P764" s="144" t="s">
        <v>2478</v>
      </c>
      <c r="Q764" s="147"/>
      <c r="R764" s="146"/>
      <c r="S764" s="157"/>
      <c r="T764" s="144" t="s">
        <v>29</v>
      </c>
      <c r="U764" s="150" t="s">
        <v>2479</v>
      </c>
      <c r="V764" s="146">
        <v>2255</v>
      </c>
      <c r="W764" s="148" t="s">
        <v>3824</v>
      </c>
      <c r="X764" s="149">
        <v>45901</v>
      </c>
      <c r="Y764" s="165" t="s">
        <v>3825</v>
      </c>
    </row>
    <row r="765" spans="1:25">
      <c r="A765" s="163" t="s">
        <v>423</v>
      </c>
      <c r="B765" s="144" t="s">
        <v>163</v>
      </c>
      <c r="C765" s="164" t="s">
        <v>432</v>
      </c>
      <c r="D765" s="144" t="s">
        <v>236</v>
      </c>
      <c r="E765" s="150" t="s">
        <v>2466</v>
      </c>
      <c r="F765" s="144" t="s">
        <v>2467</v>
      </c>
      <c r="G765" s="166" t="s">
        <v>433</v>
      </c>
      <c r="H765" s="151">
        <v>1</v>
      </c>
      <c r="I765" s="160"/>
      <c r="J765" s="159">
        <v>100</v>
      </c>
      <c r="K765" s="161"/>
      <c r="L765" s="159">
        <v>100</v>
      </c>
      <c r="M765" s="160">
        <v>100</v>
      </c>
      <c r="N765" s="145">
        <v>200</v>
      </c>
      <c r="O765" s="156" t="s">
        <v>166</v>
      </c>
      <c r="P765" s="144" t="s">
        <v>2468</v>
      </c>
      <c r="Q765" s="147">
        <v>45839</v>
      </c>
      <c r="R765" s="146">
        <v>2045</v>
      </c>
      <c r="S765" s="157"/>
      <c r="T765" s="144" t="s">
        <v>25</v>
      </c>
      <c r="U765" s="150" t="s">
        <v>20</v>
      </c>
      <c r="V765" s="146">
        <v>1932</v>
      </c>
      <c r="W765" s="148" t="s">
        <v>3826</v>
      </c>
      <c r="X765" s="149">
        <v>45901</v>
      </c>
      <c r="Y765" s="165" t="s">
        <v>2490</v>
      </c>
    </row>
    <row r="766" spans="1:25">
      <c r="A766" s="163" t="s">
        <v>423</v>
      </c>
      <c r="B766" s="144" t="s">
        <v>163</v>
      </c>
      <c r="C766" s="164" t="s">
        <v>3827</v>
      </c>
      <c r="D766" s="144" t="s">
        <v>218</v>
      </c>
      <c r="E766" s="150" t="s">
        <v>2555</v>
      </c>
      <c r="F766" s="144" t="s">
        <v>2556</v>
      </c>
      <c r="G766" s="166" t="s">
        <v>3828</v>
      </c>
      <c r="H766" s="151">
        <v>1</v>
      </c>
      <c r="I766" s="160"/>
      <c r="J766" s="159">
        <v>156</v>
      </c>
      <c r="K766" s="161"/>
      <c r="L766" s="159">
        <v>156</v>
      </c>
      <c r="M766" s="160">
        <v>156</v>
      </c>
      <c r="N766" s="145"/>
      <c r="O766" s="156" t="s">
        <v>166</v>
      </c>
      <c r="P766" s="144" t="s">
        <v>2468</v>
      </c>
      <c r="Q766" s="147"/>
      <c r="R766" s="146">
        <v>2070</v>
      </c>
      <c r="S766" s="157"/>
      <c r="T766" s="144" t="s">
        <v>25</v>
      </c>
      <c r="U766" s="150" t="s">
        <v>14</v>
      </c>
      <c r="V766" s="146">
        <v>1115</v>
      </c>
      <c r="W766" s="148"/>
      <c r="X766" s="149">
        <v>45689</v>
      </c>
      <c r="Y766" s="165" t="s">
        <v>2500</v>
      </c>
    </row>
    <row r="767" spans="1:25">
      <c r="A767" s="163" t="s">
        <v>423</v>
      </c>
      <c r="B767" s="144" t="s">
        <v>163</v>
      </c>
      <c r="C767" s="164" t="s">
        <v>3827</v>
      </c>
      <c r="D767" s="144" t="s">
        <v>218</v>
      </c>
      <c r="E767" s="150" t="s">
        <v>2555</v>
      </c>
      <c r="F767" s="144" t="s">
        <v>2556</v>
      </c>
      <c r="G767" s="166" t="s">
        <v>3829</v>
      </c>
      <c r="H767" s="151">
        <v>1</v>
      </c>
      <c r="I767" s="160"/>
      <c r="J767" s="159">
        <v>156</v>
      </c>
      <c r="K767" s="161"/>
      <c r="L767" s="159">
        <v>156</v>
      </c>
      <c r="M767" s="160">
        <v>156</v>
      </c>
      <c r="N767" s="145"/>
      <c r="O767" s="156" t="s">
        <v>166</v>
      </c>
      <c r="P767" s="144" t="s">
        <v>2468</v>
      </c>
      <c r="Q767" s="147"/>
      <c r="R767" s="146">
        <v>2070</v>
      </c>
      <c r="S767" s="157"/>
      <c r="T767" s="144" t="s">
        <v>25</v>
      </c>
      <c r="U767" s="150" t="s">
        <v>14</v>
      </c>
      <c r="V767" s="146">
        <v>1115</v>
      </c>
      <c r="W767" s="148"/>
      <c r="X767" s="149">
        <v>45689</v>
      </c>
      <c r="Y767" s="165" t="s">
        <v>2500</v>
      </c>
    </row>
    <row r="768" spans="1:25">
      <c r="A768" s="163" t="s">
        <v>423</v>
      </c>
      <c r="B768" s="144" t="s">
        <v>2463</v>
      </c>
      <c r="C768" s="164" t="s">
        <v>3830</v>
      </c>
      <c r="D768" s="144" t="s">
        <v>3831</v>
      </c>
      <c r="E768" s="150" t="s">
        <v>2466</v>
      </c>
      <c r="F768" s="144" t="s">
        <v>2467</v>
      </c>
      <c r="G768" s="166"/>
      <c r="H768" s="151">
        <v>1</v>
      </c>
      <c r="I768" s="160">
        <v>268</v>
      </c>
      <c r="J768" s="159">
        <v>268</v>
      </c>
      <c r="K768" s="161">
        <v>268</v>
      </c>
      <c r="L768" s="159">
        <v>268</v>
      </c>
      <c r="M768" s="160">
        <v>268</v>
      </c>
      <c r="N768" s="145">
        <v>1072</v>
      </c>
      <c r="O768" s="156" t="s">
        <v>135</v>
      </c>
      <c r="P768" s="144" t="s">
        <v>2468</v>
      </c>
      <c r="Q768" s="147"/>
      <c r="R768" s="146"/>
      <c r="S768" s="157"/>
      <c r="T768" s="144" t="s">
        <v>29</v>
      </c>
      <c r="U768" s="150" t="s">
        <v>20</v>
      </c>
      <c r="V768" s="146">
        <v>2624</v>
      </c>
      <c r="W768" s="148" t="s">
        <v>3832</v>
      </c>
      <c r="X768" s="149">
        <v>45689</v>
      </c>
      <c r="Y768" s="165" t="s">
        <v>2474</v>
      </c>
    </row>
    <row r="769" spans="1:25">
      <c r="A769" s="163" t="s">
        <v>380</v>
      </c>
      <c r="B769" s="144" t="s">
        <v>2463</v>
      </c>
      <c r="C769" s="164" t="s">
        <v>3833</v>
      </c>
      <c r="D769" s="144" t="s">
        <v>3834</v>
      </c>
      <c r="E769" s="150" t="s">
        <v>2639</v>
      </c>
      <c r="F769" s="144" t="s">
        <v>2467</v>
      </c>
      <c r="G769" s="166"/>
      <c r="H769" s="151">
        <v>1</v>
      </c>
      <c r="I769" s="160">
        <v>45</v>
      </c>
      <c r="J769" s="159">
        <v>45</v>
      </c>
      <c r="K769" s="161">
        <v>45</v>
      </c>
      <c r="L769" s="159">
        <v>45</v>
      </c>
      <c r="M769" s="160">
        <v>45</v>
      </c>
      <c r="N769" s="145"/>
      <c r="O769" s="156" t="s">
        <v>135</v>
      </c>
      <c r="P769" s="144" t="s">
        <v>2480</v>
      </c>
      <c r="Q769" s="147"/>
      <c r="R769" s="146"/>
      <c r="S769" s="157"/>
      <c r="T769" s="144" t="s">
        <v>29</v>
      </c>
      <c r="U769" s="150" t="s">
        <v>15</v>
      </c>
      <c r="V769" s="146">
        <v>1534</v>
      </c>
      <c r="W769" s="148"/>
      <c r="X769" s="149">
        <v>45170</v>
      </c>
      <c r="Y769" s="165"/>
    </row>
    <row r="770" spans="1:25">
      <c r="A770" s="163" t="s">
        <v>565</v>
      </c>
      <c r="B770" s="144" t="s">
        <v>163</v>
      </c>
      <c r="C770" s="164" t="s">
        <v>3835</v>
      </c>
      <c r="D770" s="144" t="s">
        <v>1137</v>
      </c>
      <c r="E770" s="150" t="s">
        <v>2593</v>
      </c>
      <c r="F770" s="144" t="s">
        <v>2482</v>
      </c>
      <c r="G770" s="166" t="s">
        <v>3836</v>
      </c>
      <c r="H770" s="151">
        <v>1</v>
      </c>
      <c r="I770" s="160">
        <v>30.6</v>
      </c>
      <c r="J770" s="159">
        <v>30.6</v>
      </c>
      <c r="K770" s="161">
        <v>30.6</v>
      </c>
      <c r="L770" s="159">
        <v>30.6</v>
      </c>
      <c r="M770" s="160">
        <v>30.6</v>
      </c>
      <c r="N770" s="145"/>
      <c r="O770" s="156" t="s">
        <v>166</v>
      </c>
      <c r="P770" s="144" t="s">
        <v>2468</v>
      </c>
      <c r="Q770" s="147"/>
      <c r="R770" s="146">
        <v>2100</v>
      </c>
      <c r="S770" s="157"/>
      <c r="T770" s="144" t="s">
        <v>25</v>
      </c>
      <c r="U770" s="150" t="s">
        <v>18</v>
      </c>
      <c r="V770" s="146">
        <v>1116</v>
      </c>
      <c r="W770" s="148"/>
      <c r="X770" s="149">
        <v>45689</v>
      </c>
      <c r="Y770" s="165" t="s">
        <v>2541</v>
      </c>
    </row>
    <row r="771" spans="1:25">
      <c r="A771" s="163" t="s">
        <v>565</v>
      </c>
      <c r="B771" s="144" t="s">
        <v>163</v>
      </c>
      <c r="C771" s="164" t="s">
        <v>3835</v>
      </c>
      <c r="D771" s="144" t="s">
        <v>1137</v>
      </c>
      <c r="E771" s="150" t="s">
        <v>2593</v>
      </c>
      <c r="F771" s="144" t="s">
        <v>2482</v>
      </c>
      <c r="G771" s="166" t="s">
        <v>3836</v>
      </c>
      <c r="H771" s="151">
        <v>1</v>
      </c>
      <c r="I771" s="160">
        <v>51</v>
      </c>
      <c r="J771" s="159">
        <v>51</v>
      </c>
      <c r="K771" s="161">
        <v>51</v>
      </c>
      <c r="L771" s="159">
        <v>51</v>
      </c>
      <c r="M771" s="160">
        <v>51</v>
      </c>
      <c r="N771" s="145"/>
      <c r="O771" s="156" t="s">
        <v>166</v>
      </c>
      <c r="P771" s="144" t="s">
        <v>2468</v>
      </c>
      <c r="Q771" s="147"/>
      <c r="R771" s="146">
        <v>2100</v>
      </c>
      <c r="S771" s="157"/>
      <c r="T771" s="144" t="s">
        <v>25</v>
      </c>
      <c r="U771" s="150" t="s">
        <v>18</v>
      </c>
      <c r="V771" s="146">
        <v>1116</v>
      </c>
      <c r="W771" s="148"/>
      <c r="X771" s="149">
        <v>45689</v>
      </c>
      <c r="Y771" s="165" t="s">
        <v>2541</v>
      </c>
    </row>
    <row r="772" spans="1:25">
      <c r="A772" s="163" t="s">
        <v>423</v>
      </c>
      <c r="B772" s="144" t="s">
        <v>163</v>
      </c>
      <c r="C772" s="164" t="s">
        <v>3837</v>
      </c>
      <c r="D772" s="144" t="s">
        <v>3838</v>
      </c>
      <c r="E772" s="150" t="s">
        <v>2485</v>
      </c>
      <c r="F772" s="144" t="s">
        <v>2486</v>
      </c>
      <c r="G772" s="166" t="s">
        <v>3839</v>
      </c>
      <c r="H772" s="151">
        <v>2</v>
      </c>
      <c r="I772" s="160">
        <v>2.0499999999999998</v>
      </c>
      <c r="J772" s="159">
        <v>2.0499999999999998</v>
      </c>
      <c r="K772" s="161">
        <v>4.0999999999999996</v>
      </c>
      <c r="L772" s="159">
        <v>4.0999999999999996</v>
      </c>
      <c r="M772" s="160">
        <v>4.0999999999999996</v>
      </c>
      <c r="N772" s="145"/>
      <c r="O772" s="156" t="s">
        <v>166</v>
      </c>
      <c r="P772" s="144" t="s">
        <v>2480</v>
      </c>
      <c r="Q772" s="147"/>
      <c r="R772" s="146">
        <v>2050</v>
      </c>
      <c r="S772" s="157"/>
      <c r="T772" s="144" t="s">
        <v>25</v>
      </c>
      <c r="U772" s="150" t="s">
        <v>17</v>
      </c>
      <c r="V772" s="146">
        <v>1117</v>
      </c>
      <c r="W772" s="148"/>
      <c r="X772" s="149">
        <v>45566</v>
      </c>
      <c r="Y772" s="165"/>
    </row>
    <row r="773" spans="1:25">
      <c r="A773" s="163" t="s">
        <v>7</v>
      </c>
      <c r="B773" s="144" t="s">
        <v>2463</v>
      </c>
      <c r="C773" s="164" t="s">
        <v>3840</v>
      </c>
      <c r="D773" s="144" t="s">
        <v>3841</v>
      </c>
      <c r="E773" s="150" t="s">
        <v>2466</v>
      </c>
      <c r="F773" s="144" t="s">
        <v>2467</v>
      </c>
      <c r="G773" s="166"/>
      <c r="H773" s="151">
        <v>63</v>
      </c>
      <c r="I773" s="160"/>
      <c r="J773" s="159">
        <v>4</v>
      </c>
      <c r="K773" s="161"/>
      <c r="L773" s="159">
        <v>252</v>
      </c>
      <c r="M773" s="160">
        <v>252</v>
      </c>
      <c r="N773" s="145">
        <v>1000</v>
      </c>
      <c r="O773" s="156" t="s">
        <v>135</v>
      </c>
      <c r="P773" s="144" t="s">
        <v>2468</v>
      </c>
      <c r="Q773" s="147"/>
      <c r="R773" s="146"/>
      <c r="S773" s="157"/>
      <c r="T773" s="144" t="s">
        <v>29</v>
      </c>
      <c r="U773" s="150" t="s">
        <v>20</v>
      </c>
      <c r="V773" s="146">
        <v>2932</v>
      </c>
      <c r="W773" s="148" t="s">
        <v>3842</v>
      </c>
      <c r="X773" s="149">
        <v>45901</v>
      </c>
      <c r="Y773" s="165" t="s">
        <v>3372</v>
      </c>
    </row>
    <row r="774" spans="1:25">
      <c r="A774" s="163" t="s">
        <v>7</v>
      </c>
      <c r="B774" s="144" t="s">
        <v>2463</v>
      </c>
      <c r="C774" s="164" t="s">
        <v>3843</v>
      </c>
      <c r="D774" s="144" t="s">
        <v>252</v>
      </c>
      <c r="E774" s="150" t="s">
        <v>2476</v>
      </c>
      <c r="F774" s="144" t="s">
        <v>2477</v>
      </c>
      <c r="G774" s="166"/>
      <c r="H774" s="151">
        <v>72</v>
      </c>
      <c r="I774" s="160">
        <v>3.47</v>
      </c>
      <c r="J774" s="159">
        <v>3.47</v>
      </c>
      <c r="K774" s="161">
        <v>249.84</v>
      </c>
      <c r="L774" s="159">
        <v>249.84</v>
      </c>
      <c r="M774" s="160">
        <v>249.84</v>
      </c>
      <c r="N774" s="145"/>
      <c r="O774" s="156" t="s">
        <v>135</v>
      </c>
      <c r="P774" s="144" t="s">
        <v>2478</v>
      </c>
      <c r="Q774" s="147"/>
      <c r="R774" s="146"/>
      <c r="S774" s="157"/>
      <c r="T774" s="144" t="s">
        <v>29</v>
      </c>
      <c r="U774" s="150" t="s">
        <v>2479</v>
      </c>
      <c r="V774" s="146">
        <v>2931</v>
      </c>
      <c r="W774" s="148" t="s">
        <v>3842</v>
      </c>
      <c r="X774" s="149">
        <v>45901</v>
      </c>
      <c r="Y774" s="165" t="s">
        <v>2533</v>
      </c>
    </row>
    <row r="775" spans="1:25">
      <c r="A775" s="163" t="s">
        <v>7</v>
      </c>
      <c r="B775" s="144" t="s">
        <v>2463</v>
      </c>
      <c r="C775" s="164" t="s">
        <v>204</v>
      </c>
      <c r="D775" s="144" t="s">
        <v>205</v>
      </c>
      <c r="E775" s="150" t="s">
        <v>2466</v>
      </c>
      <c r="F775" s="144" t="s">
        <v>2467</v>
      </c>
      <c r="G775" s="166" t="s">
        <v>3844</v>
      </c>
      <c r="H775" s="151">
        <v>1</v>
      </c>
      <c r="I775" s="160"/>
      <c r="J775" s="159">
        <v>500</v>
      </c>
      <c r="K775" s="161"/>
      <c r="L775" s="159">
        <v>500</v>
      </c>
      <c r="M775" s="160">
        <v>500</v>
      </c>
      <c r="N775" s="145">
        <v>1000</v>
      </c>
      <c r="O775" s="156" t="s">
        <v>134</v>
      </c>
      <c r="P775" s="144" t="s">
        <v>2468</v>
      </c>
      <c r="Q775" s="147">
        <v>46054</v>
      </c>
      <c r="R775" s="146">
        <v>2046</v>
      </c>
      <c r="S775" s="157"/>
      <c r="T775" s="144" t="s">
        <v>27</v>
      </c>
      <c r="U775" s="150" t="s">
        <v>20</v>
      </c>
      <c r="V775" s="146">
        <v>2171</v>
      </c>
      <c r="W775" s="148"/>
      <c r="X775" s="149">
        <v>45901</v>
      </c>
      <c r="Y775" s="165" t="s">
        <v>2660</v>
      </c>
    </row>
    <row r="776" spans="1:25">
      <c r="A776" s="163" t="s">
        <v>309</v>
      </c>
      <c r="B776" s="144" t="s">
        <v>2463</v>
      </c>
      <c r="C776" s="164" t="s">
        <v>3845</v>
      </c>
      <c r="D776" s="144" t="s">
        <v>3846</v>
      </c>
      <c r="E776" s="150" t="s">
        <v>2466</v>
      </c>
      <c r="F776" s="144" t="s">
        <v>2467</v>
      </c>
      <c r="G776" s="166"/>
      <c r="H776" s="151">
        <v>1</v>
      </c>
      <c r="I776" s="160"/>
      <c r="J776" s="159">
        <v>440</v>
      </c>
      <c r="K776" s="161"/>
      <c r="L776" s="159">
        <v>440</v>
      </c>
      <c r="M776" s="160">
        <v>440</v>
      </c>
      <c r="N776" s="145">
        <v>1760</v>
      </c>
      <c r="O776" s="156" t="s">
        <v>135</v>
      </c>
      <c r="P776" s="144" t="s">
        <v>2468</v>
      </c>
      <c r="Q776" s="147"/>
      <c r="R776" s="146"/>
      <c r="S776" s="157"/>
      <c r="T776" s="144" t="s">
        <v>29</v>
      </c>
      <c r="U776" s="150" t="s">
        <v>20</v>
      </c>
      <c r="V776" s="146">
        <v>2703</v>
      </c>
      <c r="W776" s="148" t="s">
        <v>3847</v>
      </c>
      <c r="X776" s="149">
        <v>45689</v>
      </c>
      <c r="Y776" s="165" t="s">
        <v>2622</v>
      </c>
    </row>
    <row r="777" spans="1:25">
      <c r="A777" s="163" t="s">
        <v>309</v>
      </c>
      <c r="B777" s="144" t="s">
        <v>163</v>
      </c>
      <c r="C777" s="164" t="s">
        <v>1431</v>
      </c>
      <c r="D777" s="144" t="s">
        <v>1432</v>
      </c>
      <c r="E777" s="150" t="s">
        <v>2491</v>
      </c>
      <c r="F777" s="144" t="s">
        <v>2477</v>
      </c>
      <c r="G777" s="166" t="s">
        <v>1433</v>
      </c>
      <c r="H777" s="151">
        <v>74</v>
      </c>
      <c r="I777" s="160">
        <v>1.45</v>
      </c>
      <c r="J777" s="159">
        <v>1.6</v>
      </c>
      <c r="K777" s="161">
        <v>107.23</v>
      </c>
      <c r="L777" s="159">
        <v>118.4</v>
      </c>
      <c r="M777" s="160">
        <v>118.4</v>
      </c>
      <c r="N777" s="145"/>
      <c r="O777" s="156" t="s">
        <v>166</v>
      </c>
      <c r="P777" s="144" t="s">
        <v>2478</v>
      </c>
      <c r="Q777" s="147">
        <v>44562</v>
      </c>
      <c r="R777" s="146">
        <v>2048</v>
      </c>
      <c r="S777" s="157"/>
      <c r="T777" s="144" t="s">
        <v>25</v>
      </c>
      <c r="U777" s="150" t="s">
        <v>2479</v>
      </c>
      <c r="V777" s="146">
        <v>1384</v>
      </c>
      <c r="W777" s="148"/>
      <c r="X777" s="149">
        <v>45689</v>
      </c>
      <c r="Y777" s="165" t="s">
        <v>3067</v>
      </c>
    </row>
    <row r="778" spans="1:25">
      <c r="A778" s="163" t="s">
        <v>380</v>
      </c>
      <c r="B778" s="144" t="s">
        <v>2463</v>
      </c>
      <c r="C778" s="164" t="s">
        <v>3848</v>
      </c>
      <c r="D778" s="144" t="s">
        <v>3849</v>
      </c>
      <c r="E778" s="150" t="s">
        <v>2466</v>
      </c>
      <c r="F778" s="144" t="s">
        <v>2467</v>
      </c>
      <c r="G778" s="166"/>
      <c r="H778" s="151">
        <v>1</v>
      </c>
      <c r="I778" s="160">
        <v>250</v>
      </c>
      <c r="J778" s="159">
        <v>250</v>
      </c>
      <c r="K778" s="161">
        <v>250</v>
      </c>
      <c r="L778" s="159">
        <v>250</v>
      </c>
      <c r="M778" s="160">
        <v>250</v>
      </c>
      <c r="N778" s="145">
        <v>750</v>
      </c>
      <c r="O778" s="156" t="s">
        <v>135</v>
      </c>
      <c r="P778" s="144" t="s">
        <v>2468</v>
      </c>
      <c r="Q778" s="147"/>
      <c r="R778" s="146"/>
      <c r="S778" s="157"/>
      <c r="T778" s="144" t="s">
        <v>29</v>
      </c>
      <c r="U778" s="150" t="s">
        <v>20</v>
      </c>
      <c r="V778" s="146">
        <v>3097</v>
      </c>
      <c r="W778" s="148"/>
      <c r="X778" s="149">
        <v>45901</v>
      </c>
      <c r="Y778" s="165" t="s">
        <v>2718</v>
      </c>
    </row>
    <row r="779" spans="1:25">
      <c r="A779" s="163" t="s">
        <v>7</v>
      </c>
      <c r="B779" s="144" t="s">
        <v>2463</v>
      </c>
      <c r="C779" s="164" t="s">
        <v>207</v>
      </c>
      <c r="D779" s="144" t="s">
        <v>208</v>
      </c>
      <c r="E779" s="150" t="s">
        <v>2466</v>
      </c>
      <c r="F779" s="144" t="s">
        <v>2467</v>
      </c>
      <c r="G779" s="166" t="s">
        <v>209</v>
      </c>
      <c r="H779" s="151">
        <v>1</v>
      </c>
      <c r="I779" s="160">
        <v>50</v>
      </c>
      <c r="J779" s="159">
        <v>50</v>
      </c>
      <c r="K779" s="161">
        <v>50</v>
      </c>
      <c r="L779" s="159">
        <v>50</v>
      </c>
      <c r="M779" s="160">
        <v>50</v>
      </c>
      <c r="N779" s="145">
        <v>400</v>
      </c>
      <c r="O779" s="156" t="s">
        <v>27</v>
      </c>
      <c r="P779" s="144" t="s">
        <v>2468</v>
      </c>
      <c r="Q779" s="147">
        <v>45992</v>
      </c>
      <c r="R779" s="146">
        <v>2046</v>
      </c>
      <c r="S779" s="157"/>
      <c r="T779" s="144" t="s">
        <v>27</v>
      </c>
      <c r="U779" s="150" t="s">
        <v>20</v>
      </c>
      <c r="V779" s="146">
        <v>2223</v>
      </c>
      <c r="W779" s="148" t="s">
        <v>3850</v>
      </c>
      <c r="X779" s="149">
        <v>45901</v>
      </c>
      <c r="Y779" s="165" t="s">
        <v>2820</v>
      </c>
    </row>
    <row r="780" spans="1:25">
      <c r="A780" s="163" t="s">
        <v>7</v>
      </c>
      <c r="B780" s="144" t="s">
        <v>163</v>
      </c>
      <c r="C780" s="164" t="s">
        <v>1672</v>
      </c>
      <c r="D780" s="144" t="s">
        <v>1673</v>
      </c>
      <c r="E780" s="150" t="s">
        <v>2491</v>
      </c>
      <c r="F780" s="144" t="s">
        <v>2477</v>
      </c>
      <c r="G780" s="166" t="s">
        <v>1738</v>
      </c>
      <c r="H780" s="151">
        <v>100</v>
      </c>
      <c r="I780" s="160">
        <v>2.2999999999999998</v>
      </c>
      <c r="J780" s="159">
        <v>2.2999999999999998</v>
      </c>
      <c r="K780" s="161">
        <v>230</v>
      </c>
      <c r="L780" s="159">
        <v>230</v>
      </c>
      <c r="M780" s="160">
        <v>230</v>
      </c>
      <c r="N780" s="145"/>
      <c r="O780" s="156" t="s">
        <v>166</v>
      </c>
      <c r="P780" s="144" t="s">
        <v>2478</v>
      </c>
      <c r="Q780" s="147">
        <v>44896</v>
      </c>
      <c r="R780" s="146">
        <v>2050</v>
      </c>
      <c r="S780" s="157"/>
      <c r="T780" s="144" t="s">
        <v>25</v>
      </c>
      <c r="U780" s="150" t="s">
        <v>2479</v>
      </c>
      <c r="V780" s="146">
        <v>1453</v>
      </c>
      <c r="W780" s="148"/>
      <c r="X780" s="149">
        <v>45778</v>
      </c>
      <c r="Y780" s="165" t="s">
        <v>2740</v>
      </c>
    </row>
    <row r="781" spans="1:25">
      <c r="A781" s="163" t="s">
        <v>7</v>
      </c>
      <c r="B781" s="144" t="s">
        <v>163</v>
      </c>
      <c r="C781" s="164" t="s">
        <v>1767</v>
      </c>
      <c r="D781" s="144" t="s">
        <v>1673</v>
      </c>
      <c r="E781" s="150" t="s">
        <v>2491</v>
      </c>
      <c r="F781" s="144" t="s">
        <v>2477</v>
      </c>
      <c r="G781" s="166" t="s">
        <v>1768</v>
      </c>
      <c r="H781" s="151">
        <v>14</v>
      </c>
      <c r="I781" s="160">
        <v>2.0699999999999998</v>
      </c>
      <c r="J781" s="159">
        <v>2.0699999999999998</v>
      </c>
      <c r="K781" s="161">
        <v>28.98</v>
      </c>
      <c r="L781" s="159">
        <v>28.98</v>
      </c>
      <c r="M781" s="160">
        <v>28.98</v>
      </c>
      <c r="N781" s="145"/>
      <c r="O781" s="156" t="s">
        <v>166</v>
      </c>
      <c r="P781" s="144" t="s">
        <v>2478</v>
      </c>
      <c r="Q781" s="147">
        <v>45017</v>
      </c>
      <c r="R781" s="146">
        <v>2050</v>
      </c>
      <c r="S781" s="157"/>
      <c r="T781" s="144" t="s">
        <v>25</v>
      </c>
      <c r="U781" s="150" t="s">
        <v>2479</v>
      </c>
      <c r="V781" s="146">
        <v>1675</v>
      </c>
      <c r="W781" s="148"/>
      <c r="X781" s="149">
        <v>45778</v>
      </c>
      <c r="Y781" s="165" t="s">
        <v>2740</v>
      </c>
    </row>
    <row r="782" spans="1:25">
      <c r="A782" s="163" t="s">
        <v>380</v>
      </c>
      <c r="B782" s="144" t="s">
        <v>2463</v>
      </c>
      <c r="C782" s="164" t="s">
        <v>3851</v>
      </c>
      <c r="D782" s="144" t="s">
        <v>3852</v>
      </c>
      <c r="E782" s="150" t="s">
        <v>2466</v>
      </c>
      <c r="F782" s="144" t="s">
        <v>2467</v>
      </c>
      <c r="G782" s="166"/>
      <c r="H782" s="151">
        <v>1</v>
      </c>
      <c r="I782" s="160">
        <v>0</v>
      </c>
      <c r="J782" s="159">
        <v>10</v>
      </c>
      <c r="K782" s="161">
        <v>0</v>
      </c>
      <c r="L782" s="159">
        <v>10</v>
      </c>
      <c r="M782" s="160">
        <v>10</v>
      </c>
      <c r="N782" s="145">
        <v>10</v>
      </c>
      <c r="O782" s="156" t="s">
        <v>28</v>
      </c>
      <c r="P782" s="144" t="s">
        <v>2468</v>
      </c>
      <c r="Q782" s="147">
        <v>45992</v>
      </c>
      <c r="R782" s="146">
        <v>2045</v>
      </c>
      <c r="S782" s="157"/>
      <c r="T782" s="144" t="s">
        <v>28</v>
      </c>
      <c r="U782" s="150" t="s">
        <v>20</v>
      </c>
      <c r="V782" s="146">
        <v>1603</v>
      </c>
      <c r="W782" s="148" t="s">
        <v>3853</v>
      </c>
      <c r="X782" s="149">
        <v>45901</v>
      </c>
      <c r="Y782" s="165" t="s">
        <v>2712</v>
      </c>
    </row>
    <row r="783" spans="1:25">
      <c r="A783" s="163" t="s">
        <v>380</v>
      </c>
      <c r="B783" s="144" t="s">
        <v>163</v>
      </c>
      <c r="C783" s="164" t="s">
        <v>1727</v>
      </c>
      <c r="D783" s="144" t="s">
        <v>1444</v>
      </c>
      <c r="E783" s="150" t="s">
        <v>2485</v>
      </c>
      <c r="F783" s="144" t="s">
        <v>2486</v>
      </c>
      <c r="G783" s="166" t="s">
        <v>1728</v>
      </c>
      <c r="H783" s="151">
        <v>35</v>
      </c>
      <c r="I783" s="160">
        <v>3.6</v>
      </c>
      <c r="J783" s="159">
        <v>3.6</v>
      </c>
      <c r="K783" s="161">
        <v>126</v>
      </c>
      <c r="L783" s="159">
        <v>126</v>
      </c>
      <c r="M783" s="160">
        <v>126</v>
      </c>
      <c r="N783" s="145">
        <v>0</v>
      </c>
      <c r="O783" s="156" t="s">
        <v>166</v>
      </c>
      <c r="P783" s="144" t="s">
        <v>2478</v>
      </c>
      <c r="Q783" s="147">
        <v>44044</v>
      </c>
      <c r="R783" s="146">
        <v>2045</v>
      </c>
      <c r="S783" s="157"/>
      <c r="T783" s="144" t="s">
        <v>25</v>
      </c>
      <c r="U783" s="150" t="s">
        <v>17</v>
      </c>
      <c r="V783" s="146">
        <v>1119</v>
      </c>
      <c r="W783" s="148" t="s">
        <v>3854</v>
      </c>
      <c r="X783" s="149">
        <v>45689</v>
      </c>
      <c r="Y783" s="165" t="s">
        <v>2474</v>
      </c>
    </row>
    <row r="784" spans="1:25">
      <c r="A784" s="163" t="s">
        <v>380</v>
      </c>
      <c r="B784" s="144" t="s">
        <v>163</v>
      </c>
      <c r="C784" s="164" t="s">
        <v>1443</v>
      </c>
      <c r="D784" s="144" t="s">
        <v>1444</v>
      </c>
      <c r="E784" s="150" t="s">
        <v>2485</v>
      </c>
      <c r="F784" s="144" t="s">
        <v>2486</v>
      </c>
      <c r="G784" s="166" t="s">
        <v>1445</v>
      </c>
      <c r="H784" s="151">
        <v>24</v>
      </c>
      <c r="I784" s="160">
        <v>3.6</v>
      </c>
      <c r="J784" s="159">
        <v>3.6</v>
      </c>
      <c r="K784" s="161">
        <v>86.4</v>
      </c>
      <c r="L784" s="159">
        <v>86.4</v>
      </c>
      <c r="M784" s="160">
        <v>86.4</v>
      </c>
      <c r="N784" s="145"/>
      <c r="O784" s="156" t="s">
        <v>166</v>
      </c>
      <c r="P784" s="144" t="s">
        <v>2478</v>
      </c>
      <c r="Q784" s="147">
        <v>44593</v>
      </c>
      <c r="R784" s="146">
        <v>2045</v>
      </c>
      <c r="S784" s="157"/>
      <c r="T784" s="144" t="s">
        <v>25</v>
      </c>
      <c r="U784" s="150" t="s">
        <v>17</v>
      </c>
      <c r="V784" s="146">
        <v>1574</v>
      </c>
      <c r="W784" s="148" t="s">
        <v>3854</v>
      </c>
      <c r="X784" s="149">
        <v>45689</v>
      </c>
      <c r="Y784" s="165" t="s">
        <v>2474</v>
      </c>
    </row>
    <row r="785" spans="1:25">
      <c r="A785" s="163" t="s">
        <v>380</v>
      </c>
      <c r="B785" s="144" t="s">
        <v>2463</v>
      </c>
      <c r="C785" s="164" t="s">
        <v>749</v>
      </c>
      <c r="D785" s="144" t="s">
        <v>750</v>
      </c>
      <c r="E785" s="150" t="s">
        <v>2485</v>
      </c>
      <c r="F785" s="144" t="s">
        <v>2486</v>
      </c>
      <c r="G785" s="166"/>
      <c r="H785" s="151">
        <v>42</v>
      </c>
      <c r="I785" s="160">
        <v>0</v>
      </c>
      <c r="J785" s="159">
        <v>6.6</v>
      </c>
      <c r="K785" s="161">
        <v>0</v>
      </c>
      <c r="L785" s="159">
        <v>277.2</v>
      </c>
      <c r="M785" s="160">
        <v>277.2</v>
      </c>
      <c r="N785" s="145"/>
      <c r="O785" s="156" t="s">
        <v>135</v>
      </c>
      <c r="P785" s="144" t="s">
        <v>2478</v>
      </c>
      <c r="Q785" s="147"/>
      <c r="R785" s="146">
        <v>2058</v>
      </c>
      <c r="S785" s="157"/>
      <c r="T785" s="144" t="s">
        <v>29</v>
      </c>
      <c r="U785" s="150" t="s">
        <v>17</v>
      </c>
      <c r="V785" s="146">
        <v>1885</v>
      </c>
      <c r="W785" s="148" t="s">
        <v>3855</v>
      </c>
      <c r="X785" s="149">
        <v>45689</v>
      </c>
      <c r="Y785" s="165" t="s">
        <v>2474</v>
      </c>
    </row>
    <row r="786" spans="1:25">
      <c r="A786" s="163" t="s">
        <v>380</v>
      </c>
      <c r="B786" s="144" t="s">
        <v>2463</v>
      </c>
      <c r="C786" s="164" t="s">
        <v>3856</v>
      </c>
      <c r="D786" s="144" t="s">
        <v>639</v>
      </c>
      <c r="E786" s="150" t="s">
        <v>2466</v>
      </c>
      <c r="F786" s="144" t="s">
        <v>2467</v>
      </c>
      <c r="G786" s="166"/>
      <c r="H786" s="151">
        <v>1</v>
      </c>
      <c r="I786" s="160"/>
      <c r="J786" s="159">
        <v>100</v>
      </c>
      <c r="K786" s="161"/>
      <c r="L786" s="159">
        <v>100</v>
      </c>
      <c r="M786" s="160">
        <v>100</v>
      </c>
      <c r="N786" s="145">
        <v>200</v>
      </c>
      <c r="O786" s="156" t="s">
        <v>135</v>
      </c>
      <c r="P786" s="144" t="s">
        <v>2468</v>
      </c>
      <c r="Q786" s="147"/>
      <c r="R786" s="146"/>
      <c r="S786" s="157"/>
      <c r="T786" s="144" t="s">
        <v>29</v>
      </c>
      <c r="U786" s="150" t="s">
        <v>20</v>
      </c>
      <c r="V786" s="146">
        <v>2887</v>
      </c>
      <c r="W786" s="148"/>
      <c r="X786" s="149">
        <v>45901</v>
      </c>
      <c r="Y786" s="165" t="s">
        <v>3857</v>
      </c>
    </row>
    <row r="787" spans="1:25">
      <c r="A787" s="163" t="s">
        <v>7</v>
      </c>
      <c r="B787" s="144" t="s">
        <v>2463</v>
      </c>
      <c r="C787" s="164" t="s">
        <v>3858</v>
      </c>
      <c r="D787" s="144" t="s">
        <v>324</v>
      </c>
      <c r="E787" s="150" t="s">
        <v>2466</v>
      </c>
      <c r="F787" s="144" t="s">
        <v>2467</v>
      </c>
      <c r="G787" s="166"/>
      <c r="H787" s="151">
        <v>1</v>
      </c>
      <c r="I787" s="160">
        <v>450</v>
      </c>
      <c r="J787" s="159">
        <v>450</v>
      </c>
      <c r="K787" s="161">
        <v>450</v>
      </c>
      <c r="L787" s="159">
        <v>450</v>
      </c>
      <c r="M787" s="160">
        <v>450</v>
      </c>
      <c r="N787" s="145">
        <v>450</v>
      </c>
      <c r="O787" s="156" t="s">
        <v>135</v>
      </c>
      <c r="P787" s="144" t="s">
        <v>2468</v>
      </c>
      <c r="Q787" s="147"/>
      <c r="R787" s="146"/>
      <c r="S787" s="157"/>
      <c r="T787" s="144" t="s">
        <v>29</v>
      </c>
      <c r="U787" s="150" t="s">
        <v>20</v>
      </c>
      <c r="V787" s="146">
        <v>2922</v>
      </c>
      <c r="W787" s="148" t="s">
        <v>3859</v>
      </c>
      <c r="X787" s="149"/>
      <c r="Y787" s="165" t="s">
        <v>2470</v>
      </c>
    </row>
    <row r="788" spans="1:25">
      <c r="A788" s="163" t="s">
        <v>380</v>
      </c>
      <c r="B788" s="144" t="s">
        <v>2463</v>
      </c>
      <c r="C788" s="164" t="s">
        <v>3860</v>
      </c>
      <c r="D788" s="144" t="s">
        <v>3794</v>
      </c>
      <c r="E788" s="150" t="s">
        <v>2466</v>
      </c>
      <c r="F788" s="144" t="s">
        <v>2467</v>
      </c>
      <c r="G788" s="166"/>
      <c r="H788" s="151">
        <v>1</v>
      </c>
      <c r="I788" s="160">
        <v>150</v>
      </c>
      <c r="J788" s="159">
        <v>150</v>
      </c>
      <c r="K788" s="161">
        <v>150</v>
      </c>
      <c r="L788" s="159">
        <v>150</v>
      </c>
      <c r="M788" s="160">
        <v>150</v>
      </c>
      <c r="N788" s="145">
        <v>0</v>
      </c>
      <c r="O788" s="156" t="s">
        <v>135</v>
      </c>
      <c r="P788" s="144" t="s">
        <v>2468</v>
      </c>
      <c r="Q788" s="147"/>
      <c r="R788" s="146"/>
      <c r="S788" s="157"/>
      <c r="T788" s="144" t="s">
        <v>29</v>
      </c>
      <c r="U788" s="150" t="s">
        <v>20</v>
      </c>
      <c r="V788" s="146">
        <v>2416</v>
      </c>
      <c r="W788" s="148"/>
      <c r="X788" s="149">
        <v>45901</v>
      </c>
      <c r="Y788" s="165" t="s">
        <v>3795</v>
      </c>
    </row>
    <row r="789" spans="1:25">
      <c r="A789" s="163" t="s">
        <v>423</v>
      </c>
      <c r="B789" s="144" t="s">
        <v>2463</v>
      </c>
      <c r="C789" s="164" t="s">
        <v>472</v>
      </c>
      <c r="D789" s="144" t="s">
        <v>473</v>
      </c>
      <c r="E789" s="150" t="s">
        <v>2466</v>
      </c>
      <c r="F789" s="144" t="s">
        <v>2467</v>
      </c>
      <c r="G789" s="166"/>
      <c r="H789" s="151">
        <v>1</v>
      </c>
      <c r="I789" s="160"/>
      <c r="J789" s="159">
        <v>350</v>
      </c>
      <c r="K789" s="161"/>
      <c r="L789" s="159">
        <v>350</v>
      </c>
      <c r="M789" s="160">
        <v>350</v>
      </c>
      <c r="N789" s="145">
        <v>770</v>
      </c>
      <c r="O789" s="156" t="s">
        <v>28</v>
      </c>
      <c r="P789" s="144" t="s">
        <v>2468</v>
      </c>
      <c r="Q789" s="147">
        <v>46905</v>
      </c>
      <c r="R789" s="146">
        <v>2048</v>
      </c>
      <c r="S789" s="157"/>
      <c r="T789" s="144" t="s">
        <v>28</v>
      </c>
      <c r="U789" s="150" t="s">
        <v>20</v>
      </c>
      <c r="V789" s="146">
        <v>2247</v>
      </c>
      <c r="W789" s="148" t="s">
        <v>3861</v>
      </c>
      <c r="X789" s="149">
        <v>45901</v>
      </c>
      <c r="Y789" s="165" t="s">
        <v>2589</v>
      </c>
    </row>
    <row r="790" spans="1:25">
      <c r="A790" s="163" t="s">
        <v>423</v>
      </c>
      <c r="B790" s="144" t="s">
        <v>2463</v>
      </c>
      <c r="C790" s="164" t="s">
        <v>3862</v>
      </c>
      <c r="D790" s="144" t="s">
        <v>3863</v>
      </c>
      <c r="E790" s="150" t="s">
        <v>2476</v>
      </c>
      <c r="F790" s="144" t="s">
        <v>2477</v>
      </c>
      <c r="G790" s="166"/>
      <c r="H790" s="151">
        <v>1</v>
      </c>
      <c r="I790" s="160">
        <v>279</v>
      </c>
      <c r="J790" s="159">
        <v>279</v>
      </c>
      <c r="K790" s="161">
        <v>279</v>
      </c>
      <c r="L790" s="159">
        <v>279</v>
      </c>
      <c r="M790" s="160">
        <v>279</v>
      </c>
      <c r="N790" s="145"/>
      <c r="O790" s="156" t="s">
        <v>135</v>
      </c>
      <c r="P790" s="144" t="s">
        <v>2478</v>
      </c>
      <c r="Q790" s="147"/>
      <c r="R790" s="146"/>
      <c r="S790" s="157"/>
      <c r="T790" s="144" t="s">
        <v>29</v>
      </c>
      <c r="U790" s="150" t="s">
        <v>2479</v>
      </c>
      <c r="V790" s="146">
        <v>2341</v>
      </c>
      <c r="W790" s="148" t="s">
        <v>3864</v>
      </c>
      <c r="X790" s="149">
        <v>45901</v>
      </c>
      <c r="Y790" s="165" t="s">
        <v>2632</v>
      </c>
    </row>
    <row r="791" spans="1:25">
      <c r="A791" s="163" t="s">
        <v>7</v>
      </c>
      <c r="B791" s="144" t="s">
        <v>2463</v>
      </c>
      <c r="C791" s="164" t="s">
        <v>3865</v>
      </c>
      <c r="D791" s="144" t="s">
        <v>3866</v>
      </c>
      <c r="E791" s="150" t="s">
        <v>2485</v>
      </c>
      <c r="F791" s="144" t="s">
        <v>2486</v>
      </c>
      <c r="G791" s="166"/>
      <c r="H791" s="151">
        <v>185</v>
      </c>
      <c r="I791" s="160">
        <v>7.2</v>
      </c>
      <c r="J791" s="159">
        <v>7.2</v>
      </c>
      <c r="K791" s="161">
        <v>1332</v>
      </c>
      <c r="L791" s="159">
        <v>1332</v>
      </c>
      <c r="M791" s="160">
        <v>1332</v>
      </c>
      <c r="N791" s="145"/>
      <c r="O791" s="156" t="s">
        <v>135</v>
      </c>
      <c r="P791" s="144" t="s">
        <v>2478</v>
      </c>
      <c r="Q791" s="147"/>
      <c r="R791" s="146"/>
      <c r="S791" s="157"/>
      <c r="T791" s="144" t="s">
        <v>29</v>
      </c>
      <c r="U791" s="150" t="s">
        <v>17</v>
      </c>
      <c r="V791" s="146">
        <v>1120</v>
      </c>
      <c r="W791" s="148"/>
      <c r="X791" s="149">
        <v>45689</v>
      </c>
      <c r="Y791" s="165" t="s">
        <v>3867</v>
      </c>
    </row>
    <row r="792" spans="1:25">
      <c r="A792" s="163" t="s">
        <v>7</v>
      </c>
      <c r="B792" s="144" t="s">
        <v>2463</v>
      </c>
      <c r="C792" s="164" t="s">
        <v>507</v>
      </c>
      <c r="D792" s="144" t="s">
        <v>508</v>
      </c>
      <c r="E792" s="150" t="s">
        <v>2466</v>
      </c>
      <c r="F792" s="144" t="s">
        <v>2477</v>
      </c>
      <c r="G792" s="166"/>
      <c r="H792" s="151">
        <v>1</v>
      </c>
      <c r="I792" s="160">
        <v>10</v>
      </c>
      <c r="J792" s="159">
        <v>10</v>
      </c>
      <c r="K792" s="161">
        <v>10</v>
      </c>
      <c r="L792" s="159">
        <v>10</v>
      </c>
      <c r="M792" s="160">
        <v>10</v>
      </c>
      <c r="N792" s="145">
        <v>20</v>
      </c>
      <c r="O792" s="156" t="s">
        <v>27</v>
      </c>
      <c r="P792" s="144" t="s">
        <v>2468</v>
      </c>
      <c r="Q792" s="147">
        <v>46174</v>
      </c>
      <c r="R792" s="146">
        <v>2056</v>
      </c>
      <c r="S792" s="157"/>
      <c r="T792" s="144" t="s">
        <v>27</v>
      </c>
      <c r="U792" s="150" t="s">
        <v>20</v>
      </c>
      <c r="V792" s="146">
        <v>2627</v>
      </c>
      <c r="W792" s="148"/>
      <c r="X792" s="149">
        <v>45901</v>
      </c>
      <c r="Y792" s="165" t="s">
        <v>2671</v>
      </c>
    </row>
    <row r="793" spans="1:25">
      <c r="A793" s="163" t="s">
        <v>7</v>
      </c>
      <c r="B793" s="144" t="s">
        <v>2463</v>
      </c>
      <c r="C793" s="164" t="s">
        <v>510</v>
      </c>
      <c r="D793" s="144" t="s">
        <v>508</v>
      </c>
      <c r="E793" s="150" t="s">
        <v>2491</v>
      </c>
      <c r="F793" s="144" t="s">
        <v>2477</v>
      </c>
      <c r="G793" s="166"/>
      <c r="H793" s="151">
        <v>1</v>
      </c>
      <c r="I793" s="160">
        <v>10</v>
      </c>
      <c r="J793" s="159">
        <v>10</v>
      </c>
      <c r="K793" s="161">
        <v>10</v>
      </c>
      <c r="L793" s="159">
        <v>10</v>
      </c>
      <c r="M793" s="160">
        <v>10</v>
      </c>
      <c r="N793" s="145"/>
      <c r="O793" s="156" t="s">
        <v>27</v>
      </c>
      <c r="P793" s="144" t="s">
        <v>2478</v>
      </c>
      <c r="Q793" s="147">
        <v>46174</v>
      </c>
      <c r="R793" s="146">
        <v>2056</v>
      </c>
      <c r="S793" s="157"/>
      <c r="T793" s="144" t="s">
        <v>27</v>
      </c>
      <c r="U793" s="150" t="s">
        <v>2479</v>
      </c>
      <c r="V793" s="146">
        <v>2626</v>
      </c>
      <c r="W793" s="148"/>
      <c r="X793" s="149">
        <v>45901</v>
      </c>
      <c r="Y793" s="165" t="s">
        <v>2671</v>
      </c>
    </row>
    <row r="794" spans="1:25">
      <c r="A794" s="163" t="s">
        <v>309</v>
      </c>
      <c r="B794" s="144" t="s">
        <v>2463</v>
      </c>
      <c r="C794" s="164" t="s">
        <v>727</v>
      </c>
      <c r="D794" s="144" t="s">
        <v>3868</v>
      </c>
      <c r="E794" s="150" t="s">
        <v>2555</v>
      </c>
      <c r="F794" s="144" t="s">
        <v>2814</v>
      </c>
      <c r="G794" s="166"/>
      <c r="H794" s="151">
        <v>2</v>
      </c>
      <c r="I794" s="160">
        <v>43.5</v>
      </c>
      <c r="J794" s="159">
        <v>58.5</v>
      </c>
      <c r="K794" s="161">
        <v>87</v>
      </c>
      <c r="L794" s="159">
        <v>117</v>
      </c>
      <c r="M794" s="160" t="s">
        <v>3869</v>
      </c>
      <c r="N794" s="145"/>
      <c r="O794" s="156" t="s">
        <v>28</v>
      </c>
      <c r="P794" s="144" t="s">
        <v>2468</v>
      </c>
      <c r="Q794" s="147">
        <v>47727</v>
      </c>
      <c r="R794" s="146">
        <v>2068</v>
      </c>
      <c r="S794" s="157"/>
      <c r="T794" s="144" t="s">
        <v>28</v>
      </c>
      <c r="U794" s="150" t="s">
        <v>14</v>
      </c>
      <c r="V794" s="146">
        <v>1614</v>
      </c>
      <c r="W794" s="148" t="s">
        <v>3870</v>
      </c>
      <c r="X794" s="149">
        <v>45901</v>
      </c>
      <c r="Y794" s="165" t="s">
        <v>2589</v>
      </c>
    </row>
    <row r="795" spans="1:25">
      <c r="A795" s="163" t="s">
        <v>309</v>
      </c>
      <c r="B795" s="144" t="s">
        <v>2463</v>
      </c>
      <c r="C795" s="164" t="s">
        <v>727</v>
      </c>
      <c r="D795" s="144" t="s">
        <v>3868</v>
      </c>
      <c r="E795" s="150" t="s">
        <v>2466</v>
      </c>
      <c r="F795" s="144" t="s">
        <v>2477</v>
      </c>
      <c r="G795" s="166"/>
      <c r="H795" s="151">
        <v>1</v>
      </c>
      <c r="I795" s="160"/>
      <c r="J795" s="159">
        <v>400</v>
      </c>
      <c r="K795" s="161"/>
      <c r="L795" s="159">
        <v>400</v>
      </c>
      <c r="M795" s="160">
        <v>400</v>
      </c>
      <c r="N795" s="145">
        <v>800</v>
      </c>
      <c r="O795" s="156" t="s">
        <v>135</v>
      </c>
      <c r="P795" s="144" t="s">
        <v>2468</v>
      </c>
      <c r="Q795" s="147"/>
      <c r="R795" s="146"/>
      <c r="S795" s="157"/>
      <c r="T795" s="144" t="s">
        <v>29</v>
      </c>
      <c r="U795" s="150" t="s">
        <v>20</v>
      </c>
      <c r="V795" s="146">
        <v>1614</v>
      </c>
      <c r="W795" s="148" t="s">
        <v>3870</v>
      </c>
      <c r="X795" s="149">
        <v>45901</v>
      </c>
      <c r="Y795" s="165" t="s">
        <v>2589</v>
      </c>
    </row>
    <row r="796" spans="1:25">
      <c r="A796" s="163" t="s">
        <v>309</v>
      </c>
      <c r="B796" s="144" t="s">
        <v>2463</v>
      </c>
      <c r="C796" s="164" t="s">
        <v>727</v>
      </c>
      <c r="D796" s="144" t="s">
        <v>3868</v>
      </c>
      <c r="E796" s="150" t="s">
        <v>2466</v>
      </c>
      <c r="F796" s="144" t="s">
        <v>2477</v>
      </c>
      <c r="G796" s="166"/>
      <c r="H796" s="151">
        <v>1</v>
      </c>
      <c r="I796" s="160"/>
      <c r="J796" s="159">
        <v>400</v>
      </c>
      <c r="K796" s="161"/>
      <c r="L796" s="159">
        <v>400</v>
      </c>
      <c r="M796" s="160">
        <v>400</v>
      </c>
      <c r="N796" s="145">
        <v>800</v>
      </c>
      <c r="O796" s="156" t="s">
        <v>135</v>
      </c>
      <c r="P796" s="144" t="s">
        <v>2468</v>
      </c>
      <c r="Q796" s="147"/>
      <c r="R796" s="146"/>
      <c r="S796" s="157"/>
      <c r="T796" s="144" t="s">
        <v>29</v>
      </c>
      <c r="U796" s="150" t="s">
        <v>20</v>
      </c>
      <c r="V796" s="146">
        <v>1614</v>
      </c>
      <c r="W796" s="148" t="s">
        <v>3870</v>
      </c>
      <c r="X796" s="149">
        <v>45901</v>
      </c>
      <c r="Y796" s="165" t="s">
        <v>2589</v>
      </c>
    </row>
    <row r="797" spans="1:25">
      <c r="A797" s="163" t="s">
        <v>7</v>
      </c>
      <c r="B797" s="144" t="s">
        <v>2463</v>
      </c>
      <c r="C797" s="164" t="s">
        <v>3871</v>
      </c>
      <c r="D797" s="144" t="s">
        <v>3376</v>
      </c>
      <c r="E797" s="150" t="s">
        <v>2476</v>
      </c>
      <c r="F797" s="144" t="s">
        <v>2477</v>
      </c>
      <c r="G797" s="166"/>
      <c r="H797" s="151">
        <v>1</v>
      </c>
      <c r="I797" s="160">
        <v>150</v>
      </c>
      <c r="J797" s="159">
        <v>150</v>
      </c>
      <c r="K797" s="161">
        <v>150</v>
      </c>
      <c r="L797" s="159">
        <v>150</v>
      </c>
      <c r="M797" s="160">
        <v>150</v>
      </c>
      <c r="N797" s="145"/>
      <c r="O797" s="156" t="s">
        <v>135</v>
      </c>
      <c r="P797" s="144" t="s">
        <v>2478</v>
      </c>
      <c r="Q797" s="147"/>
      <c r="R797" s="146"/>
      <c r="S797" s="157"/>
      <c r="T797" s="144" t="s">
        <v>29</v>
      </c>
      <c r="U797" s="150" t="s">
        <v>2479</v>
      </c>
      <c r="V797" s="146">
        <v>3119</v>
      </c>
      <c r="W797" s="148"/>
      <c r="X797" s="149"/>
      <c r="Y797" s="165"/>
    </row>
    <row r="798" spans="1:25">
      <c r="A798" s="163" t="s">
        <v>7</v>
      </c>
      <c r="B798" s="144" t="s">
        <v>2463</v>
      </c>
      <c r="C798" s="164" t="s">
        <v>3871</v>
      </c>
      <c r="D798" s="144" t="s">
        <v>3376</v>
      </c>
      <c r="E798" s="150" t="s">
        <v>2466</v>
      </c>
      <c r="F798" s="144" t="s">
        <v>2477</v>
      </c>
      <c r="G798" s="166"/>
      <c r="H798" s="151">
        <v>1</v>
      </c>
      <c r="I798" s="160">
        <v>150</v>
      </c>
      <c r="J798" s="159">
        <v>150</v>
      </c>
      <c r="K798" s="161">
        <v>150</v>
      </c>
      <c r="L798" s="159">
        <v>150</v>
      </c>
      <c r="M798" s="160">
        <v>150</v>
      </c>
      <c r="N798" s="145">
        <v>600</v>
      </c>
      <c r="O798" s="156" t="s">
        <v>135</v>
      </c>
      <c r="P798" s="144" t="s">
        <v>2468</v>
      </c>
      <c r="Q798" s="147"/>
      <c r="R798" s="146"/>
      <c r="S798" s="157"/>
      <c r="T798" s="144" t="s">
        <v>29</v>
      </c>
      <c r="U798" s="150" t="s">
        <v>20</v>
      </c>
      <c r="V798" s="146">
        <v>3119</v>
      </c>
      <c r="W798" s="148"/>
      <c r="X798" s="149"/>
      <c r="Y798" s="165"/>
    </row>
    <row r="799" spans="1:25">
      <c r="A799" s="163" t="s">
        <v>309</v>
      </c>
      <c r="B799" s="144" t="s">
        <v>163</v>
      </c>
      <c r="C799" s="164" t="s">
        <v>2088</v>
      </c>
      <c r="D799" s="144" t="s">
        <v>3872</v>
      </c>
      <c r="E799" s="150" t="s">
        <v>2476</v>
      </c>
      <c r="F799" s="144" t="s">
        <v>2477</v>
      </c>
      <c r="G799" s="166" t="s">
        <v>3873</v>
      </c>
      <c r="H799" s="151">
        <v>7</v>
      </c>
      <c r="I799" s="160">
        <v>2</v>
      </c>
      <c r="J799" s="159">
        <v>2.14</v>
      </c>
      <c r="K799" s="161">
        <v>14</v>
      </c>
      <c r="L799" s="159">
        <v>15</v>
      </c>
      <c r="M799" s="160">
        <v>15</v>
      </c>
      <c r="N799" s="145"/>
      <c r="O799" s="156" t="s">
        <v>166</v>
      </c>
      <c r="P799" s="144" t="s">
        <v>2480</v>
      </c>
      <c r="Q799" s="147"/>
      <c r="R799" s="146">
        <v>2043</v>
      </c>
      <c r="S799" s="157"/>
      <c r="T799" s="144" t="s">
        <v>25</v>
      </c>
      <c r="U799" s="150" t="s">
        <v>2479</v>
      </c>
      <c r="V799" s="146">
        <v>1667</v>
      </c>
      <c r="W799" s="148"/>
      <c r="X799" s="149">
        <v>45566</v>
      </c>
      <c r="Y799" s="165" t="s">
        <v>3874</v>
      </c>
    </row>
    <row r="800" spans="1:25">
      <c r="A800" s="163" t="s">
        <v>380</v>
      </c>
      <c r="B800" s="144" t="s">
        <v>163</v>
      </c>
      <c r="C800" s="164" t="s">
        <v>3875</v>
      </c>
      <c r="D800" s="144" t="s">
        <v>3876</v>
      </c>
      <c r="E800" s="150" t="s">
        <v>2501</v>
      </c>
      <c r="F800" s="144" t="s">
        <v>2502</v>
      </c>
      <c r="G800" s="166" t="s">
        <v>3877</v>
      </c>
      <c r="H800" s="151">
        <v>18</v>
      </c>
      <c r="I800" s="160"/>
      <c r="J800" s="159">
        <v>1.1200000000000001</v>
      </c>
      <c r="K800" s="161"/>
      <c r="L800" s="159">
        <v>20.16</v>
      </c>
      <c r="M800" s="160">
        <v>20.16</v>
      </c>
      <c r="N800" s="145"/>
      <c r="O800" s="156" t="s">
        <v>166</v>
      </c>
      <c r="P800" s="144" t="s">
        <v>2468</v>
      </c>
      <c r="Q800" s="147"/>
      <c r="R800" s="146">
        <v>2070</v>
      </c>
      <c r="S800" s="157"/>
      <c r="T800" s="144" t="s">
        <v>25</v>
      </c>
      <c r="U800" s="150" t="s">
        <v>21</v>
      </c>
      <c r="V800" s="146">
        <v>1122</v>
      </c>
      <c r="W800" s="148"/>
      <c r="X800" s="149">
        <v>45689</v>
      </c>
      <c r="Y800" s="165" t="s">
        <v>2500</v>
      </c>
    </row>
    <row r="801" spans="1:25">
      <c r="A801" s="163" t="s">
        <v>309</v>
      </c>
      <c r="B801" s="144" t="s">
        <v>2463</v>
      </c>
      <c r="C801" s="164" t="s">
        <v>871</v>
      </c>
      <c r="D801" s="144" t="s">
        <v>3878</v>
      </c>
      <c r="E801" s="150" t="s">
        <v>2485</v>
      </c>
      <c r="F801" s="144" t="s">
        <v>2486</v>
      </c>
      <c r="G801" s="166"/>
      <c r="H801" s="151">
        <v>46</v>
      </c>
      <c r="I801" s="160"/>
      <c r="J801" s="159">
        <v>6.2</v>
      </c>
      <c r="K801" s="161"/>
      <c r="L801" s="159">
        <v>285.2</v>
      </c>
      <c r="M801" s="160">
        <v>285.2</v>
      </c>
      <c r="N801" s="145"/>
      <c r="O801" s="156" t="s">
        <v>27</v>
      </c>
      <c r="P801" s="144" t="s">
        <v>2478</v>
      </c>
      <c r="Q801" s="147">
        <v>46722</v>
      </c>
      <c r="R801" s="146"/>
      <c r="S801" s="157"/>
      <c r="T801" s="144" t="s">
        <v>27</v>
      </c>
      <c r="U801" s="150" t="s">
        <v>17</v>
      </c>
      <c r="V801" s="146">
        <v>2002</v>
      </c>
      <c r="W801" s="148" t="s">
        <v>3879</v>
      </c>
      <c r="X801" s="149">
        <v>45901</v>
      </c>
      <c r="Y801" s="165" t="s">
        <v>2840</v>
      </c>
    </row>
    <row r="802" spans="1:25">
      <c r="A802" s="163" t="s">
        <v>423</v>
      </c>
      <c r="B802" s="144" t="s">
        <v>2463</v>
      </c>
      <c r="C802" s="164" t="s">
        <v>3880</v>
      </c>
      <c r="D802" s="144" t="s">
        <v>3881</v>
      </c>
      <c r="E802" s="150" t="s">
        <v>2466</v>
      </c>
      <c r="F802" s="144" t="s">
        <v>2467</v>
      </c>
      <c r="G802" s="166"/>
      <c r="H802" s="151">
        <v>1</v>
      </c>
      <c r="I802" s="160">
        <v>400</v>
      </c>
      <c r="J802" s="159">
        <v>400</v>
      </c>
      <c r="K802" s="161">
        <v>400</v>
      </c>
      <c r="L802" s="159">
        <v>400</v>
      </c>
      <c r="M802" s="160">
        <v>400</v>
      </c>
      <c r="N802" s="145">
        <v>0</v>
      </c>
      <c r="O802" s="156" t="s">
        <v>135</v>
      </c>
      <c r="P802" s="144" t="s">
        <v>2468</v>
      </c>
      <c r="Q802" s="147"/>
      <c r="R802" s="146"/>
      <c r="S802" s="157"/>
      <c r="T802" s="144" t="s">
        <v>29</v>
      </c>
      <c r="U802" s="150" t="s">
        <v>20</v>
      </c>
      <c r="V802" s="146">
        <v>2342</v>
      </c>
      <c r="W802" s="148" t="s">
        <v>3882</v>
      </c>
      <c r="X802" s="149">
        <v>45901</v>
      </c>
      <c r="Y802" s="165" t="s">
        <v>3883</v>
      </c>
    </row>
    <row r="803" spans="1:25">
      <c r="A803" s="163" t="s">
        <v>309</v>
      </c>
      <c r="B803" s="144" t="s">
        <v>2463</v>
      </c>
      <c r="C803" s="164" t="s">
        <v>3884</v>
      </c>
      <c r="D803" s="144" t="s">
        <v>3885</v>
      </c>
      <c r="E803" s="150" t="s">
        <v>2466</v>
      </c>
      <c r="F803" s="144" t="s">
        <v>2467</v>
      </c>
      <c r="G803" s="166"/>
      <c r="H803" s="151">
        <v>1</v>
      </c>
      <c r="I803" s="160"/>
      <c r="J803" s="159">
        <v>200</v>
      </c>
      <c r="K803" s="161"/>
      <c r="L803" s="159">
        <v>200</v>
      </c>
      <c r="M803" s="160">
        <v>200</v>
      </c>
      <c r="N803" s="145">
        <v>800</v>
      </c>
      <c r="O803" s="156" t="s">
        <v>135</v>
      </c>
      <c r="P803" s="144" t="s">
        <v>2468</v>
      </c>
      <c r="Q803" s="147">
        <v>46143</v>
      </c>
      <c r="R803" s="146"/>
      <c r="S803" s="157"/>
      <c r="T803" s="144" t="s">
        <v>29</v>
      </c>
      <c r="U803" s="150" t="s">
        <v>20</v>
      </c>
      <c r="V803" s="146">
        <v>2412</v>
      </c>
      <c r="W803" s="148" t="s">
        <v>3886</v>
      </c>
      <c r="X803" s="149">
        <v>45901</v>
      </c>
      <c r="Y803" s="165" t="s">
        <v>2858</v>
      </c>
    </row>
    <row r="804" spans="1:25">
      <c r="A804" s="163" t="s">
        <v>309</v>
      </c>
      <c r="B804" s="144" t="s">
        <v>2463</v>
      </c>
      <c r="C804" s="164" t="s">
        <v>344</v>
      </c>
      <c r="D804" s="144" t="s">
        <v>345</v>
      </c>
      <c r="E804" s="150" t="s">
        <v>2491</v>
      </c>
      <c r="F804" s="144" t="s">
        <v>2477</v>
      </c>
      <c r="G804" s="166"/>
      <c r="H804" s="151">
        <v>1</v>
      </c>
      <c r="I804" s="160">
        <v>281</v>
      </c>
      <c r="J804" s="159">
        <v>281</v>
      </c>
      <c r="K804" s="161">
        <v>281</v>
      </c>
      <c r="L804" s="159">
        <v>281</v>
      </c>
      <c r="M804" s="160">
        <v>281</v>
      </c>
      <c r="N804" s="145"/>
      <c r="O804" s="156" t="s">
        <v>28</v>
      </c>
      <c r="P804" s="144" t="s">
        <v>2478</v>
      </c>
      <c r="Q804" s="147"/>
      <c r="R804" s="146"/>
      <c r="S804" s="157"/>
      <c r="T804" s="144" t="s">
        <v>28</v>
      </c>
      <c r="U804" s="150" t="s">
        <v>2479</v>
      </c>
      <c r="V804" s="146">
        <v>2300</v>
      </c>
      <c r="W804" s="148" t="s">
        <v>3887</v>
      </c>
      <c r="X804" s="149">
        <v>45689</v>
      </c>
      <c r="Y804" s="165" t="s">
        <v>3888</v>
      </c>
    </row>
    <row r="805" spans="1:25">
      <c r="A805" s="163" t="s">
        <v>309</v>
      </c>
      <c r="B805" s="144" t="s">
        <v>2463</v>
      </c>
      <c r="C805" s="164" t="s">
        <v>344</v>
      </c>
      <c r="D805" s="144" t="s">
        <v>345</v>
      </c>
      <c r="E805" s="150" t="s">
        <v>2466</v>
      </c>
      <c r="F805" s="144" t="s">
        <v>2467</v>
      </c>
      <c r="G805" s="166"/>
      <c r="H805" s="151">
        <v>1</v>
      </c>
      <c r="I805" s="160">
        <v>281</v>
      </c>
      <c r="J805" s="159">
        <v>281</v>
      </c>
      <c r="K805" s="161">
        <v>281</v>
      </c>
      <c r="L805" s="159">
        <v>281</v>
      </c>
      <c r="M805" s="160">
        <v>281</v>
      </c>
      <c r="N805" s="145">
        <v>562</v>
      </c>
      <c r="O805" s="156" t="s">
        <v>135</v>
      </c>
      <c r="P805" s="144" t="s">
        <v>2468</v>
      </c>
      <c r="Q805" s="147"/>
      <c r="R805" s="146"/>
      <c r="S805" s="157"/>
      <c r="T805" s="144" t="s">
        <v>29</v>
      </c>
      <c r="U805" s="150" t="s">
        <v>20</v>
      </c>
      <c r="V805" s="146">
        <v>2300</v>
      </c>
      <c r="W805" s="148" t="s">
        <v>3887</v>
      </c>
      <c r="X805" s="149">
        <v>45689</v>
      </c>
      <c r="Y805" s="165" t="s">
        <v>3888</v>
      </c>
    </row>
    <row r="806" spans="1:25">
      <c r="A806" s="163" t="s">
        <v>423</v>
      </c>
      <c r="B806" s="144" t="s">
        <v>163</v>
      </c>
      <c r="C806" s="164" t="s">
        <v>1336</v>
      </c>
      <c r="D806" s="144" t="s">
        <v>1337</v>
      </c>
      <c r="E806" s="150" t="s">
        <v>2639</v>
      </c>
      <c r="F806" s="144" t="s">
        <v>3889</v>
      </c>
      <c r="G806" s="166" t="s">
        <v>3890</v>
      </c>
      <c r="H806" s="151">
        <v>1</v>
      </c>
      <c r="I806" s="160">
        <v>0</v>
      </c>
      <c r="J806" s="159">
        <v>560</v>
      </c>
      <c r="K806" s="161">
        <v>0</v>
      </c>
      <c r="L806" s="159">
        <v>560</v>
      </c>
      <c r="M806" s="160">
        <v>560</v>
      </c>
      <c r="N806" s="145"/>
      <c r="O806" s="156" t="s">
        <v>166</v>
      </c>
      <c r="P806" s="144" t="s">
        <v>2468</v>
      </c>
      <c r="Q806" s="147"/>
      <c r="R806" s="146">
        <v>2035</v>
      </c>
      <c r="S806" s="157"/>
      <c r="T806" s="144" t="s">
        <v>25</v>
      </c>
      <c r="U806" s="150" t="s">
        <v>12</v>
      </c>
      <c r="V806" s="146">
        <v>1124</v>
      </c>
      <c r="W806" s="148"/>
      <c r="X806" s="149">
        <v>45689</v>
      </c>
      <c r="Y806" s="165" t="s">
        <v>2609</v>
      </c>
    </row>
    <row r="807" spans="1:25">
      <c r="A807" s="163" t="s">
        <v>423</v>
      </c>
      <c r="B807" s="144" t="s">
        <v>163</v>
      </c>
      <c r="C807" s="164" t="s">
        <v>1336</v>
      </c>
      <c r="D807" s="144" t="s">
        <v>1337</v>
      </c>
      <c r="E807" s="150" t="s">
        <v>2639</v>
      </c>
      <c r="F807" s="144" t="s">
        <v>3889</v>
      </c>
      <c r="G807" s="166" t="s">
        <v>1338</v>
      </c>
      <c r="H807" s="151">
        <v>1</v>
      </c>
      <c r="I807" s="160">
        <v>0</v>
      </c>
      <c r="J807" s="159">
        <v>530</v>
      </c>
      <c r="K807" s="161">
        <v>0</v>
      </c>
      <c r="L807" s="159">
        <v>530</v>
      </c>
      <c r="M807" s="160">
        <v>530</v>
      </c>
      <c r="N807" s="145"/>
      <c r="O807" s="156" t="s">
        <v>166</v>
      </c>
      <c r="P807" s="144" t="s">
        <v>2468</v>
      </c>
      <c r="Q807" s="147"/>
      <c r="R807" s="146">
        <v>2035</v>
      </c>
      <c r="S807" s="157"/>
      <c r="T807" s="144" t="s">
        <v>25</v>
      </c>
      <c r="U807" s="150" t="s">
        <v>12</v>
      </c>
      <c r="V807" s="146">
        <v>1124</v>
      </c>
      <c r="W807" s="148"/>
      <c r="X807" s="149">
        <v>45689</v>
      </c>
      <c r="Y807" s="165" t="s">
        <v>2609</v>
      </c>
    </row>
    <row r="808" spans="1:25">
      <c r="A808" s="163" t="s">
        <v>423</v>
      </c>
      <c r="B808" s="144" t="s">
        <v>163</v>
      </c>
      <c r="C808" s="164" t="s">
        <v>1336</v>
      </c>
      <c r="D808" s="144" t="s">
        <v>1337</v>
      </c>
      <c r="E808" s="150" t="s">
        <v>2639</v>
      </c>
      <c r="F808" s="144" t="s">
        <v>3889</v>
      </c>
      <c r="G808" s="166" t="s">
        <v>3891</v>
      </c>
      <c r="H808" s="151">
        <v>1</v>
      </c>
      <c r="I808" s="160">
        <v>0</v>
      </c>
      <c r="J808" s="159">
        <v>560</v>
      </c>
      <c r="K808" s="161">
        <v>0</v>
      </c>
      <c r="L808" s="159">
        <v>560</v>
      </c>
      <c r="M808" s="160">
        <v>560</v>
      </c>
      <c r="N808" s="145"/>
      <c r="O808" s="156" t="s">
        <v>166</v>
      </c>
      <c r="P808" s="144" t="s">
        <v>2468</v>
      </c>
      <c r="Q808" s="147"/>
      <c r="R808" s="146">
        <v>2035</v>
      </c>
      <c r="S808" s="157"/>
      <c r="T808" s="144" t="s">
        <v>25</v>
      </c>
      <c r="U808" s="150" t="s">
        <v>12</v>
      </c>
      <c r="V808" s="146">
        <v>1124</v>
      </c>
      <c r="W808" s="148"/>
      <c r="X808" s="149">
        <v>45689</v>
      </c>
      <c r="Y808" s="165" t="s">
        <v>2609</v>
      </c>
    </row>
    <row r="809" spans="1:25">
      <c r="A809" s="163" t="s">
        <v>423</v>
      </c>
      <c r="B809" s="144" t="s">
        <v>163</v>
      </c>
      <c r="C809" s="164" t="s">
        <v>1336</v>
      </c>
      <c r="D809" s="144" t="s">
        <v>1337</v>
      </c>
      <c r="E809" s="150" t="s">
        <v>2639</v>
      </c>
      <c r="F809" s="144" t="s">
        <v>3889</v>
      </c>
      <c r="G809" s="166" t="s">
        <v>3892</v>
      </c>
      <c r="H809" s="151">
        <v>1</v>
      </c>
      <c r="I809" s="160">
        <v>0</v>
      </c>
      <c r="J809" s="159">
        <v>560</v>
      </c>
      <c r="K809" s="161">
        <v>0</v>
      </c>
      <c r="L809" s="159">
        <v>560</v>
      </c>
      <c r="M809" s="160">
        <v>560</v>
      </c>
      <c r="N809" s="145"/>
      <c r="O809" s="156" t="s">
        <v>166</v>
      </c>
      <c r="P809" s="144" t="s">
        <v>2468</v>
      </c>
      <c r="Q809" s="147"/>
      <c r="R809" s="146">
        <v>2035</v>
      </c>
      <c r="S809" s="157"/>
      <c r="T809" s="144" t="s">
        <v>25</v>
      </c>
      <c r="U809" s="150" t="s">
        <v>12</v>
      </c>
      <c r="V809" s="146">
        <v>1124</v>
      </c>
      <c r="W809" s="148"/>
      <c r="X809" s="149">
        <v>45689</v>
      </c>
      <c r="Y809" s="165" t="s">
        <v>2609</v>
      </c>
    </row>
    <row r="810" spans="1:25">
      <c r="A810" s="163" t="s">
        <v>423</v>
      </c>
      <c r="B810" s="144" t="s">
        <v>163</v>
      </c>
      <c r="C810" s="164" t="s">
        <v>1700</v>
      </c>
      <c r="D810" s="144" t="s">
        <v>1789</v>
      </c>
      <c r="E810" s="150" t="s">
        <v>2639</v>
      </c>
      <c r="F810" s="144" t="s">
        <v>3889</v>
      </c>
      <c r="G810" s="166" t="s">
        <v>1702</v>
      </c>
      <c r="H810" s="151">
        <v>1</v>
      </c>
      <c r="I810" s="160"/>
      <c r="J810" s="159">
        <v>580</v>
      </c>
      <c r="K810" s="161"/>
      <c r="L810" s="159">
        <v>580</v>
      </c>
      <c r="M810" s="160">
        <v>580</v>
      </c>
      <c r="N810" s="145"/>
      <c r="O810" s="156" t="s">
        <v>166</v>
      </c>
      <c r="P810" s="144" t="s">
        <v>2468</v>
      </c>
      <c r="Q810" s="147"/>
      <c r="R810" s="146">
        <v>2047</v>
      </c>
      <c r="S810" s="157"/>
      <c r="T810" s="144" t="s">
        <v>25</v>
      </c>
      <c r="U810" s="150" t="s">
        <v>12</v>
      </c>
      <c r="V810" s="146">
        <v>1125</v>
      </c>
      <c r="W810" s="148"/>
      <c r="X810" s="149">
        <v>45689</v>
      </c>
      <c r="Y810" s="165" t="s">
        <v>3893</v>
      </c>
    </row>
    <row r="811" spans="1:25">
      <c r="A811" s="163" t="s">
        <v>423</v>
      </c>
      <c r="B811" s="144" t="s">
        <v>163</v>
      </c>
      <c r="C811" s="164" t="s">
        <v>1700</v>
      </c>
      <c r="D811" s="144" t="s">
        <v>1789</v>
      </c>
      <c r="E811" s="150" t="s">
        <v>2639</v>
      </c>
      <c r="F811" s="144" t="s">
        <v>3889</v>
      </c>
      <c r="G811" s="166" t="s">
        <v>3894</v>
      </c>
      <c r="H811" s="151">
        <v>1</v>
      </c>
      <c r="I811" s="160"/>
      <c r="J811" s="159">
        <v>580</v>
      </c>
      <c r="K811" s="161"/>
      <c r="L811" s="159">
        <v>580</v>
      </c>
      <c r="M811" s="160">
        <v>580</v>
      </c>
      <c r="N811" s="145"/>
      <c r="O811" s="156" t="s">
        <v>166</v>
      </c>
      <c r="P811" s="144" t="s">
        <v>2468</v>
      </c>
      <c r="Q811" s="147"/>
      <c r="R811" s="146">
        <v>2047</v>
      </c>
      <c r="S811" s="157"/>
      <c r="T811" s="144" t="s">
        <v>25</v>
      </c>
      <c r="U811" s="150" t="s">
        <v>12</v>
      </c>
      <c r="V811" s="146">
        <v>1125</v>
      </c>
      <c r="W811" s="148"/>
      <c r="X811" s="149">
        <v>45689</v>
      </c>
      <c r="Y811" s="165" t="s">
        <v>3893</v>
      </c>
    </row>
    <row r="812" spans="1:25">
      <c r="A812" s="163" t="s">
        <v>423</v>
      </c>
      <c r="B812" s="144" t="s">
        <v>2463</v>
      </c>
      <c r="C812" s="164" t="s">
        <v>3895</v>
      </c>
      <c r="D812" s="144" t="s">
        <v>3896</v>
      </c>
      <c r="E812" s="150" t="s">
        <v>2466</v>
      </c>
      <c r="F812" s="144" t="s">
        <v>2467</v>
      </c>
      <c r="G812" s="166"/>
      <c r="H812" s="151">
        <v>1</v>
      </c>
      <c r="I812" s="160">
        <v>250</v>
      </c>
      <c r="J812" s="159">
        <v>250</v>
      </c>
      <c r="K812" s="161">
        <v>250</v>
      </c>
      <c r="L812" s="159">
        <v>250</v>
      </c>
      <c r="M812" s="160">
        <v>250</v>
      </c>
      <c r="N812" s="145">
        <v>500</v>
      </c>
      <c r="O812" s="156" t="s">
        <v>135</v>
      </c>
      <c r="P812" s="144" t="s">
        <v>2468</v>
      </c>
      <c r="Q812" s="147"/>
      <c r="R812" s="146"/>
      <c r="S812" s="157"/>
      <c r="T812" s="144" t="s">
        <v>29</v>
      </c>
      <c r="U812" s="150" t="s">
        <v>20</v>
      </c>
      <c r="V812" s="146">
        <v>2708</v>
      </c>
      <c r="W812" s="148" t="s">
        <v>3897</v>
      </c>
      <c r="X812" s="149">
        <v>45689</v>
      </c>
      <c r="Y812" s="165" t="s">
        <v>2470</v>
      </c>
    </row>
    <row r="813" spans="1:25">
      <c r="A813" s="163" t="s">
        <v>565</v>
      </c>
      <c r="B813" s="144" t="s">
        <v>2463</v>
      </c>
      <c r="C813" s="164" t="s">
        <v>3898</v>
      </c>
      <c r="D813" s="144" t="s">
        <v>3899</v>
      </c>
      <c r="E813" s="150" t="s">
        <v>2466</v>
      </c>
      <c r="F813" s="144" t="s">
        <v>2467</v>
      </c>
      <c r="G813" s="166"/>
      <c r="H813" s="151">
        <v>1</v>
      </c>
      <c r="I813" s="160">
        <v>24</v>
      </c>
      <c r="J813" s="159">
        <v>24</v>
      </c>
      <c r="K813" s="161">
        <v>24</v>
      </c>
      <c r="L813" s="159">
        <v>24</v>
      </c>
      <c r="M813" s="160">
        <v>24</v>
      </c>
      <c r="N813" s="145">
        <v>0</v>
      </c>
      <c r="O813" s="156" t="s">
        <v>135</v>
      </c>
      <c r="P813" s="144" t="s">
        <v>2468</v>
      </c>
      <c r="Q813" s="147"/>
      <c r="R813" s="146"/>
      <c r="S813" s="157"/>
      <c r="T813" s="144" t="s">
        <v>29</v>
      </c>
      <c r="U813" s="150" t="s">
        <v>20</v>
      </c>
      <c r="V813" s="146">
        <v>2910</v>
      </c>
      <c r="W813" s="148" t="s">
        <v>3900</v>
      </c>
      <c r="X813" s="149">
        <v>45901</v>
      </c>
      <c r="Y813" s="165" t="s">
        <v>2857</v>
      </c>
    </row>
    <row r="814" spans="1:25">
      <c r="A814" s="163" t="s">
        <v>7</v>
      </c>
      <c r="B814" s="144" t="s">
        <v>163</v>
      </c>
      <c r="C814" s="164" t="s">
        <v>3901</v>
      </c>
      <c r="D814" s="144" t="s">
        <v>1665</v>
      </c>
      <c r="E814" s="150" t="s">
        <v>2506</v>
      </c>
      <c r="F814" s="144" t="s">
        <v>3046</v>
      </c>
      <c r="G814" s="166" t="s">
        <v>3902</v>
      </c>
      <c r="H814" s="151">
        <v>4</v>
      </c>
      <c r="I814" s="160"/>
      <c r="J814" s="159">
        <v>1.1499999999999999</v>
      </c>
      <c r="K814" s="161"/>
      <c r="L814" s="159">
        <v>4.5999999999999996</v>
      </c>
      <c r="M814" s="160">
        <v>4.5999999999999996</v>
      </c>
      <c r="N814" s="145"/>
      <c r="O814" s="156" t="s">
        <v>166</v>
      </c>
      <c r="P814" s="144" t="s">
        <v>2480</v>
      </c>
      <c r="Q814" s="147"/>
      <c r="R814" s="146">
        <v>2025</v>
      </c>
      <c r="S814" s="157"/>
      <c r="T814" s="144" t="s">
        <v>25</v>
      </c>
      <c r="U814" s="150" t="s">
        <v>19</v>
      </c>
      <c r="V814" s="146">
        <v>1127</v>
      </c>
      <c r="W814" s="148"/>
      <c r="X814" s="149">
        <v>45566</v>
      </c>
      <c r="Y814" s="165" t="s">
        <v>2836</v>
      </c>
    </row>
    <row r="815" spans="1:25">
      <c r="A815" s="163" t="s">
        <v>7</v>
      </c>
      <c r="B815" s="144" t="s">
        <v>163</v>
      </c>
      <c r="C815" s="164" t="s">
        <v>3901</v>
      </c>
      <c r="D815" s="144" t="s">
        <v>1665</v>
      </c>
      <c r="E815" s="150" t="s">
        <v>2506</v>
      </c>
      <c r="F815" s="144" t="s">
        <v>3046</v>
      </c>
      <c r="G815" s="166" t="s">
        <v>3903</v>
      </c>
      <c r="H815" s="151">
        <v>11</v>
      </c>
      <c r="I815" s="160"/>
      <c r="J815" s="159">
        <v>1.1499999999999999</v>
      </c>
      <c r="K815" s="161"/>
      <c r="L815" s="159">
        <v>12.65</v>
      </c>
      <c r="M815" s="160">
        <v>12.65</v>
      </c>
      <c r="N815" s="145"/>
      <c r="O815" s="156" t="s">
        <v>166</v>
      </c>
      <c r="P815" s="144" t="s">
        <v>2480</v>
      </c>
      <c r="Q815" s="147"/>
      <c r="R815" s="146">
        <v>2025</v>
      </c>
      <c r="S815" s="157"/>
      <c r="T815" s="144" t="s">
        <v>25</v>
      </c>
      <c r="U815" s="150" t="s">
        <v>19</v>
      </c>
      <c r="V815" s="146">
        <v>1127</v>
      </c>
      <c r="W815" s="148"/>
      <c r="X815" s="149">
        <v>45566</v>
      </c>
      <c r="Y815" s="165" t="s">
        <v>2836</v>
      </c>
    </row>
    <row r="816" spans="1:25">
      <c r="A816" s="163" t="s">
        <v>423</v>
      </c>
      <c r="B816" s="144" t="s">
        <v>2463</v>
      </c>
      <c r="C816" s="164" t="s">
        <v>3904</v>
      </c>
      <c r="D816" s="144" t="s">
        <v>3905</v>
      </c>
      <c r="E816" s="150" t="s">
        <v>2466</v>
      </c>
      <c r="F816" s="144" t="s">
        <v>2467</v>
      </c>
      <c r="G816" s="166"/>
      <c r="H816" s="151">
        <v>1</v>
      </c>
      <c r="I816" s="160"/>
      <c r="J816" s="159">
        <v>200</v>
      </c>
      <c r="K816" s="161"/>
      <c r="L816" s="159">
        <v>200</v>
      </c>
      <c r="M816" s="160">
        <v>200</v>
      </c>
      <c r="N816" s="145">
        <v>800</v>
      </c>
      <c r="O816" s="156" t="s">
        <v>135</v>
      </c>
      <c r="P816" s="144" t="s">
        <v>2468</v>
      </c>
      <c r="Q816" s="147"/>
      <c r="R816" s="146">
        <v>2050</v>
      </c>
      <c r="S816" s="157"/>
      <c r="T816" s="144" t="s">
        <v>29</v>
      </c>
      <c r="U816" s="150" t="s">
        <v>20</v>
      </c>
      <c r="V816" s="146">
        <v>1867</v>
      </c>
      <c r="W816" s="148" t="s">
        <v>3906</v>
      </c>
      <c r="X816" s="149">
        <v>45689</v>
      </c>
      <c r="Y816" s="165" t="s">
        <v>2558</v>
      </c>
    </row>
    <row r="817" spans="1:25">
      <c r="A817" s="163" t="s">
        <v>423</v>
      </c>
      <c r="B817" s="144" t="s">
        <v>163</v>
      </c>
      <c r="C817" s="164" t="s">
        <v>2426</v>
      </c>
      <c r="D817" s="144" t="s">
        <v>3907</v>
      </c>
      <c r="E817" s="150" t="s">
        <v>2485</v>
      </c>
      <c r="F817" s="144" t="s">
        <v>2486</v>
      </c>
      <c r="G817" s="166" t="s">
        <v>3908</v>
      </c>
      <c r="H817" s="151">
        <v>140</v>
      </c>
      <c r="I817" s="160"/>
      <c r="J817" s="159">
        <v>3</v>
      </c>
      <c r="K817" s="161"/>
      <c r="L817" s="159">
        <v>420</v>
      </c>
      <c r="M817" s="160">
        <v>420</v>
      </c>
      <c r="N817" s="145"/>
      <c r="O817" s="156" t="s">
        <v>166</v>
      </c>
      <c r="P817" s="144" t="s">
        <v>2478</v>
      </c>
      <c r="Q817" s="147"/>
      <c r="R817" s="146">
        <v>2038</v>
      </c>
      <c r="S817" s="157"/>
      <c r="T817" s="144" t="s">
        <v>25</v>
      </c>
      <c r="U817" s="150" t="s">
        <v>17</v>
      </c>
      <c r="V817" s="146">
        <v>1128</v>
      </c>
      <c r="W817" s="148"/>
      <c r="X817" s="149">
        <v>45689</v>
      </c>
      <c r="Y817" s="165" t="s">
        <v>2558</v>
      </c>
    </row>
    <row r="818" spans="1:25">
      <c r="A818" s="163" t="s">
        <v>309</v>
      </c>
      <c r="B818" s="144" t="s">
        <v>163</v>
      </c>
      <c r="C818" s="164" t="s">
        <v>374</v>
      </c>
      <c r="D818" s="144" t="s">
        <v>375</v>
      </c>
      <c r="E818" s="150" t="s">
        <v>2485</v>
      </c>
      <c r="F818" s="144" t="s">
        <v>2486</v>
      </c>
      <c r="G818" s="166" t="s">
        <v>376</v>
      </c>
      <c r="H818" s="151">
        <v>162</v>
      </c>
      <c r="I818" s="160">
        <v>5.7</v>
      </c>
      <c r="J818" s="159">
        <v>5.7</v>
      </c>
      <c r="K818" s="161">
        <v>923.4</v>
      </c>
      <c r="L818" s="159">
        <v>923.4</v>
      </c>
      <c r="M818" s="160">
        <v>923.4</v>
      </c>
      <c r="N818" s="145"/>
      <c r="O818" s="156" t="s">
        <v>164</v>
      </c>
      <c r="P818" s="144" t="s">
        <v>2478</v>
      </c>
      <c r="Q818" s="147">
        <v>45962</v>
      </c>
      <c r="R818" s="146">
        <v>2054</v>
      </c>
      <c r="S818" s="157"/>
      <c r="T818" s="144" t="s">
        <v>25</v>
      </c>
      <c r="U818" s="150" t="s">
        <v>17</v>
      </c>
      <c r="V818" s="146">
        <v>1332</v>
      </c>
      <c r="W818" s="148" t="s">
        <v>3909</v>
      </c>
      <c r="X818" s="149">
        <v>45901</v>
      </c>
      <c r="Y818" s="165" t="s">
        <v>2490</v>
      </c>
    </row>
    <row r="819" spans="1:25">
      <c r="A819" s="163" t="s">
        <v>309</v>
      </c>
      <c r="B819" s="144" t="s">
        <v>2463</v>
      </c>
      <c r="C819" s="164" t="s">
        <v>3910</v>
      </c>
      <c r="D819" s="144" t="s">
        <v>3911</v>
      </c>
      <c r="E819" s="150" t="s">
        <v>2466</v>
      </c>
      <c r="F819" s="144" t="s">
        <v>2467</v>
      </c>
      <c r="G819" s="166"/>
      <c r="H819" s="151">
        <v>90</v>
      </c>
      <c r="I819" s="160">
        <v>0</v>
      </c>
      <c r="J819" s="159">
        <v>5</v>
      </c>
      <c r="K819" s="161">
        <v>0</v>
      </c>
      <c r="L819" s="159">
        <v>450</v>
      </c>
      <c r="M819" s="160">
        <v>450</v>
      </c>
      <c r="N819" s="145">
        <v>1800</v>
      </c>
      <c r="O819" s="156" t="s">
        <v>135</v>
      </c>
      <c r="P819" s="144" t="s">
        <v>2468</v>
      </c>
      <c r="Q819" s="147"/>
      <c r="R819" s="146"/>
      <c r="S819" s="157"/>
      <c r="T819" s="144" t="s">
        <v>29</v>
      </c>
      <c r="U819" s="150" t="s">
        <v>20</v>
      </c>
      <c r="V819" s="146">
        <v>2995</v>
      </c>
      <c r="W819" s="148" t="s">
        <v>3912</v>
      </c>
      <c r="X819" s="149">
        <v>45901</v>
      </c>
      <c r="Y819" s="165" t="s">
        <v>2810</v>
      </c>
    </row>
    <row r="820" spans="1:25">
      <c r="A820" s="163" t="s">
        <v>309</v>
      </c>
      <c r="B820" s="144" t="s">
        <v>2463</v>
      </c>
      <c r="C820" s="164" t="s">
        <v>3913</v>
      </c>
      <c r="D820" s="144" t="s">
        <v>3911</v>
      </c>
      <c r="E820" s="150" t="s">
        <v>2476</v>
      </c>
      <c r="F820" s="144" t="s">
        <v>2477</v>
      </c>
      <c r="G820" s="166"/>
      <c r="H820" s="151">
        <v>90</v>
      </c>
      <c r="I820" s="160">
        <v>0</v>
      </c>
      <c r="J820" s="159">
        <v>5</v>
      </c>
      <c r="K820" s="161">
        <v>0</v>
      </c>
      <c r="L820" s="159">
        <v>450</v>
      </c>
      <c r="M820" s="160">
        <v>450</v>
      </c>
      <c r="N820" s="145"/>
      <c r="O820" s="156" t="s">
        <v>135</v>
      </c>
      <c r="P820" s="144" t="s">
        <v>2478</v>
      </c>
      <c r="Q820" s="147"/>
      <c r="R820" s="146"/>
      <c r="S820" s="157"/>
      <c r="T820" s="144" t="s">
        <v>29</v>
      </c>
      <c r="U820" s="150" t="s">
        <v>2479</v>
      </c>
      <c r="V820" s="146">
        <v>2994</v>
      </c>
      <c r="W820" s="148" t="s">
        <v>3912</v>
      </c>
      <c r="X820" s="149">
        <v>45901</v>
      </c>
      <c r="Y820" s="165" t="s">
        <v>2810</v>
      </c>
    </row>
    <row r="821" spans="1:25">
      <c r="A821" s="163" t="s">
        <v>565</v>
      </c>
      <c r="B821" s="144" t="s">
        <v>163</v>
      </c>
      <c r="C821" s="164" t="s">
        <v>3914</v>
      </c>
      <c r="D821" s="144" t="s">
        <v>1137</v>
      </c>
      <c r="E821" s="150" t="s">
        <v>2593</v>
      </c>
      <c r="F821" s="144" t="s">
        <v>2482</v>
      </c>
      <c r="G821" s="166" t="s">
        <v>3915</v>
      </c>
      <c r="H821" s="151">
        <v>1</v>
      </c>
      <c r="I821" s="160">
        <v>79.900000000000006</v>
      </c>
      <c r="J821" s="159">
        <v>79.900000000000006</v>
      </c>
      <c r="K821" s="161">
        <v>79.900000000000006</v>
      </c>
      <c r="L821" s="159">
        <v>79.900000000000006</v>
      </c>
      <c r="M821" s="160">
        <v>79.900000000000006</v>
      </c>
      <c r="N821" s="145"/>
      <c r="O821" s="156" t="s">
        <v>166</v>
      </c>
      <c r="P821" s="144" t="s">
        <v>2468</v>
      </c>
      <c r="Q821" s="147"/>
      <c r="R821" s="146">
        <v>2100</v>
      </c>
      <c r="S821" s="157"/>
      <c r="T821" s="144" t="s">
        <v>25</v>
      </c>
      <c r="U821" s="150" t="s">
        <v>18</v>
      </c>
      <c r="V821" s="146">
        <v>1130</v>
      </c>
      <c r="W821" s="148"/>
      <c r="X821" s="149">
        <v>45689</v>
      </c>
      <c r="Y821" s="165" t="s">
        <v>2541</v>
      </c>
    </row>
    <row r="822" spans="1:25">
      <c r="A822" s="163" t="s">
        <v>309</v>
      </c>
      <c r="B822" s="144" t="s">
        <v>2463</v>
      </c>
      <c r="C822" s="164" t="s">
        <v>3916</v>
      </c>
      <c r="D822" s="144" t="s">
        <v>1215</v>
      </c>
      <c r="E822" s="150" t="s">
        <v>2466</v>
      </c>
      <c r="F822" s="144" t="s">
        <v>2467</v>
      </c>
      <c r="G822" s="166"/>
      <c r="H822" s="151">
        <v>1</v>
      </c>
      <c r="I822" s="160">
        <v>0</v>
      </c>
      <c r="J822" s="159">
        <v>500</v>
      </c>
      <c r="K822" s="161">
        <v>0</v>
      </c>
      <c r="L822" s="159">
        <v>500</v>
      </c>
      <c r="M822" s="160">
        <v>500</v>
      </c>
      <c r="N822" s="145">
        <v>2000</v>
      </c>
      <c r="O822" s="156" t="s">
        <v>135</v>
      </c>
      <c r="P822" s="144" t="s">
        <v>2468</v>
      </c>
      <c r="Q822" s="147"/>
      <c r="R822" s="146"/>
      <c r="S822" s="157"/>
      <c r="T822" s="144" t="s">
        <v>29</v>
      </c>
      <c r="U822" s="150" t="s">
        <v>20</v>
      </c>
      <c r="V822" s="146">
        <v>2559</v>
      </c>
      <c r="W822" s="148" t="s">
        <v>3917</v>
      </c>
      <c r="X822" s="149">
        <v>45689</v>
      </c>
      <c r="Y822" s="165" t="s">
        <v>2612</v>
      </c>
    </row>
    <row r="823" spans="1:25">
      <c r="A823" s="163" t="s">
        <v>7</v>
      </c>
      <c r="B823" s="144" t="s">
        <v>2463</v>
      </c>
      <c r="C823" s="164" t="s">
        <v>3918</v>
      </c>
      <c r="D823" s="144" t="s">
        <v>3919</v>
      </c>
      <c r="E823" s="150" t="s">
        <v>2466</v>
      </c>
      <c r="F823" s="144" t="s">
        <v>2467</v>
      </c>
      <c r="G823" s="166"/>
      <c r="H823" s="151">
        <v>1</v>
      </c>
      <c r="I823" s="160">
        <v>500</v>
      </c>
      <c r="J823" s="159">
        <v>500</v>
      </c>
      <c r="K823" s="161">
        <v>500</v>
      </c>
      <c r="L823" s="159">
        <v>500</v>
      </c>
      <c r="M823" s="160">
        <v>500</v>
      </c>
      <c r="N823" s="145">
        <v>0</v>
      </c>
      <c r="O823" s="156" t="s">
        <v>135</v>
      </c>
      <c r="P823" s="144" t="s">
        <v>2468</v>
      </c>
      <c r="Q823" s="147"/>
      <c r="R823" s="146"/>
      <c r="S823" s="157"/>
      <c r="T823" s="144" t="s">
        <v>29</v>
      </c>
      <c r="U823" s="150" t="s">
        <v>20</v>
      </c>
      <c r="V823" s="146">
        <v>3052</v>
      </c>
      <c r="W823" s="148" t="s">
        <v>3920</v>
      </c>
      <c r="X823" s="149">
        <v>45901</v>
      </c>
      <c r="Y823" s="165" t="s">
        <v>2683</v>
      </c>
    </row>
    <row r="824" spans="1:25">
      <c r="A824" s="163" t="s">
        <v>7</v>
      </c>
      <c r="B824" s="144" t="s">
        <v>2463</v>
      </c>
      <c r="C824" s="164" t="s">
        <v>3921</v>
      </c>
      <c r="D824" s="144" t="s">
        <v>3922</v>
      </c>
      <c r="E824" s="150" t="s">
        <v>2476</v>
      </c>
      <c r="F824" s="144" t="s">
        <v>2477</v>
      </c>
      <c r="G824" s="166"/>
      <c r="H824" s="151">
        <v>1</v>
      </c>
      <c r="I824" s="160">
        <v>76.819999999999993</v>
      </c>
      <c r="J824" s="159">
        <v>76.819999999999993</v>
      </c>
      <c r="K824" s="161">
        <v>76.819999999999993</v>
      </c>
      <c r="L824" s="159">
        <v>76.819999999999993</v>
      </c>
      <c r="M824" s="160">
        <v>76.819999999999993</v>
      </c>
      <c r="N824" s="145"/>
      <c r="O824" s="156" t="s">
        <v>135</v>
      </c>
      <c r="P824" s="144" t="s">
        <v>2478</v>
      </c>
      <c r="Q824" s="147"/>
      <c r="R824" s="146"/>
      <c r="S824" s="157"/>
      <c r="T824" s="144" t="s">
        <v>29</v>
      </c>
      <c r="U824" s="150" t="s">
        <v>2479</v>
      </c>
      <c r="V824" s="146">
        <v>2691</v>
      </c>
      <c r="W824" s="148"/>
      <c r="X824" s="149"/>
      <c r="Y824" s="165" t="s">
        <v>2470</v>
      </c>
    </row>
    <row r="825" spans="1:25">
      <c r="A825" s="163" t="s">
        <v>7</v>
      </c>
      <c r="B825" s="144" t="s">
        <v>2463</v>
      </c>
      <c r="C825" s="164" t="s">
        <v>3921</v>
      </c>
      <c r="D825" s="144" t="s">
        <v>3922</v>
      </c>
      <c r="E825" s="150" t="s">
        <v>2466</v>
      </c>
      <c r="F825" s="144" t="s">
        <v>2467</v>
      </c>
      <c r="G825" s="166"/>
      <c r="H825" s="151">
        <v>1</v>
      </c>
      <c r="I825" s="160">
        <v>48.89</v>
      </c>
      <c r="J825" s="159">
        <v>48.89</v>
      </c>
      <c r="K825" s="161">
        <v>48.89</v>
      </c>
      <c r="L825" s="159">
        <v>48.89</v>
      </c>
      <c r="M825" s="160">
        <v>48.89</v>
      </c>
      <c r="N825" s="145">
        <v>80</v>
      </c>
      <c r="O825" s="156" t="s">
        <v>135</v>
      </c>
      <c r="P825" s="144" t="s">
        <v>2468</v>
      </c>
      <c r="Q825" s="147"/>
      <c r="R825" s="146"/>
      <c r="S825" s="157"/>
      <c r="T825" s="144" t="s">
        <v>29</v>
      </c>
      <c r="U825" s="150" t="s">
        <v>20</v>
      </c>
      <c r="V825" s="146">
        <v>2691</v>
      </c>
      <c r="W825" s="148"/>
      <c r="X825" s="149"/>
      <c r="Y825" s="165" t="s">
        <v>2470</v>
      </c>
    </row>
    <row r="826" spans="1:25">
      <c r="A826" s="163" t="s">
        <v>309</v>
      </c>
      <c r="B826" s="144" t="s">
        <v>2463</v>
      </c>
      <c r="C826" s="164" t="s">
        <v>3923</v>
      </c>
      <c r="D826" s="144" t="s">
        <v>540</v>
      </c>
      <c r="E826" s="150" t="s">
        <v>2491</v>
      </c>
      <c r="F826" s="144" t="s">
        <v>2477</v>
      </c>
      <c r="G826" s="166"/>
      <c r="H826" s="151">
        <v>1</v>
      </c>
      <c r="I826" s="160"/>
      <c r="J826" s="159">
        <v>150</v>
      </c>
      <c r="K826" s="161"/>
      <c r="L826" s="159">
        <v>150</v>
      </c>
      <c r="M826" s="160">
        <v>150</v>
      </c>
      <c r="N826" s="145"/>
      <c r="O826" s="156" t="s">
        <v>135</v>
      </c>
      <c r="P826" s="144" t="s">
        <v>2478</v>
      </c>
      <c r="Q826" s="147"/>
      <c r="R826" s="146"/>
      <c r="S826" s="157"/>
      <c r="T826" s="144" t="s">
        <v>29</v>
      </c>
      <c r="U826" s="150" t="s">
        <v>2479</v>
      </c>
      <c r="V826" s="146">
        <v>2765</v>
      </c>
      <c r="W826" s="148" t="s">
        <v>3924</v>
      </c>
      <c r="X826" s="149">
        <v>45901</v>
      </c>
      <c r="Y826" s="165" t="s">
        <v>3006</v>
      </c>
    </row>
    <row r="827" spans="1:25">
      <c r="A827" s="163" t="s">
        <v>309</v>
      </c>
      <c r="B827" s="144" t="s">
        <v>2463</v>
      </c>
      <c r="C827" s="164" t="s">
        <v>3923</v>
      </c>
      <c r="D827" s="144" t="s">
        <v>540</v>
      </c>
      <c r="E827" s="150" t="s">
        <v>2466</v>
      </c>
      <c r="F827" s="144" t="s">
        <v>2477</v>
      </c>
      <c r="G827" s="166"/>
      <c r="H827" s="151">
        <v>1</v>
      </c>
      <c r="I827" s="160"/>
      <c r="J827" s="159">
        <v>150</v>
      </c>
      <c r="K827" s="161"/>
      <c r="L827" s="159">
        <v>150</v>
      </c>
      <c r="M827" s="160">
        <v>150</v>
      </c>
      <c r="N827" s="145">
        <v>600</v>
      </c>
      <c r="O827" s="156" t="s">
        <v>135</v>
      </c>
      <c r="P827" s="144" t="s">
        <v>2468</v>
      </c>
      <c r="Q827" s="147">
        <v>47027</v>
      </c>
      <c r="R827" s="146"/>
      <c r="S827" s="157"/>
      <c r="T827" s="144" t="s">
        <v>29</v>
      </c>
      <c r="U827" s="150" t="s">
        <v>20</v>
      </c>
      <c r="V827" s="146">
        <v>2765</v>
      </c>
      <c r="W827" s="148" t="s">
        <v>3924</v>
      </c>
      <c r="X827" s="149">
        <v>45901</v>
      </c>
      <c r="Y827" s="165" t="s">
        <v>3006</v>
      </c>
    </row>
    <row r="828" spans="1:25">
      <c r="A828" s="163" t="s">
        <v>7</v>
      </c>
      <c r="B828" s="144" t="s">
        <v>2463</v>
      </c>
      <c r="C828" s="164" t="s">
        <v>3925</v>
      </c>
      <c r="D828" s="144" t="s">
        <v>3926</v>
      </c>
      <c r="E828" s="150" t="s">
        <v>2466</v>
      </c>
      <c r="F828" s="144" t="s">
        <v>2486</v>
      </c>
      <c r="G828" s="166"/>
      <c r="H828" s="151">
        <v>1</v>
      </c>
      <c r="I828" s="160"/>
      <c r="J828" s="159">
        <v>100</v>
      </c>
      <c r="K828" s="161"/>
      <c r="L828" s="159">
        <v>100</v>
      </c>
      <c r="M828" s="160">
        <v>100</v>
      </c>
      <c r="N828" s="145">
        <v>200</v>
      </c>
      <c r="O828" s="156" t="s">
        <v>135</v>
      </c>
      <c r="P828" s="144" t="s">
        <v>2468</v>
      </c>
      <c r="Q828" s="147">
        <v>46813</v>
      </c>
      <c r="R828" s="146"/>
      <c r="S828" s="157"/>
      <c r="T828" s="144" t="s">
        <v>29</v>
      </c>
      <c r="U828" s="150" t="s">
        <v>20</v>
      </c>
      <c r="V828" s="146">
        <v>2046</v>
      </c>
      <c r="W828" s="148" t="s">
        <v>3927</v>
      </c>
      <c r="X828" s="149">
        <v>45689</v>
      </c>
      <c r="Y828" s="165" t="s">
        <v>2474</v>
      </c>
    </row>
    <row r="829" spans="1:25">
      <c r="A829" s="163" t="s">
        <v>7</v>
      </c>
      <c r="B829" s="144" t="s">
        <v>2463</v>
      </c>
      <c r="C829" s="164" t="s">
        <v>3925</v>
      </c>
      <c r="D829" s="144" t="s">
        <v>3926</v>
      </c>
      <c r="E829" s="150" t="s">
        <v>2485</v>
      </c>
      <c r="F829" s="144" t="s">
        <v>2486</v>
      </c>
      <c r="G829" s="166"/>
      <c r="H829" s="151">
        <v>76</v>
      </c>
      <c r="I829" s="160">
        <v>5</v>
      </c>
      <c r="J829" s="159">
        <v>6.6</v>
      </c>
      <c r="K829" s="161">
        <v>380</v>
      </c>
      <c r="L829" s="159">
        <v>501.6</v>
      </c>
      <c r="M829" s="160" t="s">
        <v>3928</v>
      </c>
      <c r="N829" s="145"/>
      <c r="O829" s="156" t="s">
        <v>135</v>
      </c>
      <c r="P829" s="144" t="s">
        <v>2478</v>
      </c>
      <c r="Q829" s="147">
        <v>46813</v>
      </c>
      <c r="R829" s="146"/>
      <c r="S829" s="157"/>
      <c r="T829" s="144" t="s">
        <v>29</v>
      </c>
      <c r="U829" s="150" t="s">
        <v>17</v>
      </c>
      <c r="V829" s="146">
        <v>2046</v>
      </c>
      <c r="W829" s="148" t="s">
        <v>3927</v>
      </c>
      <c r="X829" s="149">
        <v>45689</v>
      </c>
      <c r="Y829" s="165" t="s">
        <v>2474</v>
      </c>
    </row>
    <row r="830" spans="1:25">
      <c r="A830" s="163" t="s">
        <v>423</v>
      </c>
      <c r="B830" s="144" t="s">
        <v>2463</v>
      </c>
      <c r="C830" s="164" t="s">
        <v>3929</v>
      </c>
      <c r="D830" s="144" t="s">
        <v>3930</v>
      </c>
      <c r="E830" s="150" t="s">
        <v>2466</v>
      </c>
      <c r="F830" s="144" t="s">
        <v>2467</v>
      </c>
      <c r="G830" s="166"/>
      <c r="H830" s="151">
        <v>1</v>
      </c>
      <c r="I830" s="160">
        <v>500</v>
      </c>
      <c r="J830" s="159">
        <v>500</v>
      </c>
      <c r="K830" s="161">
        <v>500</v>
      </c>
      <c r="L830" s="159">
        <v>500</v>
      </c>
      <c r="M830" s="160">
        <v>500</v>
      </c>
      <c r="N830" s="145">
        <v>0</v>
      </c>
      <c r="O830" s="156" t="s">
        <v>135</v>
      </c>
      <c r="P830" s="144" t="s">
        <v>2468</v>
      </c>
      <c r="Q830" s="147"/>
      <c r="R830" s="146"/>
      <c r="S830" s="157"/>
      <c r="T830" s="144" t="s">
        <v>29</v>
      </c>
      <c r="U830" s="150" t="s">
        <v>20</v>
      </c>
      <c r="V830" s="146">
        <v>2844</v>
      </c>
      <c r="W830" s="148" t="s">
        <v>3931</v>
      </c>
      <c r="X830" s="149"/>
      <c r="Y830" s="165" t="s">
        <v>2470</v>
      </c>
    </row>
    <row r="831" spans="1:25">
      <c r="A831" s="163" t="s">
        <v>7</v>
      </c>
      <c r="B831" s="144" t="s">
        <v>2463</v>
      </c>
      <c r="C831" s="164" t="s">
        <v>3932</v>
      </c>
      <c r="D831" s="144" t="s">
        <v>2997</v>
      </c>
      <c r="E831" s="150" t="s">
        <v>2466</v>
      </c>
      <c r="F831" s="144" t="s">
        <v>2467</v>
      </c>
      <c r="G831" s="166"/>
      <c r="H831" s="151">
        <v>1</v>
      </c>
      <c r="I831" s="160"/>
      <c r="J831" s="159">
        <v>20</v>
      </c>
      <c r="K831" s="161"/>
      <c r="L831" s="159">
        <v>20</v>
      </c>
      <c r="M831" s="160">
        <v>20</v>
      </c>
      <c r="N831" s="145">
        <v>160</v>
      </c>
      <c r="O831" s="156" t="s">
        <v>135</v>
      </c>
      <c r="P831" s="144" t="s">
        <v>2468</v>
      </c>
      <c r="Q831" s="147"/>
      <c r="R831" s="146"/>
      <c r="S831" s="157"/>
      <c r="T831" s="144" t="s">
        <v>29</v>
      </c>
      <c r="U831" s="150" t="s">
        <v>20</v>
      </c>
      <c r="V831" s="146">
        <v>2958</v>
      </c>
      <c r="W831" s="148"/>
      <c r="X831" s="149"/>
      <c r="Y831" s="165" t="s">
        <v>2474</v>
      </c>
    </row>
    <row r="832" spans="1:25">
      <c r="A832" s="163" t="s">
        <v>7</v>
      </c>
      <c r="B832" s="144" t="s">
        <v>2463</v>
      </c>
      <c r="C832" s="164" t="s">
        <v>3933</v>
      </c>
      <c r="D832" s="144" t="s">
        <v>2997</v>
      </c>
      <c r="E832" s="150" t="s">
        <v>2485</v>
      </c>
      <c r="F832" s="144" t="s">
        <v>2486</v>
      </c>
      <c r="G832" s="166"/>
      <c r="H832" s="151">
        <v>1</v>
      </c>
      <c r="I832" s="160"/>
      <c r="J832" s="159">
        <v>250</v>
      </c>
      <c r="K832" s="161"/>
      <c r="L832" s="159">
        <v>250</v>
      </c>
      <c r="M832" s="160">
        <v>250</v>
      </c>
      <c r="N832" s="145"/>
      <c r="O832" s="156" t="s">
        <v>135</v>
      </c>
      <c r="P832" s="144" t="s">
        <v>2478</v>
      </c>
      <c r="Q832" s="147"/>
      <c r="R832" s="146"/>
      <c r="S832" s="157"/>
      <c r="T832" s="144" t="s">
        <v>29</v>
      </c>
      <c r="U832" s="150" t="s">
        <v>17</v>
      </c>
      <c r="V832" s="146">
        <v>2957</v>
      </c>
      <c r="W832" s="148"/>
      <c r="X832" s="149"/>
      <c r="Y832" s="165" t="s">
        <v>2474</v>
      </c>
    </row>
    <row r="833" spans="1:25">
      <c r="A833" s="163" t="s">
        <v>7</v>
      </c>
      <c r="B833" s="144" t="s">
        <v>2463</v>
      </c>
      <c r="C833" s="164" t="s">
        <v>3934</v>
      </c>
      <c r="D833" s="144" t="s">
        <v>3096</v>
      </c>
      <c r="E833" s="150" t="s">
        <v>2466</v>
      </c>
      <c r="F833" s="144" t="s">
        <v>2467</v>
      </c>
      <c r="G833" s="166"/>
      <c r="H833" s="151">
        <v>104</v>
      </c>
      <c r="I833" s="160">
        <v>0</v>
      </c>
      <c r="J833" s="159">
        <v>1</v>
      </c>
      <c r="K833" s="161">
        <v>0</v>
      </c>
      <c r="L833" s="159">
        <v>104</v>
      </c>
      <c r="M833" s="160">
        <v>104</v>
      </c>
      <c r="N833" s="145">
        <v>400</v>
      </c>
      <c r="O833" s="156" t="s">
        <v>135</v>
      </c>
      <c r="P833" s="144" t="s">
        <v>2468</v>
      </c>
      <c r="Q833" s="147"/>
      <c r="R833" s="146"/>
      <c r="S833" s="157"/>
      <c r="T833" s="144" t="s">
        <v>29</v>
      </c>
      <c r="U833" s="150" t="s">
        <v>20</v>
      </c>
      <c r="V833" s="146">
        <v>2766</v>
      </c>
      <c r="W833" s="148" t="s">
        <v>3935</v>
      </c>
      <c r="X833" s="149"/>
      <c r="Y833" s="165" t="s">
        <v>2474</v>
      </c>
    </row>
    <row r="834" spans="1:25">
      <c r="A834" s="163" t="s">
        <v>7</v>
      </c>
      <c r="B834" s="144" t="s">
        <v>163</v>
      </c>
      <c r="C834" s="164" t="s">
        <v>3936</v>
      </c>
      <c r="D834" s="144" t="s">
        <v>3937</v>
      </c>
      <c r="E834" s="150" t="s">
        <v>2491</v>
      </c>
      <c r="F834" s="144" t="s">
        <v>2477</v>
      </c>
      <c r="G834" s="166" t="s">
        <v>3938</v>
      </c>
      <c r="H834" s="151">
        <v>20</v>
      </c>
      <c r="I834" s="160">
        <v>2.5</v>
      </c>
      <c r="J834" s="159">
        <v>2.5</v>
      </c>
      <c r="K834" s="161">
        <v>50</v>
      </c>
      <c r="L834" s="159">
        <v>50</v>
      </c>
      <c r="M834" s="160">
        <v>50</v>
      </c>
      <c r="N834" s="145"/>
      <c r="O834" s="156" t="s">
        <v>166</v>
      </c>
      <c r="P834" s="144" t="s">
        <v>2478</v>
      </c>
      <c r="Q834" s="147">
        <v>43435</v>
      </c>
      <c r="R834" s="146">
        <v>2048</v>
      </c>
      <c r="S834" s="157"/>
      <c r="T834" s="144" t="s">
        <v>25</v>
      </c>
      <c r="U834" s="150" t="s">
        <v>2479</v>
      </c>
      <c r="V834" s="146">
        <v>1280</v>
      </c>
      <c r="W834" s="148"/>
      <c r="X834" s="149">
        <v>45689</v>
      </c>
      <c r="Y834" s="165" t="s">
        <v>2558</v>
      </c>
    </row>
    <row r="835" spans="1:25" ht="20.6">
      <c r="A835" s="163" t="s">
        <v>380</v>
      </c>
      <c r="B835" s="144" t="s">
        <v>163</v>
      </c>
      <c r="C835" s="164" t="s">
        <v>1477</v>
      </c>
      <c r="D835" s="144" t="s">
        <v>400</v>
      </c>
      <c r="E835" s="150" t="s">
        <v>2491</v>
      </c>
      <c r="F835" s="144" t="s">
        <v>2477</v>
      </c>
      <c r="G835" s="166" t="s">
        <v>1478</v>
      </c>
      <c r="H835" s="151">
        <v>6</v>
      </c>
      <c r="I835" s="160"/>
      <c r="J835" s="159">
        <v>2.75</v>
      </c>
      <c r="K835" s="161"/>
      <c r="L835" s="159">
        <v>16.5</v>
      </c>
      <c r="M835" s="160">
        <v>16.5</v>
      </c>
      <c r="N835" s="145"/>
      <c r="O835" s="156" t="s">
        <v>166</v>
      </c>
      <c r="P835" s="144" t="s">
        <v>2478</v>
      </c>
      <c r="Q835" s="147">
        <v>44682</v>
      </c>
      <c r="R835" s="146">
        <v>2041</v>
      </c>
      <c r="S835" s="157"/>
      <c r="T835" s="144" t="s">
        <v>25</v>
      </c>
      <c r="U835" s="150" t="s">
        <v>2479</v>
      </c>
      <c r="V835" s="146">
        <v>1847</v>
      </c>
      <c r="W835" s="148" t="s">
        <v>3939</v>
      </c>
      <c r="X835" s="149">
        <v>45689</v>
      </c>
      <c r="Y835" s="165" t="s">
        <v>2740</v>
      </c>
    </row>
    <row r="836" spans="1:25" ht="20.6">
      <c r="A836" s="163" t="s">
        <v>380</v>
      </c>
      <c r="B836" s="144" t="s">
        <v>163</v>
      </c>
      <c r="C836" s="164" t="s">
        <v>1479</v>
      </c>
      <c r="D836" s="144" t="s">
        <v>400</v>
      </c>
      <c r="E836" s="150" t="s">
        <v>2491</v>
      </c>
      <c r="F836" s="144" t="s">
        <v>2477</v>
      </c>
      <c r="G836" s="166" t="s">
        <v>1480</v>
      </c>
      <c r="H836" s="151">
        <v>6</v>
      </c>
      <c r="I836" s="160"/>
      <c r="J836" s="159">
        <v>2.75</v>
      </c>
      <c r="K836" s="161"/>
      <c r="L836" s="159">
        <v>16.5</v>
      </c>
      <c r="M836" s="160">
        <v>16.5</v>
      </c>
      <c r="N836" s="145"/>
      <c r="O836" s="156" t="s">
        <v>166</v>
      </c>
      <c r="P836" s="144" t="s">
        <v>2478</v>
      </c>
      <c r="Q836" s="147">
        <v>44927</v>
      </c>
      <c r="R836" s="146">
        <v>2041</v>
      </c>
      <c r="S836" s="157"/>
      <c r="T836" s="144" t="s">
        <v>25</v>
      </c>
      <c r="U836" s="150" t="s">
        <v>2479</v>
      </c>
      <c r="V836" s="146">
        <v>2010</v>
      </c>
      <c r="W836" s="148" t="s">
        <v>3940</v>
      </c>
      <c r="X836" s="149">
        <v>45689</v>
      </c>
      <c r="Y836" s="165" t="s">
        <v>2740</v>
      </c>
    </row>
    <row r="837" spans="1:25">
      <c r="A837" s="163" t="s">
        <v>380</v>
      </c>
      <c r="B837" s="144" t="s">
        <v>163</v>
      </c>
      <c r="C837" s="164" t="s">
        <v>411</v>
      </c>
      <c r="D837" s="144" t="s">
        <v>412</v>
      </c>
      <c r="E837" s="150" t="s">
        <v>2466</v>
      </c>
      <c r="F837" s="144" t="s">
        <v>2467</v>
      </c>
      <c r="G837" s="166" t="s">
        <v>413</v>
      </c>
      <c r="H837" s="151">
        <v>1</v>
      </c>
      <c r="I837" s="160"/>
      <c r="J837" s="159">
        <v>100</v>
      </c>
      <c r="K837" s="161"/>
      <c r="L837" s="159">
        <v>100</v>
      </c>
      <c r="M837" s="160">
        <v>100</v>
      </c>
      <c r="N837" s="145">
        <v>200</v>
      </c>
      <c r="O837" s="156" t="s">
        <v>166</v>
      </c>
      <c r="P837" s="144" t="s">
        <v>2468</v>
      </c>
      <c r="Q837" s="147">
        <v>45901</v>
      </c>
      <c r="R837" s="146">
        <v>2044</v>
      </c>
      <c r="S837" s="157"/>
      <c r="T837" s="144" t="s">
        <v>25</v>
      </c>
      <c r="U837" s="150" t="s">
        <v>20</v>
      </c>
      <c r="V837" s="146">
        <v>2256</v>
      </c>
      <c r="W837" s="148" t="s">
        <v>3941</v>
      </c>
      <c r="X837" s="149">
        <v>45901</v>
      </c>
      <c r="Y837" s="165" t="s">
        <v>2712</v>
      </c>
    </row>
    <row r="838" spans="1:25">
      <c r="A838" s="163" t="s">
        <v>380</v>
      </c>
      <c r="B838" s="144" t="s">
        <v>163</v>
      </c>
      <c r="C838" s="164" t="s">
        <v>1126</v>
      </c>
      <c r="D838" s="144" t="s">
        <v>1127</v>
      </c>
      <c r="E838" s="150" t="s">
        <v>2491</v>
      </c>
      <c r="F838" s="144" t="s">
        <v>2477</v>
      </c>
      <c r="G838" s="166" t="s">
        <v>3942</v>
      </c>
      <c r="H838" s="151">
        <v>11</v>
      </c>
      <c r="I838" s="160"/>
      <c r="J838" s="159">
        <v>2.73</v>
      </c>
      <c r="K838" s="161"/>
      <c r="L838" s="159">
        <v>29.99</v>
      </c>
      <c r="M838" s="160">
        <v>29.99</v>
      </c>
      <c r="N838" s="145"/>
      <c r="O838" s="156" t="s">
        <v>164</v>
      </c>
      <c r="P838" s="144" t="s">
        <v>2478</v>
      </c>
      <c r="Q838" s="147">
        <v>45627</v>
      </c>
      <c r="R838" s="146">
        <v>2058</v>
      </c>
      <c r="S838" s="157"/>
      <c r="T838" s="144" t="s">
        <v>25</v>
      </c>
      <c r="U838" s="150" t="s">
        <v>2479</v>
      </c>
      <c r="V838" s="146">
        <v>2410</v>
      </c>
      <c r="W838" s="148"/>
      <c r="X838" s="149">
        <v>45901</v>
      </c>
      <c r="Y838" s="165" t="s">
        <v>2712</v>
      </c>
    </row>
    <row r="839" spans="1:25">
      <c r="A839" s="163" t="s">
        <v>423</v>
      </c>
      <c r="B839" s="144" t="s">
        <v>2463</v>
      </c>
      <c r="C839" s="164" t="s">
        <v>3943</v>
      </c>
      <c r="D839" s="144" t="s">
        <v>3944</v>
      </c>
      <c r="E839" s="150" t="s">
        <v>2476</v>
      </c>
      <c r="F839" s="144" t="s">
        <v>2477</v>
      </c>
      <c r="G839" s="166"/>
      <c r="H839" s="151">
        <v>1</v>
      </c>
      <c r="I839" s="160">
        <v>350</v>
      </c>
      <c r="J839" s="159">
        <v>350</v>
      </c>
      <c r="K839" s="161">
        <v>350</v>
      </c>
      <c r="L839" s="159">
        <v>350</v>
      </c>
      <c r="M839" s="160">
        <v>350</v>
      </c>
      <c r="N839" s="145"/>
      <c r="O839" s="156" t="s">
        <v>135</v>
      </c>
      <c r="P839" s="144" t="s">
        <v>2478</v>
      </c>
      <c r="Q839" s="147"/>
      <c r="R839" s="146"/>
      <c r="S839" s="157"/>
      <c r="T839" s="144" t="s">
        <v>29</v>
      </c>
      <c r="U839" s="150" t="s">
        <v>2479</v>
      </c>
      <c r="V839" s="146">
        <v>2360</v>
      </c>
      <c r="W839" s="148" t="s">
        <v>3945</v>
      </c>
      <c r="X839" s="149">
        <v>45901</v>
      </c>
      <c r="Y839" s="165" t="s">
        <v>2632</v>
      </c>
    </row>
    <row r="840" spans="1:25">
      <c r="A840" s="163" t="s">
        <v>423</v>
      </c>
      <c r="B840" s="144" t="s">
        <v>2463</v>
      </c>
      <c r="C840" s="164" t="s">
        <v>3946</v>
      </c>
      <c r="D840" s="144" t="s">
        <v>3944</v>
      </c>
      <c r="E840" s="150" t="s">
        <v>2466</v>
      </c>
      <c r="F840" s="144" t="s">
        <v>2467</v>
      </c>
      <c r="G840" s="166"/>
      <c r="H840" s="151">
        <v>1</v>
      </c>
      <c r="I840" s="160"/>
      <c r="J840" s="159"/>
      <c r="K840" s="161"/>
      <c r="L840" s="159"/>
      <c r="M840" s="160" t="s">
        <v>3040</v>
      </c>
      <c r="N840" s="145">
        <v>0</v>
      </c>
      <c r="O840" s="156" t="s">
        <v>135</v>
      </c>
      <c r="P840" s="144" t="s">
        <v>2468</v>
      </c>
      <c r="Q840" s="147"/>
      <c r="R840" s="146"/>
      <c r="S840" s="157"/>
      <c r="T840" s="144" t="s">
        <v>29</v>
      </c>
      <c r="U840" s="150" t="s">
        <v>20</v>
      </c>
      <c r="V840" s="146">
        <v>2359</v>
      </c>
      <c r="W840" s="148" t="s">
        <v>3945</v>
      </c>
      <c r="X840" s="149">
        <v>45901</v>
      </c>
      <c r="Y840" s="165" t="s">
        <v>2632</v>
      </c>
    </row>
    <row r="841" spans="1:25">
      <c r="A841" s="163" t="s">
        <v>309</v>
      </c>
      <c r="B841" s="144" t="s">
        <v>2463</v>
      </c>
      <c r="C841" s="164" t="s">
        <v>3947</v>
      </c>
      <c r="D841" s="144" t="s">
        <v>3948</v>
      </c>
      <c r="E841" s="150" t="s">
        <v>2491</v>
      </c>
      <c r="F841" s="144" t="s">
        <v>2477</v>
      </c>
      <c r="G841" s="166"/>
      <c r="H841" s="151">
        <v>1</v>
      </c>
      <c r="I841" s="160"/>
      <c r="J841" s="159">
        <v>160</v>
      </c>
      <c r="K841" s="161"/>
      <c r="L841" s="159">
        <v>160</v>
      </c>
      <c r="M841" s="160">
        <v>160</v>
      </c>
      <c r="N841" s="145"/>
      <c r="O841" s="156" t="s">
        <v>135</v>
      </c>
      <c r="P841" s="144" t="s">
        <v>2478</v>
      </c>
      <c r="Q841" s="147"/>
      <c r="R841" s="146"/>
      <c r="S841" s="157"/>
      <c r="T841" s="144" t="s">
        <v>29</v>
      </c>
      <c r="U841" s="150" t="s">
        <v>2479</v>
      </c>
      <c r="V841" s="146">
        <v>1914</v>
      </c>
      <c r="W841" s="148"/>
      <c r="X841" s="149">
        <v>45901</v>
      </c>
      <c r="Y841" s="165" t="s">
        <v>2538</v>
      </c>
    </row>
    <row r="842" spans="1:25">
      <c r="A842" s="163" t="s">
        <v>380</v>
      </c>
      <c r="B842" s="144" t="s">
        <v>2463</v>
      </c>
      <c r="C842" s="164" t="s">
        <v>3949</v>
      </c>
      <c r="D842" s="144" t="s">
        <v>3950</v>
      </c>
      <c r="E842" s="150" t="s">
        <v>2466</v>
      </c>
      <c r="F842" s="144" t="s">
        <v>2467</v>
      </c>
      <c r="G842" s="166"/>
      <c r="H842" s="151">
        <v>1</v>
      </c>
      <c r="I842" s="160"/>
      <c r="J842" s="159">
        <v>400</v>
      </c>
      <c r="K842" s="161"/>
      <c r="L842" s="159">
        <v>400</v>
      </c>
      <c r="M842" s="160">
        <v>400</v>
      </c>
      <c r="N842" s="145">
        <v>1600</v>
      </c>
      <c r="O842" s="156" t="s">
        <v>135</v>
      </c>
      <c r="P842" s="144" t="s">
        <v>2468</v>
      </c>
      <c r="Q842" s="147"/>
      <c r="R842" s="146"/>
      <c r="S842" s="157"/>
      <c r="T842" s="144" t="s">
        <v>29</v>
      </c>
      <c r="U842" s="150" t="s">
        <v>20</v>
      </c>
      <c r="V842" s="146">
        <v>2947</v>
      </c>
      <c r="W842" s="148" t="s">
        <v>3951</v>
      </c>
      <c r="X842" s="149"/>
      <c r="Y842" s="165" t="s">
        <v>3069</v>
      </c>
    </row>
    <row r="843" spans="1:25">
      <c r="A843" s="163" t="s">
        <v>380</v>
      </c>
      <c r="B843" s="144" t="s">
        <v>2463</v>
      </c>
      <c r="C843" s="164" t="s">
        <v>3952</v>
      </c>
      <c r="D843" s="144" t="s">
        <v>2561</v>
      </c>
      <c r="E843" s="150" t="s">
        <v>2466</v>
      </c>
      <c r="F843" s="144" t="s">
        <v>2467</v>
      </c>
      <c r="G843" s="166"/>
      <c r="H843" s="151">
        <v>1</v>
      </c>
      <c r="I843" s="160">
        <v>400</v>
      </c>
      <c r="J843" s="159">
        <v>400</v>
      </c>
      <c r="K843" s="161">
        <v>400</v>
      </c>
      <c r="L843" s="159">
        <v>400</v>
      </c>
      <c r="M843" s="160">
        <v>400</v>
      </c>
      <c r="N843" s="145">
        <v>0</v>
      </c>
      <c r="O843" s="156" t="s">
        <v>135</v>
      </c>
      <c r="P843" s="144" t="s">
        <v>2468</v>
      </c>
      <c r="Q843" s="147"/>
      <c r="R843" s="146"/>
      <c r="S843" s="157"/>
      <c r="T843" s="144" t="s">
        <v>29</v>
      </c>
      <c r="U843" s="150" t="s">
        <v>20</v>
      </c>
      <c r="V843" s="146">
        <v>3059</v>
      </c>
      <c r="W843" s="148" t="s">
        <v>3953</v>
      </c>
      <c r="X843" s="149">
        <v>45901</v>
      </c>
      <c r="Y843" s="165" t="s">
        <v>2496</v>
      </c>
    </row>
    <row r="844" spans="1:25">
      <c r="A844" s="163" t="s">
        <v>380</v>
      </c>
      <c r="B844" s="144" t="s">
        <v>2463</v>
      </c>
      <c r="C844" s="164" t="s">
        <v>3954</v>
      </c>
      <c r="D844" s="144" t="s">
        <v>3955</v>
      </c>
      <c r="E844" s="150" t="s">
        <v>2491</v>
      </c>
      <c r="F844" s="144" t="s">
        <v>2477</v>
      </c>
      <c r="G844" s="166"/>
      <c r="H844" s="151">
        <v>1</v>
      </c>
      <c r="I844" s="160"/>
      <c r="J844" s="159">
        <v>125</v>
      </c>
      <c r="K844" s="161"/>
      <c r="L844" s="159">
        <v>125</v>
      </c>
      <c r="M844" s="160">
        <v>125</v>
      </c>
      <c r="N844" s="145"/>
      <c r="O844" s="156" t="s">
        <v>135</v>
      </c>
      <c r="P844" s="144" t="s">
        <v>2478</v>
      </c>
      <c r="Q844" s="147"/>
      <c r="R844" s="146"/>
      <c r="S844" s="157"/>
      <c r="T844" s="144" t="s">
        <v>29</v>
      </c>
      <c r="U844" s="150" t="s">
        <v>2479</v>
      </c>
      <c r="V844" s="146">
        <v>2746</v>
      </c>
      <c r="W844" s="148" t="s">
        <v>3956</v>
      </c>
      <c r="X844" s="149"/>
      <c r="Y844" s="165" t="s">
        <v>3957</v>
      </c>
    </row>
    <row r="845" spans="1:25">
      <c r="A845" s="163" t="s">
        <v>380</v>
      </c>
      <c r="B845" s="144" t="s">
        <v>2463</v>
      </c>
      <c r="C845" s="164" t="s">
        <v>3954</v>
      </c>
      <c r="D845" s="144" t="s">
        <v>3955</v>
      </c>
      <c r="E845" s="150" t="s">
        <v>2466</v>
      </c>
      <c r="F845" s="144" t="s">
        <v>2467</v>
      </c>
      <c r="G845" s="166"/>
      <c r="H845" s="151">
        <v>1</v>
      </c>
      <c r="I845" s="160"/>
      <c r="J845" s="159">
        <v>375</v>
      </c>
      <c r="K845" s="161"/>
      <c r="L845" s="159">
        <v>375</v>
      </c>
      <c r="M845" s="160">
        <v>375</v>
      </c>
      <c r="N845" s="145">
        <v>375</v>
      </c>
      <c r="O845" s="156" t="s">
        <v>135</v>
      </c>
      <c r="P845" s="144" t="s">
        <v>2468</v>
      </c>
      <c r="Q845" s="147"/>
      <c r="R845" s="146"/>
      <c r="S845" s="157"/>
      <c r="T845" s="144" t="s">
        <v>29</v>
      </c>
      <c r="U845" s="150" t="s">
        <v>20</v>
      </c>
      <c r="V845" s="146">
        <v>2746</v>
      </c>
      <c r="W845" s="148" t="s">
        <v>3956</v>
      </c>
      <c r="X845" s="149"/>
      <c r="Y845" s="165" t="s">
        <v>3957</v>
      </c>
    </row>
    <row r="846" spans="1:25">
      <c r="A846" s="163" t="s">
        <v>309</v>
      </c>
      <c r="B846" s="144" t="s">
        <v>2463</v>
      </c>
      <c r="C846" s="164" t="s">
        <v>3958</v>
      </c>
      <c r="D846" s="144" t="s">
        <v>3959</v>
      </c>
      <c r="E846" s="150" t="s">
        <v>2485</v>
      </c>
      <c r="F846" s="144" t="s">
        <v>2486</v>
      </c>
      <c r="G846" s="166"/>
      <c r="H846" s="151">
        <v>1</v>
      </c>
      <c r="I846" s="160">
        <v>950</v>
      </c>
      <c r="J846" s="159">
        <v>950</v>
      </c>
      <c r="K846" s="161">
        <v>950</v>
      </c>
      <c r="L846" s="159">
        <v>950</v>
      </c>
      <c r="M846" s="160">
        <v>950</v>
      </c>
      <c r="N846" s="145"/>
      <c r="O846" s="156" t="s">
        <v>135</v>
      </c>
      <c r="P846" s="144" t="s">
        <v>2478</v>
      </c>
      <c r="Q846" s="147"/>
      <c r="R846" s="146"/>
      <c r="S846" s="157"/>
      <c r="T846" s="144" t="s">
        <v>29</v>
      </c>
      <c r="U846" s="150" t="s">
        <v>17</v>
      </c>
      <c r="V846" s="146">
        <v>2826</v>
      </c>
      <c r="W846" s="148" t="s">
        <v>3960</v>
      </c>
      <c r="X846" s="149">
        <v>45901</v>
      </c>
      <c r="Y846" s="165" t="s">
        <v>3003</v>
      </c>
    </row>
    <row r="847" spans="1:25">
      <c r="A847" s="163" t="s">
        <v>423</v>
      </c>
      <c r="B847" s="144" t="s">
        <v>163</v>
      </c>
      <c r="C847" s="164" t="s">
        <v>3961</v>
      </c>
      <c r="D847" s="144" t="s">
        <v>3962</v>
      </c>
      <c r="E847" s="150" t="s">
        <v>2485</v>
      </c>
      <c r="F847" s="144" t="s">
        <v>2486</v>
      </c>
      <c r="G847" s="166" t="s">
        <v>3963</v>
      </c>
      <c r="H847" s="151">
        <v>2</v>
      </c>
      <c r="I847" s="160">
        <v>3.45</v>
      </c>
      <c r="J847" s="159">
        <v>3.45</v>
      </c>
      <c r="K847" s="161">
        <v>6.9</v>
      </c>
      <c r="L847" s="159">
        <v>6.9</v>
      </c>
      <c r="M847" s="160">
        <v>6.9</v>
      </c>
      <c r="N847" s="145"/>
      <c r="O847" s="156" t="s">
        <v>166</v>
      </c>
      <c r="P847" s="144" t="s">
        <v>2480</v>
      </c>
      <c r="Q847" s="147"/>
      <c r="R847" s="146">
        <v>2043</v>
      </c>
      <c r="S847" s="157"/>
      <c r="T847" s="144" t="s">
        <v>25</v>
      </c>
      <c r="U847" s="150" t="s">
        <v>17</v>
      </c>
      <c r="V847" s="146">
        <v>1468</v>
      </c>
      <c r="W847" s="148"/>
      <c r="X847" s="149">
        <v>45566</v>
      </c>
      <c r="Y847" s="165" t="s">
        <v>2787</v>
      </c>
    </row>
    <row r="848" spans="1:25">
      <c r="A848" s="163" t="s">
        <v>7</v>
      </c>
      <c r="B848" s="144" t="s">
        <v>2463</v>
      </c>
      <c r="C848" s="164" t="s">
        <v>613</v>
      </c>
      <c r="D848" s="144" t="s">
        <v>614</v>
      </c>
      <c r="E848" s="150" t="s">
        <v>2926</v>
      </c>
      <c r="F848" s="144" t="s">
        <v>2556</v>
      </c>
      <c r="G848" s="166"/>
      <c r="H848" s="151">
        <v>1</v>
      </c>
      <c r="I848" s="160"/>
      <c r="J848" s="159">
        <v>800</v>
      </c>
      <c r="K848" s="161"/>
      <c r="L848" s="159">
        <v>800</v>
      </c>
      <c r="M848" s="160">
        <v>800</v>
      </c>
      <c r="N848" s="145"/>
      <c r="O848" s="156" t="s">
        <v>135</v>
      </c>
      <c r="P848" s="144" t="s">
        <v>2468</v>
      </c>
      <c r="Q848" s="147"/>
      <c r="R848" s="146"/>
      <c r="S848" s="157"/>
      <c r="T848" s="144" t="s">
        <v>29</v>
      </c>
      <c r="U848" s="150" t="s">
        <v>15</v>
      </c>
      <c r="V848" s="146">
        <v>1132</v>
      </c>
      <c r="W848" s="148"/>
      <c r="X848" s="149">
        <v>45689</v>
      </c>
      <c r="Y848" s="165" t="s">
        <v>2500</v>
      </c>
    </row>
    <row r="849" spans="1:25">
      <c r="A849" s="163" t="s">
        <v>7</v>
      </c>
      <c r="B849" s="144" t="s">
        <v>2463</v>
      </c>
      <c r="C849" s="164" t="s">
        <v>3964</v>
      </c>
      <c r="D849" s="144" t="s">
        <v>1100</v>
      </c>
      <c r="E849" s="150" t="s">
        <v>2466</v>
      </c>
      <c r="F849" s="144" t="s">
        <v>2467</v>
      </c>
      <c r="G849" s="166"/>
      <c r="H849" s="151">
        <v>56</v>
      </c>
      <c r="I849" s="160">
        <v>0</v>
      </c>
      <c r="J849" s="159">
        <v>1.5</v>
      </c>
      <c r="K849" s="161">
        <v>0</v>
      </c>
      <c r="L849" s="159">
        <v>84</v>
      </c>
      <c r="M849" s="160">
        <v>84</v>
      </c>
      <c r="N849" s="145">
        <v>162</v>
      </c>
      <c r="O849" s="156" t="s">
        <v>135</v>
      </c>
      <c r="P849" s="144" t="s">
        <v>2468</v>
      </c>
      <c r="Q849" s="147"/>
      <c r="R849" s="146"/>
      <c r="S849" s="157"/>
      <c r="T849" s="144" t="s">
        <v>29</v>
      </c>
      <c r="U849" s="150" t="s">
        <v>20</v>
      </c>
      <c r="V849" s="146">
        <v>3022</v>
      </c>
      <c r="W849" s="148"/>
      <c r="X849" s="149">
        <v>45778</v>
      </c>
      <c r="Y849" s="165"/>
    </row>
    <row r="850" spans="1:25">
      <c r="A850" s="163" t="s">
        <v>7</v>
      </c>
      <c r="B850" s="144" t="s">
        <v>2463</v>
      </c>
      <c r="C850" s="164" t="s">
        <v>3965</v>
      </c>
      <c r="D850" s="144" t="s">
        <v>3966</v>
      </c>
      <c r="E850" s="150" t="s">
        <v>3967</v>
      </c>
      <c r="F850" s="144" t="s">
        <v>2477</v>
      </c>
      <c r="G850" s="166"/>
      <c r="H850" s="151">
        <v>56</v>
      </c>
      <c r="I850" s="160">
        <v>3.4</v>
      </c>
      <c r="J850" s="159">
        <v>3.7</v>
      </c>
      <c r="K850" s="161">
        <v>190.4</v>
      </c>
      <c r="L850" s="159">
        <v>207.2</v>
      </c>
      <c r="M850" s="160" t="s">
        <v>3968</v>
      </c>
      <c r="N850" s="145"/>
      <c r="O850" s="156" t="s">
        <v>135</v>
      </c>
      <c r="P850" s="144" t="s">
        <v>2478</v>
      </c>
      <c r="Q850" s="147">
        <v>45992</v>
      </c>
      <c r="R850" s="146"/>
      <c r="S850" s="157"/>
      <c r="T850" s="144" t="s">
        <v>29</v>
      </c>
      <c r="U850" s="150" t="s">
        <v>2479</v>
      </c>
      <c r="V850" s="146">
        <v>2690</v>
      </c>
      <c r="W850" s="148"/>
      <c r="X850" s="149">
        <v>45778</v>
      </c>
      <c r="Y850" s="165" t="s">
        <v>2474</v>
      </c>
    </row>
    <row r="851" spans="1:25">
      <c r="A851" s="163" t="s">
        <v>309</v>
      </c>
      <c r="B851" s="144" t="s">
        <v>163</v>
      </c>
      <c r="C851" s="164" t="s">
        <v>1619</v>
      </c>
      <c r="D851" s="144" t="s">
        <v>1620</v>
      </c>
      <c r="E851" s="150" t="s">
        <v>2491</v>
      </c>
      <c r="F851" s="144" t="s">
        <v>2477</v>
      </c>
      <c r="G851" s="166" t="s">
        <v>1621</v>
      </c>
      <c r="H851" s="151">
        <v>1</v>
      </c>
      <c r="I851" s="160">
        <v>34.5</v>
      </c>
      <c r="J851" s="159">
        <v>34.5</v>
      </c>
      <c r="K851" s="161">
        <v>34.5</v>
      </c>
      <c r="L851" s="159">
        <v>34.5</v>
      </c>
      <c r="M851" s="160">
        <v>34.5</v>
      </c>
      <c r="N851" s="145"/>
      <c r="O851" s="156" t="s">
        <v>166</v>
      </c>
      <c r="P851" s="144" t="s">
        <v>2478</v>
      </c>
      <c r="Q851" s="147">
        <v>44256</v>
      </c>
      <c r="R851" s="146">
        <v>2048</v>
      </c>
      <c r="S851" s="157"/>
      <c r="T851" s="144" t="s">
        <v>25</v>
      </c>
      <c r="U851" s="150" t="s">
        <v>2479</v>
      </c>
      <c r="V851" s="146">
        <v>1689</v>
      </c>
      <c r="W851" s="148"/>
      <c r="X851" s="149">
        <v>45778</v>
      </c>
      <c r="Y851" s="165" t="s">
        <v>2538</v>
      </c>
    </row>
    <row r="852" spans="1:25">
      <c r="A852" s="163" t="s">
        <v>423</v>
      </c>
      <c r="B852" s="144" t="s">
        <v>2463</v>
      </c>
      <c r="C852" s="164" t="s">
        <v>3969</v>
      </c>
      <c r="D852" s="144" t="s">
        <v>3970</v>
      </c>
      <c r="E852" s="150" t="s">
        <v>2918</v>
      </c>
      <c r="F852" s="144" t="s">
        <v>3971</v>
      </c>
      <c r="G852" s="166"/>
      <c r="H852" s="151">
        <v>1</v>
      </c>
      <c r="I852" s="160">
        <v>70</v>
      </c>
      <c r="J852" s="159">
        <v>70</v>
      </c>
      <c r="K852" s="161">
        <v>70</v>
      </c>
      <c r="L852" s="159">
        <v>70</v>
      </c>
      <c r="M852" s="160">
        <v>70</v>
      </c>
      <c r="N852" s="145"/>
      <c r="O852" s="156" t="s">
        <v>135</v>
      </c>
      <c r="P852" s="144" t="s">
        <v>2480</v>
      </c>
      <c r="Q852" s="147"/>
      <c r="R852" s="146"/>
      <c r="S852" s="157"/>
      <c r="T852" s="144" t="s">
        <v>29</v>
      </c>
      <c r="U852" s="150"/>
      <c r="V852" s="146">
        <v>3027</v>
      </c>
      <c r="W852" s="148"/>
      <c r="X852" s="149">
        <v>45778</v>
      </c>
      <c r="Y852" s="165"/>
    </row>
    <row r="853" spans="1:25">
      <c r="A853" s="163" t="s">
        <v>7</v>
      </c>
      <c r="B853" s="144" t="s">
        <v>2463</v>
      </c>
      <c r="C853" s="164" t="s">
        <v>1038</v>
      </c>
      <c r="D853" s="144" t="s">
        <v>3972</v>
      </c>
      <c r="E853" s="150" t="s">
        <v>2491</v>
      </c>
      <c r="F853" s="144" t="s">
        <v>2477</v>
      </c>
      <c r="G853" s="166"/>
      <c r="H853" s="151">
        <v>61</v>
      </c>
      <c r="I853" s="160">
        <v>0</v>
      </c>
      <c r="J853" s="159">
        <v>2.82</v>
      </c>
      <c r="K853" s="161">
        <v>0</v>
      </c>
      <c r="L853" s="159">
        <v>172.02</v>
      </c>
      <c r="M853" s="160">
        <v>172.02</v>
      </c>
      <c r="N853" s="145"/>
      <c r="O853" s="156" t="s">
        <v>28</v>
      </c>
      <c r="P853" s="144" t="s">
        <v>2478</v>
      </c>
      <c r="Q853" s="147">
        <v>46419</v>
      </c>
      <c r="R853" s="146">
        <v>2062</v>
      </c>
      <c r="S853" s="157"/>
      <c r="T853" s="144" t="s">
        <v>28</v>
      </c>
      <c r="U853" s="150" t="s">
        <v>2479</v>
      </c>
      <c r="V853" s="146">
        <v>1595</v>
      </c>
      <c r="W853" s="148"/>
      <c r="X853" s="149">
        <v>45901</v>
      </c>
      <c r="Y853" s="165" t="s">
        <v>3973</v>
      </c>
    </row>
    <row r="854" spans="1:25">
      <c r="A854" s="163" t="s">
        <v>7</v>
      </c>
      <c r="B854" s="144" t="s">
        <v>2463</v>
      </c>
      <c r="C854" s="164" t="s">
        <v>1038</v>
      </c>
      <c r="D854" s="144" t="s">
        <v>3972</v>
      </c>
      <c r="E854" s="150" t="s">
        <v>2466</v>
      </c>
      <c r="F854" s="144" t="s">
        <v>2467</v>
      </c>
      <c r="G854" s="166"/>
      <c r="H854" s="151">
        <v>61</v>
      </c>
      <c r="I854" s="160"/>
      <c r="J854" s="159">
        <v>2.82</v>
      </c>
      <c r="K854" s="161"/>
      <c r="L854" s="159">
        <v>172.02</v>
      </c>
      <c r="M854" s="160">
        <v>172.02</v>
      </c>
      <c r="N854" s="145">
        <v>408</v>
      </c>
      <c r="O854" s="156" t="s">
        <v>28</v>
      </c>
      <c r="P854" s="144" t="s">
        <v>2468</v>
      </c>
      <c r="Q854" s="147">
        <v>46419</v>
      </c>
      <c r="R854" s="146">
        <v>2062</v>
      </c>
      <c r="S854" s="157"/>
      <c r="T854" s="144" t="s">
        <v>28</v>
      </c>
      <c r="U854" s="150" t="s">
        <v>20</v>
      </c>
      <c r="V854" s="146">
        <v>1595</v>
      </c>
      <c r="W854" s="148"/>
      <c r="X854" s="149">
        <v>45901</v>
      </c>
      <c r="Y854" s="165" t="s">
        <v>3973</v>
      </c>
    </row>
    <row r="855" spans="1:25">
      <c r="A855" s="163" t="s">
        <v>7</v>
      </c>
      <c r="B855" s="144" t="s">
        <v>2463</v>
      </c>
      <c r="C855" s="164" t="s">
        <v>3974</v>
      </c>
      <c r="D855" s="144" t="s">
        <v>738</v>
      </c>
      <c r="E855" s="150" t="s">
        <v>2466</v>
      </c>
      <c r="F855" s="144" t="s">
        <v>2467</v>
      </c>
      <c r="G855" s="166"/>
      <c r="H855" s="151">
        <v>18</v>
      </c>
      <c r="I855" s="160">
        <v>4</v>
      </c>
      <c r="J855" s="159">
        <v>4.5</v>
      </c>
      <c r="K855" s="161">
        <v>72</v>
      </c>
      <c r="L855" s="159">
        <v>81</v>
      </c>
      <c r="M855" s="160" t="s">
        <v>3975</v>
      </c>
      <c r="N855" s="145">
        <v>80</v>
      </c>
      <c r="O855" s="156" t="s">
        <v>135</v>
      </c>
      <c r="P855" s="144" t="s">
        <v>2468</v>
      </c>
      <c r="Q855" s="147"/>
      <c r="R855" s="146"/>
      <c r="S855" s="157"/>
      <c r="T855" s="144" t="s">
        <v>29</v>
      </c>
      <c r="U855" s="150" t="s">
        <v>20</v>
      </c>
      <c r="V855" s="146">
        <v>2531</v>
      </c>
      <c r="W855" s="148" t="s">
        <v>3976</v>
      </c>
      <c r="X855" s="149">
        <v>45689</v>
      </c>
      <c r="Y855" s="165" t="s">
        <v>2520</v>
      </c>
    </row>
    <row r="856" spans="1:25">
      <c r="A856" s="163" t="s">
        <v>7</v>
      </c>
      <c r="B856" s="144" t="s">
        <v>2463</v>
      </c>
      <c r="C856" s="164" t="s">
        <v>3977</v>
      </c>
      <c r="D856" s="144" t="s">
        <v>738</v>
      </c>
      <c r="E856" s="150" t="s">
        <v>2476</v>
      </c>
      <c r="F856" s="144" t="s">
        <v>2477</v>
      </c>
      <c r="G856" s="166"/>
      <c r="H856" s="151">
        <v>14</v>
      </c>
      <c r="I856" s="160">
        <v>3.43</v>
      </c>
      <c r="J856" s="159">
        <v>4.5</v>
      </c>
      <c r="K856" s="161">
        <v>48.02</v>
      </c>
      <c r="L856" s="159">
        <v>63</v>
      </c>
      <c r="M856" s="160" t="s">
        <v>3978</v>
      </c>
      <c r="N856" s="145"/>
      <c r="O856" s="156" t="s">
        <v>135</v>
      </c>
      <c r="P856" s="144" t="s">
        <v>2478</v>
      </c>
      <c r="Q856" s="147"/>
      <c r="R856" s="146"/>
      <c r="S856" s="157"/>
      <c r="T856" s="144" t="s">
        <v>29</v>
      </c>
      <c r="U856" s="150" t="s">
        <v>2479</v>
      </c>
      <c r="V856" s="146">
        <v>2530</v>
      </c>
      <c r="W856" s="148" t="s">
        <v>3976</v>
      </c>
      <c r="X856" s="149">
        <v>45689</v>
      </c>
      <c r="Y856" s="165" t="s">
        <v>2520</v>
      </c>
    </row>
    <row r="857" spans="1:25">
      <c r="A857" s="163" t="s">
        <v>7</v>
      </c>
      <c r="B857" s="144" t="s">
        <v>2463</v>
      </c>
      <c r="C857" s="164" t="s">
        <v>3979</v>
      </c>
      <c r="D857" s="144" t="s">
        <v>3980</v>
      </c>
      <c r="E857" s="150" t="s">
        <v>2491</v>
      </c>
      <c r="F857" s="144" t="s">
        <v>2477</v>
      </c>
      <c r="G857" s="166"/>
      <c r="H857" s="151">
        <v>60</v>
      </c>
      <c r="I857" s="160">
        <v>3.78</v>
      </c>
      <c r="J857" s="159">
        <v>4.2</v>
      </c>
      <c r="K857" s="161">
        <v>226.8</v>
      </c>
      <c r="L857" s="159">
        <v>252</v>
      </c>
      <c r="M857" s="160" t="s">
        <v>3981</v>
      </c>
      <c r="N857" s="145"/>
      <c r="O857" s="156" t="s">
        <v>135</v>
      </c>
      <c r="P857" s="144" t="s">
        <v>2478</v>
      </c>
      <c r="Q857" s="147"/>
      <c r="R857" s="146"/>
      <c r="S857" s="157"/>
      <c r="T857" s="144" t="s">
        <v>29</v>
      </c>
      <c r="U857" s="150" t="s">
        <v>2479</v>
      </c>
      <c r="V857" s="146">
        <v>3082</v>
      </c>
      <c r="W857" s="148"/>
      <c r="X857" s="149">
        <v>45901</v>
      </c>
      <c r="Y857" s="165" t="s">
        <v>3982</v>
      </c>
    </row>
    <row r="858" spans="1:25">
      <c r="A858" s="163" t="s">
        <v>7</v>
      </c>
      <c r="B858" s="144" t="s">
        <v>2463</v>
      </c>
      <c r="C858" s="164" t="s">
        <v>3979</v>
      </c>
      <c r="D858" s="144" t="s">
        <v>3980</v>
      </c>
      <c r="E858" s="150" t="s">
        <v>2466</v>
      </c>
      <c r="F858" s="144" t="s">
        <v>2477</v>
      </c>
      <c r="G858" s="166"/>
      <c r="H858" s="151">
        <v>1</v>
      </c>
      <c r="I858" s="160">
        <v>138</v>
      </c>
      <c r="J858" s="159">
        <v>138</v>
      </c>
      <c r="K858" s="161">
        <v>138</v>
      </c>
      <c r="L858" s="159">
        <v>138</v>
      </c>
      <c r="M858" s="160">
        <v>138</v>
      </c>
      <c r="N858" s="145">
        <v>0</v>
      </c>
      <c r="O858" s="156" t="s">
        <v>135</v>
      </c>
      <c r="P858" s="144" t="s">
        <v>2468</v>
      </c>
      <c r="Q858" s="147"/>
      <c r="R858" s="146"/>
      <c r="S858" s="157"/>
      <c r="T858" s="144" t="s">
        <v>29</v>
      </c>
      <c r="U858" s="150" t="s">
        <v>20</v>
      </c>
      <c r="V858" s="146">
        <v>3082</v>
      </c>
      <c r="W858" s="148"/>
      <c r="X858" s="149">
        <v>45901</v>
      </c>
      <c r="Y858" s="165" t="s">
        <v>3982</v>
      </c>
    </row>
    <row r="859" spans="1:25">
      <c r="A859" s="163" t="s">
        <v>7</v>
      </c>
      <c r="B859" s="144" t="s">
        <v>2463</v>
      </c>
      <c r="C859" s="164" t="s">
        <v>3983</v>
      </c>
      <c r="D859" s="144" t="s">
        <v>3984</v>
      </c>
      <c r="E859" s="150" t="s">
        <v>2491</v>
      </c>
      <c r="F859" s="144" t="s">
        <v>2477</v>
      </c>
      <c r="G859" s="166"/>
      <c r="H859" s="151">
        <v>1</v>
      </c>
      <c r="I859" s="160">
        <v>300</v>
      </c>
      <c r="J859" s="159">
        <v>300</v>
      </c>
      <c r="K859" s="161">
        <v>300</v>
      </c>
      <c r="L859" s="159">
        <v>300</v>
      </c>
      <c r="M859" s="160">
        <v>300</v>
      </c>
      <c r="N859" s="145"/>
      <c r="O859" s="156" t="s">
        <v>135</v>
      </c>
      <c r="P859" s="144" t="s">
        <v>2478</v>
      </c>
      <c r="Q859" s="147"/>
      <c r="R859" s="146"/>
      <c r="S859" s="157"/>
      <c r="T859" s="144" t="s">
        <v>29</v>
      </c>
      <c r="U859" s="150" t="s">
        <v>2479</v>
      </c>
      <c r="V859" s="146">
        <v>2368</v>
      </c>
      <c r="W859" s="148" t="s">
        <v>3985</v>
      </c>
      <c r="X859" s="149">
        <v>45689</v>
      </c>
      <c r="Y859" s="165" t="s">
        <v>2474</v>
      </c>
    </row>
    <row r="860" spans="1:25">
      <c r="A860" s="163" t="s">
        <v>7</v>
      </c>
      <c r="B860" s="144" t="s">
        <v>2463</v>
      </c>
      <c r="C860" s="164" t="s">
        <v>3986</v>
      </c>
      <c r="D860" s="144" t="s">
        <v>3987</v>
      </c>
      <c r="E860" s="150" t="s">
        <v>2466</v>
      </c>
      <c r="F860" s="144" t="s">
        <v>2467</v>
      </c>
      <c r="G860" s="166"/>
      <c r="H860" s="151">
        <v>1</v>
      </c>
      <c r="I860" s="160">
        <v>400</v>
      </c>
      <c r="J860" s="159">
        <v>400</v>
      </c>
      <c r="K860" s="161">
        <v>400</v>
      </c>
      <c r="L860" s="159">
        <v>400</v>
      </c>
      <c r="M860" s="160">
        <v>400</v>
      </c>
      <c r="N860" s="145">
        <v>800</v>
      </c>
      <c r="O860" s="156" t="s">
        <v>135</v>
      </c>
      <c r="P860" s="144" t="s">
        <v>2468</v>
      </c>
      <c r="Q860" s="147"/>
      <c r="R860" s="146"/>
      <c r="S860" s="157"/>
      <c r="T860" s="144" t="s">
        <v>29</v>
      </c>
      <c r="U860" s="150" t="s">
        <v>20</v>
      </c>
      <c r="V860" s="146">
        <v>3039</v>
      </c>
      <c r="W860" s="148"/>
      <c r="X860" s="149">
        <v>45901</v>
      </c>
      <c r="Y860" s="165" t="s">
        <v>2671</v>
      </c>
    </row>
    <row r="861" spans="1:25">
      <c r="A861" s="163" t="s">
        <v>7</v>
      </c>
      <c r="B861" s="144" t="s">
        <v>2463</v>
      </c>
      <c r="C861" s="164" t="s">
        <v>3988</v>
      </c>
      <c r="D861" s="144" t="s">
        <v>526</v>
      </c>
      <c r="E861" s="150" t="s">
        <v>2491</v>
      </c>
      <c r="F861" s="144" t="s">
        <v>2477</v>
      </c>
      <c r="G861" s="166"/>
      <c r="H861" s="151">
        <v>28</v>
      </c>
      <c r="I861" s="160">
        <v>4.4000000000000004</v>
      </c>
      <c r="J861" s="159">
        <v>4.4000000000000004</v>
      </c>
      <c r="K861" s="161">
        <v>123.2</v>
      </c>
      <c r="L861" s="159">
        <v>123.2</v>
      </c>
      <c r="M861" s="160">
        <v>123.2</v>
      </c>
      <c r="N861" s="145"/>
      <c r="O861" s="156" t="s">
        <v>135</v>
      </c>
      <c r="P861" s="144" t="s">
        <v>2478</v>
      </c>
      <c r="Q861" s="147"/>
      <c r="R861" s="146"/>
      <c r="S861" s="157"/>
      <c r="T861" s="144" t="s">
        <v>29</v>
      </c>
      <c r="U861" s="150" t="s">
        <v>2479</v>
      </c>
      <c r="V861" s="146">
        <v>2475</v>
      </c>
      <c r="W861" s="148" t="s">
        <v>3989</v>
      </c>
      <c r="X861" s="149">
        <v>45689</v>
      </c>
      <c r="Y861" s="165" t="s">
        <v>2975</v>
      </c>
    </row>
    <row r="862" spans="1:25">
      <c r="A862" s="163" t="s">
        <v>423</v>
      </c>
      <c r="B862" s="144" t="s">
        <v>2463</v>
      </c>
      <c r="C862" s="164" t="s">
        <v>3990</v>
      </c>
      <c r="D862" s="144" t="s">
        <v>3991</v>
      </c>
      <c r="E862" s="150" t="s">
        <v>2476</v>
      </c>
      <c r="F862" s="144" t="s">
        <v>2477</v>
      </c>
      <c r="G862" s="166"/>
      <c r="H862" s="151">
        <v>1</v>
      </c>
      <c r="I862" s="160">
        <v>180</v>
      </c>
      <c r="J862" s="159">
        <v>180</v>
      </c>
      <c r="K862" s="161">
        <v>180</v>
      </c>
      <c r="L862" s="159">
        <v>180</v>
      </c>
      <c r="M862" s="160">
        <v>180</v>
      </c>
      <c r="N862" s="145"/>
      <c r="O862" s="156" t="s">
        <v>135</v>
      </c>
      <c r="P862" s="144" t="s">
        <v>2478</v>
      </c>
      <c r="Q862" s="147"/>
      <c r="R862" s="146"/>
      <c r="S862" s="157"/>
      <c r="T862" s="144" t="s">
        <v>29</v>
      </c>
      <c r="U862" s="150" t="s">
        <v>2479</v>
      </c>
      <c r="V862" s="146">
        <v>2361</v>
      </c>
      <c r="W862" s="148" t="s">
        <v>3992</v>
      </c>
      <c r="X862" s="149">
        <v>45901</v>
      </c>
      <c r="Y862" s="165" t="s">
        <v>2632</v>
      </c>
    </row>
    <row r="863" spans="1:25">
      <c r="A863" s="163" t="s">
        <v>565</v>
      </c>
      <c r="B863" s="144" t="s">
        <v>163</v>
      </c>
      <c r="C863" s="164" t="s">
        <v>3993</v>
      </c>
      <c r="D863" s="144" t="s">
        <v>1137</v>
      </c>
      <c r="E863" s="150" t="s">
        <v>2593</v>
      </c>
      <c r="F863" s="144" t="s">
        <v>2482</v>
      </c>
      <c r="G863" s="166" t="s">
        <v>3994</v>
      </c>
      <c r="H863" s="151">
        <v>1</v>
      </c>
      <c r="I863" s="160">
        <v>40</v>
      </c>
      <c r="J863" s="159">
        <v>40</v>
      </c>
      <c r="K863" s="161">
        <v>40</v>
      </c>
      <c r="L863" s="159">
        <v>40</v>
      </c>
      <c r="M863" s="160">
        <v>40</v>
      </c>
      <c r="N863" s="145"/>
      <c r="O863" s="156" t="s">
        <v>166</v>
      </c>
      <c r="P863" s="144" t="s">
        <v>2468</v>
      </c>
      <c r="Q863" s="147"/>
      <c r="R863" s="146">
        <v>2100</v>
      </c>
      <c r="S863" s="157"/>
      <c r="T863" s="144" t="s">
        <v>25</v>
      </c>
      <c r="U863" s="150" t="s">
        <v>18</v>
      </c>
      <c r="V863" s="146">
        <v>1133</v>
      </c>
      <c r="W863" s="148"/>
      <c r="X863" s="149">
        <v>45689</v>
      </c>
      <c r="Y863" s="165" t="s">
        <v>2541</v>
      </c>
    </row>
    <row r="864" spans="1:25">
      <c r="A864" s="163" t="s">
        <v>423</v>
      </c>
      <c r="B864" s="144" t="s">
        <v>2463</v>
      </c>
      <c r="C864" s="164" t="s">
        <v>3995</v>
      </c>
      <c r="D864" s="144" t="s">
        <v>3996</v>
      </c>
      <c r="E864" s="150" t="s">
        <v>2466</v>
      </c>
      <c r="F864" s="144" t="s">
        <v>2486</v>
      </c>
      <c r="G864" s="166"/>
      <c r="H864" s="151">
        <v>1</v>
      </c>
      <c r="I864" s="160">
        <v>250</v>
      </c>
      <c r="J864" s="159">
        <v>250</v>
      </c>
      <c r="K864" s="161">
        <v>250</v>
      </c>
      <c r="L864" s="159">
        <v>250</v>
      </c>
      <c r="M864" s="160">
        <v>250</v>
      </c>
      <c r="N864" s="145">
        <v>1000</v>
      </c>
      <c r="O864" s="156" t="s">
        <v>135</v>
      </c>
      <c r="P864" s="144" t="s">
        <v>2468</v>
      </c>
      <c r="Q864" s="147"/>
      <c r="R864" s="146"/>
      <c r="S864" s="157"/>
      <c r="T864" s="144" t="s">
        <v>29</v>
      </c>
      <c r="U864" s="150" t="s">
        <v>20</v>
      </c>
      <c r="V864" s="146">
        <v>2878</v>
      </c>
      <c r="W864" s="148"/>
      <c r="X864" s="149">
        <v>45901</v>
      </c>
      <c r="Y864" s="165" t="s">
        <v>3997</v>
      </c>
    </row>
    <row r="865" spans="1:25">
      <c r="A865" s="163" t="s">
        <v>423</v>
      </c>
      <c r="B865" s="144" t="s">
        <v>2463</v>
      </c>
      <c r="C865" s="164" t="s">
        <v>3998</v>
      </c>
      <c r="D865" s="144" t="s">
        <v>3996</v>
      </c>
      <c r="E865" s="150" t="s">
        <v>2485</v>
      </c>
      <c r="F865" s="144" t="s">
        <v>2486</v>
      </c>
      <c r="G865" s="166"/>
      <c r="H865" s="151">
        <v>1</v>
      </c>
      <c r="I865" s="160">
        <v>1500</v>
      </c>
      <c r="J865" s="159">
        <v>1500</v>
      </c>
      <c r="K865" s="161">
        <v>1500</v>
      </c>
      <c r="L865" s="159">
        <v>1500</v>
      </c>
      <c r="M865" s="160">
        <v>1500</v>
      </c>
      <c r="N865" s="145"/>
      <c r="O865" s="156" t="s">
        <v>135</v>
      </c>
      <c r="P865" s="144" t="s">
        <v>2478</v>
      </c>
      <c r="Q865" s="147"/>
      <c r="R865" s="146"/>
      <c r="S865" s="157"/>
      <c r="T865" s="144" t="s">
        <v>29</v>
      </c>
      <c r="U865" s="150" t="s">
        <v>17</v>
      </c>
      <c r="V865" s="146">
        <v>2877</v>
      </c>
      <c r="W865" s="148"/>
      <c r="X865" s="149">
        <v>45901</v>
      </c>
      <c r="Y865" s="165" t="s">
        <v>3997</v>
      </c>
    </row>
    <row r="866" spans="1:25">
      <c r="A866" s="163" t="s">
        <v>423</v>
      </c>
      <c r="B866" s="144" t="s">
        <v>2463</v>
      </c>
      <c r="C866" s="164" t="s">
        <v>3999</v>
      </c>
      <c r="D866" s="144" t="s">
        <v>4000</v>
      </c>
      <c r="E866" s="150" t="s">
        <v>2466</v>
      </c>
      <c r="F866" s="144" t="s">
        <v>2467</v>
      </c>
      <c r="G866" s="166"/>
      <c r="H866" s="151">
        <v>1</v>
      </c>
      <c r="I866" s="160"/>
      <c r="J866" s="159">
        <v>0</v>
      </c>
      <c r="K866" s="161"/>
      <c r="L866" s="159">
        <v>0</v>
      </c>
      <c r="M866" s="160" t="s">
        <v>3040</v>
      </c>
      <c r="N866" s="145">
        <v>0</v>
      </c>
      <c r="O866" s="156" t="s">
        <v>135</v>
      </c>
      <c r="P866" s="144" t="s">
        <v>2468</v>
      </c>
      <c r="Q866" s="147"/>
      <c r="R866" s="146"/>
      <c r="S866" s="157"/>
      <c r="T866" s="144" t="s">
        <v>29</v>
      </c>
      <c r="U866" s="150" t="s">
        <v>20</v>
      </c>
      <c r="V866" s="146">
        <v>2711</v>
      </c>
      <c r="W866" s="148" t="s">
        <v>4001</v>
      </c>
      <c r="X866" s="149">
        <v>45901</v>
      </c>
      <c r="Y866" s="165" t="s">
        <v>4002</v>
      </c>
    </row>
    <row r="867" spans="1:25">
      <c r="A867" s="163" t="s">
        <v>423</v>
      </c>
      <c r="B867" s="144" t="s">
        <v>163</v>
      </c>
      <c r="C867" s="164" t="s">
        <v>1010</v>
      </c>
      <c r="D867" s="144" t="s">
        <v>1011</v>
      </c>
      <c r="E867" s="150" t="s">
        <v>2506</v>
      </c>
      <c r="F867" s="144" t="s">
        <v>3046</v>
      </c>
      <c r="G867" s="166"/>
      <c r="H867" s="151">
        <v>1</v>
      </c>
      <c r="I867" s="160"/>
      <c r="J867" s="159">
        <v>8.8800000000000008</v>
      </c>
      <c r="K867" s="161"/>
      <c r="L867" s="159">
        <v>8.8800000000000008</v>
      </c>
      <c r="M867" s="160">
        <v>8.8800000000000008</v>
      </c>
      <c r="N867" s="145"/>
      <c r="O867" s="156" t="s">
        <v>166</v>
      </c>
      <c r="P867" s="144" t="s">
        <v>2480</v>
      </c>
      <c r="Q867" s="147"/>
      <c r="R867" s="146">
        <v>2050</v>
      </c>
      <c r="S867" s="157"/>
      <c r="T867" s="144" t="s">
        <v>25</v>
      </c>
      <c r="U867" s="150" t="s">
        <v>19</v>
      </c>
      <c r="V867" s="146">
        <v>2862</v>
      </c>
      <c r="W867" s="148"/>
      <c r="X867" s="149"/>
      <c r="Y867" s="165"/>
    </row>
    <row r="868" spans="1:25">
      <c r="A868" s="163" t="s">
        <v>423</v>
      </c>
      <c r="B868" s="144" t="s">
        <v>2463</v>
      </c>
      <c r="C868" s="164" t="s">
        <v>4003</v>
      </c>
      <c r="D868" s="144" t="s">
        <v>1200</v>
      </c>
      <c r="E868" s="150" t="s">
        <v>2466</v>
      </c>
      <c r="F868" s="144" t="s">
        <v>2467</v>
      </c>
      <c r="G868" s="166"/>
      <c r="H868" s="151">
        <v>1</v>
      </c>
      <c r="I868" s="160">
        <v>600</v>
      </c>
      <c r="J868" s="159">
        <v>600</v>
      </c>
      <c r="K868" s="161">
        <v>600</v>
      </c>
      <c r="L868" s="159">
        <v>600</v>
      </c>
      <c r="M868" s="160">
        <v>600</v>
      </c>
      <c r="N868" s="145">
        <v>2400</v>
      </c>
      <c r="O868" s="156" t="s">
        <v>135</v>
      </c>
      <c r="P868" s="144" t="s">
        <v>2468</v>
      </c>
      <c r="Q868" s="147">
        <v>47088</v>
      </c>
      <c r="R868" s="146"/>
      <c r="S868" s="157"/>
      <c r="T868" s="144" t="s">
        <v>29</v>
      </c>
      <c r="U868" s="150" t="s">
        <v>20</v>
      </c>
      <c r="V868" s="146">
        <v>2617</v>
      </c>
      <c r="W868" s="148" t="s">
        <v>4004</v>
      </c>
      <c r="X868" s="149">
        <v>45689</v>
      </c>
      <c r="Y868" s="165" t="s">
        <v>2500</v>
      </c>
    </row>
    <row r="869" spans="1:25">
      <c r="A869" s="163" t="s">
        <v>423</v>
      </c>
      <c r="B869" s="144" t="s">
        <v>163</v>
      </c>
      <c r="C869" s="164" t="s">
        <v>474</v>
      </c>
      <c r="D869" s="144" t="s">
        <v>475</v>
      </c>
      <c r="E869" s="150" t="s">
        <v>2466</v>
      </c>
      <c r="F869" s="144" t="s">
        <v>2467</v>
      </c>
      <c r="G869" s="166" t="s">
        <v>476</v>
      </c>
      <c r="H869" s="151">
        <v>1</v>
      </c>
      <c r="I869" s="160">
        <v>200</v>
      </c>
      <c r="J869" s="159">
        <v>200</v>
      </c>
      <c r="K869" s="161">
        <v>200</v>
      </c>
      <c r="L869" s="159">
        <v>200</v>
      </c>
      <c r="M869" s="160">
        <v>200</v>
      </c>
      <c r="N869" s="145">
        <v>400</v>
      </c>
      <c r="O869" s="156" t="s">
        <v>166</v>
      </c>
      <c r="P869" s="144" t="s">
        <v>2468</v>
      </c>
      <c r="Q869" s="147"/>
      <c r="R869" s="146">
        <v>2050</v>
      </c>
      <c r="S869" s="157"/>
      <c r="T869" s="144" t="s">
        <v>25</v>
      </c>
      <c r="U869" s="150" t="s">
        <v>20</v>
      </c>
      <c r="V869" s="146">
        <v>3100</v>
      </c>
      <c r="W869" s="148"/>
      <c r="X869" s="149"/>
      <c r="Y869" s="165"/>
    </row>
    <row r="870" spans="1:25">
      <c r="A870" s="163" t="s">
        <v>423</v>
      </c>
      <c r="B870" s="144" t="s">
        <v>163</v>
      </c>
      <c r="C870" s="164" t="s">
        <v>477</v>
      </c>
      <c r="D870" s="144" t="s">
        <v>478</v>
      </c>
      <c r="E870" s="150" t="s">
        <v>2466</v>
      </c>
      <c r="F870" s="144" t="s">
        <v>2467</v>
      </c>
      <c r="G870" s="166" t="s">
        <v>479</v>
      </c>
      <c r="H870" s="151">
        <v>1</v>
      </c>
      <c r="I870" s="160">
        <v>200</v>
      </c>
      <c r="J870" s="159">
        <v>200</v>
      </c>
      <c r="K870" s="161">
        <v>200</v>
      </c>
      <c r="L870" s="159">
        <v>200</v>
      </c>
      <c r="M870" s="160">
        <v>200</v>
      </c>
      <c r="N870" s="145">
        <v>400</v>
      </c>
      <c r="O870" s="156" t="s">
        <v>166</v>
      </c>
      <c r="P870" s="144" t="s">
        <v>2468</v>
      </c>
      <c r="Q870" s="147"/>
      <c r="R870" s="146">
        <v>2050</v>
      </c>
      <c r="S870" s="157"/>
      <c r="T870" s="144" t="s">
        <v>25</v>
      </c>
      <c r="U870" s="150" t="s">
        <v>20</v>
      </c>
      <c r="V870" s="146">
        <v>3101</v>
      </c>
      <c r="W870" s="148"/>
      <c r="X870" s="149"/>
      <c r="Y870" s="165"/>
    </row>
    <row r="871" spans="1:25">
      <c r="A871" s="163" t="s">
        <v>423</v>
      </c>
      <c r="B871" s="144" t="s">
        <v>163</v>
      </c>
      <c r="C871" s="164" t="s">
        <v>480</v>
      </c>
      <c r="D871" s="144" t="s">
        <v>481</v>
      </c>
      <c r="E871" s="150" t="s">
        <v>2466</v>
      </c>
      <c r="F871" s="144" t="s">
        <v>2467</v>
      </c>
      <c r="G871" s="166" t="s">
        <v>482</v>
      </c>
      <c r="H871" s="151">
        <v>1</v>
      </c>
      <c r="I871" s="160">
        <v>200</v>
      </c>
      <c r="J871" s="159">
        <v>200</v>
      </c>
      <c r="K871" s="161">
        <v>200</v>
      </c>
      <c r="L871" s="159">
        <v>200</v>
      </c>
      <c r="M871" s="160">
        <v>200</v>
      </c>
      <c r="N871" s="145">
        <v>800</v>
      </c>
      <c r="O871" s="156" t="s">
        <v>166</v>
      </c>
      <c r="P871" s="144" t="s">
        <v>2468</v>
      </c>
      <c r="Q871" s="147"/>
      <c r="R871" s="146">
        <v>2050</v>
      </c>
      <c r="S871" s="157"/>
      <c r="T871" s="144" t="s">
        <v>25</v>
      </c>
      <c r="U871" s="150" t="s">
        <v>20</v>
      </c>
      <c r="V871" s="146">
        <v>3102</v>
      </c>
      <c r="W871" s="148"/>
      <c r="X871" s="149"/>
      <c r="Y871" s="165"/>
    </row>
    <row r="872" spans="1:25">
      <c r="A872" s="163" t="s">
        <v>7</v>
      </c>
      <c r="B872" s="144" t="s">
        <v>2463</v>
      </c>
      <c r="C872" s="164" t="s">
        <v>4005</v>
      </c>
      <c r="D872" s="144" t="s">
        <v>4006</v>
      </c>
      <c r="E872" s="150" t="s">
        <v>2476</v>
      </c>
      <c r="F872" s="144" t="s">
        <v>2477</v>
      </c>
      <c r="G872" s="166"/>
      <c r="H872" s="151">
        <v>100</v>
      </c>
      <c r="I872" s="160">
        <v>3.38</v>
      </c>
      <c r="J872" s="159">
        <v>3.38</v>
      </c>
      <c r="K872" s="161">
        <v>338</v>
      </c>
      <c r="L872" s="159">
        <v>338</v>
      </c>
      <c r="M872" s="160">
        <v>338</v>
      </c>
      <c r="N872" s="145"/>
      <c r="O872" s="156" t="s">
        <v>135</v>
      </c>
      <c r="P872" s="144" t="s">
        <v>2478</v>
      </c>
      <c r="Q872" s="147"/>
      <c r="R872" s="146"/>
      <c r="S872" s="157"/>
      <c r="T872" s="144" t="s">
        <v>29</v>
      </c>
      <c r="U872" s="150" t="s">
        <v>2479</v>
      </c>
      <c r="V872" s="146">
        <v>2211</v>
      </c>
      <c r="W872" s="148" t="s">
        <v>4007</v>
      </c>
      <c r="X872" s="149">
        <v>45901</v>
      </c>
      <c r="Y872" s="165" t="s">
        <v>2632</v>
      </c>
    </row>
    <row r="873" spans="1:25">
      <c r="A873" s="163" t="s">
        <v>7</v>
      </c>
      <c r="B873" s="144" t="s">
        <v>2463</v>
      </c>
      <c r="C873" s="164" t="s">
        <v>4005</v>
      </c>
      <c r="D873" s="144" t="s">
        <v>4006</v>
      </c>
      <c r="E873" s="150" t="s">
        <v>2466</v>
      </c>
      <c r="F873" s="144" t="s">
        <v>2467</v>
      </c>
      <c r="G873" s="166"/>
      <c r="H873" s="151">
        <v>96</v>
      </c>
      <c r="I873" s="160">
        <v>3.22</v>
      </c>
      <c r="J873" s="159">
        <v>3.22</v>
      </c>
      <c r="K873" s="161">
        <v>309.12</v>
      </c>
      <c r="L873" s="159">
        <v>309.12</v>
      </c>
      <c r="M873" s="160">
        <v>309.12</v>
      </c>
      <c r="N873" s="145">
        <v>0</v>
      </c>
      <c r="O873" s="156" t="s">
        <v>135</v>
      </c>
      <c r="P873" s="144" t="s">
        <v>2468</v>
      </c>
      <c r="Q873" s="147"/>
      <c r="R873" s="146"/>
      <c r="S873" s="157"/>
      <c r="T873" s="144" t="s">
        <v>29</v>
      </c>
      <c r="U873" s="150" t="s">
        <v>20</v>
      </c>
      <c r="V873" s="146">
        <v>2211</v>
      </c>
      <c r="W873" s="148" t="s">
        <v>4007</v>
      </c>
      <c r="X873" s="149">
        <v>45901</v>
      </c>
      <c r="Y873" s="165" t="s">
        <v>2632</v>
      </c>
    </row>
    <row r="874" spans="1:25">
      <c r="A874" s="163" t="s">
        <v>7</v>
      </c>
      <c r="B874" s="144" t="s">
        <v>2463</v>
      </c>
      <c r="C874" s="164" t="s">
        <v>4008</v>
      </c>
      <c r="D874" s="144" t="s">
        <v>4009</v>
      </c>
      <c r="E874" s="150" t="s">
        <v>2491</v>
      </c>
      <c r="F874" s="144" t="s">
        <v>2477</v>
      </c>
      <c r="G874" s="166"/>
      <c r="H874" s="151">
        <v>1</v>
      </c>
      <c r="I874" s="160">
        <v>500</v>
      </c>
      <c r="J874" s="159">
        <v>500</v>
      </c>
      <c r="K874" s="161">
        <v>500</v>
      </c>
      <c r="L874" s="159">
        <v>500</v>
      </c>
      <c r="M874" s="160">
        <v>500</v>
      </c>
      <c r="N874" s="145"/>
      <c r="O874" s="156" t="s">
        <v>135</v>
      </c>
      <c r="P874" s="144" t="s">
        <v>2478</v>
      </c>
      <c r="Q874" s="147">
        <v>46692</v>
      </c>
      <c r="R874" s="146"/>
      <c r="S874" s="157"/>
      <c r="T874" s="144" t="s">
        <v>29</v>
      </c>
      <c r="U874" s="150" t="s">
        <v>2479</v>
      </c>
      <c r="V874" s="146">
        <v>2194</v>
      </c>
      <c r="W874" s="148" t="s">
        <v>4010</v>
      </c>
      <c r="X874" s="149">
        <v>45689</v>
      </c>
      <c r="Y874" s="165" t="s">
        <v>2530</v>
      </c>
    </row>
    <row r="875" spans="1:25">
      <c r="A875" s="163" t="s">
        <v>7</v>
      </c>
      <c r="B875" s="144" t="s">
        <v>2463</v>
      </c>
      <c r="C875" s="164" t="s">
        <v>4008</v>
      </c>
      <c r="D875" s="144" t="s">
        <v>4009</v>
      </c>
      <c r="E875" s="150" t="s">
        <v>2466</v>
      </c>
      <c r="F875" s="144" t="s">
        <v>2477</v>
      </c>
      <c r="G875" s="166"/>
      <c r="H875" s="151">
        <v>1</v>
      </c>
      <c r="I875" s="160"/>
      <c r="J875" s="159">
        <v>500</v>
      </c>
      <c r="K875" s="161"/>
      <c r="L875" s="159">
        <v>500</v>
      </c>
      <c r="M875" s="160">
        <v>500</v>
      </c>
      <c r="N875" s="145">
        <v>2000</v>
      </c>
      <c r="O875" s="156" t="s">
        <v>135</v>
      </c>
      <c r="P875" s="144" t="s">
        <v>2468</v>
      </c>
      <c r="Q875" s="147"/>
      <c r="R875" s="146"/>
      <c r="S875" s="157"/>
      <c r="T875" s="144" t="s">
        <v>29</v>
      </c>
      <c r="U875" s="150" t="s">
        <v>20</v>
      </c>
      <c r="V875" s="146">
        <v>2194</v>
      </c>
      <c r="W875" s="148" t="s">
        <v>4010</v>
      </c>
      <c r="X875" s="149">
        <v>45689</v>
      </c>
      <c r="Y875" s="165" t="s">
        <v>2530</v>
      </c>
    </row>
    <row r="876" spans="1:25">
      <c r="A876" s="163" t="s">
        <v>7</v>
      </c>
      <c r="B876" s="144" t="s">
        <v>163</v>
      </c>
      <c r="C876" s="164" t="s">
        <v>1085</v>
      </c>
      <c r="D876" s="144" t="s">
        <v>1086</v>
      </c>
      <c r="E876" s="150" t="s">
        <v>2491</v>
      </c>
      <c r="F876" s="144" t="s">
        <v>2477</v>
      </c>
      <c r="G876" s="166" t="s">
        <v>1087</v>
      </c>
      <c r="H876" s="151">
        <v>54</v>
      </c>
      <c r="I876" s="160">
        <v>0</v>
      </c>
      <c r="J876" s="159">
        <v>2.5</v>
      </c>
      <c r="K876" s="161">
        <v>0</v>
      </c>
      <c r="L876" s="159">
        <v>135</v>
      </c>
      <c r="M876" s="160">
        <v>135</v>
      </c>
      <c r="N876" s="145"/>
      <c r="O876" s="156" t="s">
        <v>166</v>
      </c>
      <c r="P876" s="144" t="s">
        <v>2478</v>
      </c>
      <c r="Q876" s="147">
        <v>45017</v>
      </c>
      <c r="R876" s="146">
        <v>2052</v>
      </c>
      <c r="S876" s="157"/>
      <c r="T876" s="144" t="s">
        <v>25</v>
      </c>
      <c r="U876" s="150" t="s">
        <v>2479</v>
      </c>
      <c r="V876" s="146">
        <v>1628</v>
      </c>
      <c r="W876" s="148"/>
      <c r="X876" s="149">
        <v>45689</v>
      </c>
      <c r="Y876" s="165" t="s">
        <v>3067</v>
      </c>
    </row>
    <row r="877" spans="1:25">
      <c r="A877" s="163" t="s">
        <v>309</v>
      </c>
      <c r="B877" s="144" t="s">
        <v>2463</v>
      </c>
      <c r="C877" s="164" t="s">
        <v>4011</v>
      </c>
      <c r="D877" s="144" t="s">
        <v>3959</v>
      </c>
      <c r="E877" s="150" t="s">
        <v>2466</v>
      </c>
      <c r="F877" s="144" t="s">
        <v>2486</v>
      </c>
      <c r="G877" s="166"/>
      <c r="H877" s="151">
        <v>1</v>
      </c>
      <c r="I877" s="160">
        <v>750</v>
      </c>
      <c r="J877" s="159">
        <v>750</v>
      </c>
      <c r="K877" s="161">
        <v>750</v>
      </c>
      <c r="L877" s="159">
        <v>750</v>
      </c>
      <c r="M877" s="160">
        <v>750</v>
      </c>
      <c r="N877" s="145">
        <v>0</v>
      </c>
      <c r="O877" s="156" t="s">
        <v>135</v>
      </c>
      <c r="P877" s="144" t="s">
        <v>2468</v>
      </c>
      <c r="Q877" s="147"/>
      <c r="R877" s="146"/>
      <c r="S877" s="157"/>
      <c r="T877" s="144" t="s">
        <v>29</v>
      </c>
      <c r="U877" s="150" t="s">
        <v>20</v>
      </c>
      <c r="V877" s="146">
        <v>3067</v>
      </c>
      <c r="W877" s="148" t="s">
        <v>4012</v>
      </c>
      <c r="X877" s="149">
        <v>45901</v>
      </c>
      <c r="Y877" s="165" t="s">
        <v>2496</v>
      </c>
    </row>
    <row r="878" spans="1:25">
      <c r="A878" s="163" t="s">
        <v>309</v>
      </c>
      <c r="B878" s="144" t="s">
        <v>2463</v>
      </c>
      <c r="C878" s="164" t="s">
        <v>4011</v>
      </c>
      <c r="D878" s="144" t="s">
        <v>3959</v>
      </c>
      <c r="E878" s="150" t="s">
        <v>2485</v>
      </c>
      <c r="F878" s="144" t="s">
        <v>2486</v>
      </c>
      <c r="G878" s="166"/>
      <c r="H878" s="151">
        <v>1</v>
      </c>
      <c r="I878" s="160">
        <v>750</v>
      </c>
      <c r="J878" s="159">
        <v>750</v>
      </c>
      <c r="K878" s="161">
        <v>750</v>
      </c>
      <c r="L878" s="159">
        <v>750</v>
      </c>
      <c r="M878" s="160">
        <v>750</v>
      </c>
      <c r="N878" s="145"/>
      <c r="O878" s="156" t="s">
        <v>135</v>
      </c>
      <c r="P878" s="144" t="s">
        <v>2478</v>
      </c>
      <c r="Q878" s="147"/>
      <c r="R878" s="146"/>
      <c r="S878" s="157"/>
      <c r="T878" s="144" t="s">
        <v>29</v>
      </c>
      <c r="U878" s="150" t="s">
        <v>17</v>
      </c>
      <c r="V878" s="146">
        <v>3067</v>
      </c>
      <c r="W878" s="148" t="s">
        <v>4012</v>
      </c>
      <c r="X878" s="149">
        <v>45901</v>
      </c>
      <c r="Y878" s="165" t="s">
        <v>2496</v>
      </c>
    </row>
    <row r="879" spans="1:25">
      <c r="A879" s="163" t="s">
        <v>7</v>
      </c>
      <c r="B879" s="144" t="s">
        <v>2463</v>
      </c>
      <c r="C879" s="164" t="s">
        <v>4013</v>
      </c>
      <c r="D879" s="144" t="s">
        <v>4014</v>
      </c>
      <c r="E879" s="150" t="s">
        <v>2491</v>
      </c>
      <c r="F879" s="144" t="s">
        <v>2477</v>
      </c>
      <c r="G879" s="166"/>
      <c r="H879" s="151">
        <v>102</v>
      </c>
      <c r="I879" s="160"/>
      <c r="J879" s="159">
        <v>3.14</v>
      </c>
      <c r="K879" s="161"/>
      <c r="L879" s="159">
        <v>319.97000000000003</v>
      </c>
      <c r="M879" s="160">
        <v>319.97000000000003</v>
      </c>
      <c r="N879" s="145"/>
      <c r="O879" s="156" t="s">
        <v>135</v>
      </c>
      <c r="P879" s="144" t="s">
        <v>2478</v>
      </c>
      <c r="Q879" s="147">
        <v>47392</v>
      </c>
      <c r="R879" s="146"/>
      <c r="S879" s="157"/>
      <c r="T879" s="144" t="s">
        <v>29</v>
      </c>
      <c r="U879" s="150" t="s">
        <v>2479</v>
      </c>
      <c r="V879" s="146">
        <v>2430</v>
      </c>
      <c r="W879" s="148" t="s">
        <v>4015</v>
      </c>
      <c r="X879" s="149">
        <v>45689</v>
      </c>
      <c r="Y879" s="165" t="s">
        <v>2474</v>
      </c>
    </row>
    <row r="880" spans="1:25">
      <c r="A880" s="163" t="s">
        <v>7</v>
      </c>
      <c r="B880" s="144" t="s">
        <v>2463</v>
      </c>
      <c r="C880" s="164" t="s">
        <v>4013</v>
      </c>
      <c r="D880" s="144" t="s">
        <v>4014</v>
      </c>
      <c r="E880" s="150" t="s">
        <v>2466</v>
      </c>
      <c r="F880" s="144" t="s">
        <v>2477</v>
      </c>
      <c r="G880" s="166"/>
      <c r="H880" s="151">
        <v>126</v>
      </c>
      <c r="I880" s="160"/>
      <c r="J880" s="159">
        <v>2.54</v>
      </c>
      <c r="K880" s="161"/>
      <c r="L880" s="159">
        <v>320.04000000000002</v>
      </c>
      <c r="M880" s="160">
        <v>320.04000000000002</v>
      </c>
      <c r="N880" s="145">
        <v>1280</v>
      </c>
      <c r="O880" s="156" t="s">
        <v>135</v>
      </c>
      <c r="P880" s="144" t="s">
        <v>2468</v>
      </c>
      <c r="Q880" s="147">
        <v>47392</v>
      </c>
      <c r="R880" s="146"/>
      <c r="S880" s="157"/>
      <c r="T880" s="144" t="s">
        <v>29</v>
      </c>
      <c r="U880" s="150" t="s">
        <v>20</v>
      </c>
      <c r="V880" s="146">
        <v>2430</v>
      </c>
      <c r="W880" s="148" t="s">
        <v>4015</v>
      </c>
      <c r="X880" s="149">
        <v>45689</v>
      </c>
      <c r="Y880" s="165" t="s">
        <v>2474</v>
      </c>
    </row>
    <row r="881" spans="1:25">
      <c r="A881" s="163" t="s">
        <v>309</v>
      </c>
      <c r="B881" s="144" t="s">
        <v>163</v>
      </c>
      <c r="C881" s="164" t="s">
        <v>4016</v>
      </c>
      <c r="D881" s="144" t="s">
        <v>1684</v>
      </c>
      <c r="E881" s="150" t="s">
        <v>2491</v>
      </c>
      <c r="F881" s="144" t="s">
        <v>2477</v>
      </c>
      <c r="G881" s="166" t="s">
        <v>4017</v>
      </c>
      <c r="H881" s="151">
        <v>1</v>
      </c>
      <c r="I881" s="160">
        <v>26</v>
      </c>
      <c r="J881" s="159">
        <v>26</v>
      </c>
      <c r="K881" s="161">
        <v>26</v>
      </c>
      <c r="L881" s="159">
        <v>26</v>
      </c>
      <c r="M881" s="160">
        <v>26</v>
      </c>
      <c r="N881" s="145"/>
      <c r="O881" s="156" t="s">
        <v>166</v>
      </c>
      <c r="P881" s="144" t="s">
        <v>2478</v>
      </c>
      <c r="Q881" s="147">
        <v>44378</v>
      </c>
      <c r="R881" s="146">
        <v>2050</v>
      </c>
      <c r="S881" s="157"/>
      <c r="T881" s="144" t="s">
        <v>25</v>
      </c>
      <c r="U881" s="150" t="s">
        <v>2479</v>
      </c>
      <c r="V881" s="146">
        <v>1537</v>
      </c>
      <c r="W881" s="148"/>
      <c r="X881" s="149">
        <v>45689</v>
      </c>
      <c r="Y881" s="165" t="s">
        <v>2538</v>
      </c>
    </row>
    <row r="882" spans="1:25">
      <c r="A882" s="163" t="s">
        <v>565</v>
      </c>
      <c r="B882" s="144" t="s">
        <v>163</v>
      </c>
      <c r="C882" s="164" t="s">
        <v>4018</v>
      </c>
      <c r="D882" s="144" t="s">
        <v>662</v>
      </c>
      <c r="E882" s="150" t="s">
        <v>2593</v>
      </c>
      <c r="F882" s="144" t="s">
        <v>2482</v>
      </c>
      <c r="G882" s="166"/>
      <c r="H882" s="151">
        <v>1</v>
      </c>
      <c r="I882" s="160"/>
      <c r="J882" s="159">
        <v>6</v>
      </c>
      <c r="K882" s="161"/>
      <c r="L882" s="159">
        <v>6</v>
      </c>
      <c r="M882" s="160">
        <v>6</v>
      </c>
      <c r="N882" s="145"/>
      <c r="O882" s="156" t="s">
        <v>166</v>
      </c>
      <c r="P882" s="144" t="s">
        <v>2480</v>
      </c>
      <c r="Q882" s="147"/>
      <c r="R882" s="146"/>
      <c r="S882" s="157"/>
      <c r="T882" s="144" t="s">
        <v>25</v>
      </c>
      <c r="U882" s="150" t="s">
        <v>18</v>
      </c>
      <c r="V882" s="146">
        <v>2091</v>
      </c>
      <c r="W882" s="148"/>
      <c r="X882" s="149"/>
      <c r="Y882" s="165"/>
    </row>
    <row r="883" spans="1:25">
      <c r="A883" s="163" t="s">
        <v>7</v>
      </c>
      <c r="B883" s="144" t="s">
        <v>2463</v>
      </c>
      <c r="C883" s="164" t="s">
        <v>4019</v>
      </c>
      <c r="D883" s="144" t="s">
        <v>4020</v>
      </c>
      <c r="E883" s="150" t="s">
        <v>2466</v>
      </c>
      <c r="F883" s="144" t="s">
        <v>2477</v>
      </c>
      <c r="G883" s="166"/>
      <c r="H883" s="151">
        <v>1</v>
      </c>
      <c r="I883" s="160">
        <v>53</v>
      </c>
      <c r="J883" s="159">
        <v>53</v>
      </c>
      <c r="K883" s="161">
        <v>53</v>
      </c>
      <c r="L883" s="159">
        <v>53</v>
      </c>
      <c r="M883" s="160">
        <v>53</v>
      </c>
      <c r="N883" s="145">
        <v>0</v>
      </c>
      <c r="O883" s="156" t="s">
        <v>135</v>
      </c>
      <c r="P883" s="144" t="s">
        <v>2468</v>
      </c>
      <c r="Q883" s="147"/>
      <c r="R883" s="146"/>
      <c r="S883" s="157"/>
      <c r="T883" s="144" t="s">
        <v>29</v>
      </c>
      <c r="U883" s="150" t="s">
        <v>20</v>
      </c>
      <c r="V883" s="146">
        <v>3043</v>
      </c>
      <c r="W883" s="148" t="s">
        <v>4021</v>
      </c>
      <c r="X883" s="149">
        <v>45901</v>
      </c>
      <c r="Y883" s="165" t="s">
        <v>3142</v>
      </c>
    </row>
    <row r="884" spans="1:25">
      <c r="A884" s="163" t="s">
        <v>7</v>
      </c>
      <c r="B884" s="144" t="s">
        <v>2463</v>
      </c>
      <c r="C884" s="164" t="s">
        <v>4022</v>
      </c>
      <c r="D884" s="144" t="s">
        <v>4020</v>
      </c>
      <c r="E884" s="150" t="s">
        <v>2476</v>
      </c>
      <c r="F884" s="144" t="s">
        <v>2477</v>
      </c>
      <c r="G884" s="166"/>
      <c r="H884" s="151">
        <v>18</v>
      </c>
      <c r="I884" s="160">
        <v>4.2</v>
      </c>
      <c r="J884" s="159">
        <v>4.2</v>
      </c>
      <c r="K884" s="161">
        <v>75.599999999999994</v>
      </c>
      <c r="L884" s="159">
        <v>75.599999999999994</v>
      </c>
      <c r="M884" s="160">
        <v>75.599999999999994</v>
      </c>
      <c r="N884" s="145"/>
      <c r="O884" s="156" t="s">
        <v>135</v>
      </c>
      <c r="P884" s="144" t="s">
        <v>2478</v>
      </c>
      <c r="Q884" s="147"/>
      <c r="R884" s="146"/>
      <c r="S884" s="157"/>
      <c r="T884" s="144" t="s">
        <v>29</v>
      </c>
      <c r="U884" s="150" t="s">
        <v>2479</v>
      </c>
      <c r="V884" s="146">
        <v>3042</v>
      </c>
      <c r="W884" s="148" t="s">
        <v>4021</v>
      </c>
      <c r="X884" s="149">
        <v>45901</v>
      </c>
      <c r="Y884" s="165" t="s">
        <v>3142</v>
      </c>
    </row>
    <row r="885" spans="1:25">
      <c r="A885" s="163" t="s">
        <v>423</v>
      </c>
      <c r="B885" s="144" t="s">
        <v>2463</v>
      </c>
      <c r="C885" s="164" t="s">
        <v>2398</v>
      </c>
      <c r="D885" s="144" t="s">
        <v>4023</v>
      </c>
      <c r="E885" s="150" t="s">
        <v>2491</v>
      </c>
      <c r="F885" s="144" t="s">
        <v>2477</v>
      </c>
      <c r="G885" s="166"/>
      <c r="H885" s="151">
        <v>1</v>
      </c>
      <c r="I885" s="160">
        <v>9.6</v>
      </c>
      <c r="J885" s="159">
        <v>9.6</v>
      </c>
      <c r="K885" s="161">
        <v>9.6</v>
      </c>
      <c r="L885" s="159">
        <v>9.6</v>
      </c>
      <c r="M885" s="160">
        <v>9.6</v>
      </c>
      <c r="N885" s="145"/>
      <c r="O885" s="156" t="s">
        <v>135</v>
      </c>
      <c r="P885" s="144" t="s">
        <v>2478</v>
      </c>
      <c r="Q885" s="147"/>
      <c r="R885" s="146"/>
      <c r="S885" s="157"/>
      <c r="T885" s="144" t="s">
        <v>29</v>
      </c>
      <c r="U885" s="150" t="s">
        <v>2479</v>
      </c>
      <c r="V885" s="146">
        <v>1430</v>
      </c>
      <c r="W885" s="148"/>
      <c r="X885" s="149">
        <v>45901</v>
      </c>
      <c r="Y885" s="165" t="s">
        <v>4024</v>
      </c>
    </row>
    <row r="886" spans="1:25">
      <c r="A886" s="163" t="s">
        <v>309</v>
      </c>
      <c r="B886" s="144" t="s">
        <v>2463</v>
      </c>
      <c r="C886" s="164" t="s">
        <v>1382</v>
      </c>
      <c r="D886" s="144" t="s">
        <v>422</v>
      </c>
      <c r="E886" s="150" t="s">
        <v>2466</v>
      </c>
      <c r="F886" s="144" t="s">
        <v>2467</v>
      </c>
      <c r="G886" s="166"/>
      <c r="H886" s="151">
        <v>1</v>
      </c>
      <c r="I886" s="160"/>
      <c r="J886" s="159">
        <v>500</v>
      </c>
      <c r="K886" s="161"/>
      <c r="L886" s="159">
        <v>500</v>
      </c>
      <c r="M886" s="160">
        <v>500</v>
      </c>
      <c r="N886" s="145">
        <v>1000</v>
      </c>
      <c r="O886" s="156" t="s">
        <v>135</v>
      </c>
      <c r="P886" s="144" t="s">
        <v>2468</v>
      </c>
      <c r="Q886" s="147"/>
      <c r="R886" s="146"/>
      <c r="S886" s="157"/>
      <c r="T886" s="144" t="s">
        <v>29</v>
      </c>
      <c r="U886" s="150" t="s">
        <v>20</v>
      </c>
      <c r="V886" s="146">
        <v>2439</v>
      </c>
      <c r="W886" s="148" t="s">
        <v>4025</v>
      </c>
      <c r="X886" s="149">
        <v>45689</v>
      </c>
      <c r="Y886" s="165" t="s">
        <v>2470</v>
      </c>
    </row>
    <row r="887" spans="1:25">
      <c r="A887" s="163" t="s">
        <v>309</v>
      </c>
      <c r="B887" s="144" t="s">
        <v>2463</v>
      </c>
      <c r="C887" s="164" t="s">
        <v>4026</v>
      </c>
      <c r="D887" s="144" t="s">
        <v>269</v>
      </c>
      <c r="E887" s="150" t="s">
        <v>2476</v>
      </c>
      <c r="F887" s="144" t="s">
        <v>2477</v>
      </c>
      <c r="G887" s="166"/>
      <c r="H887" s="151">
        <v>1</v>
      </c>
      <c r="I887" s="160">
        <v>500</v>
      </c>
      <c r="J887" s="159">
        <v>500</v>
      </c>
      <c r="K887" s="161">
        <v>500</v>
      </c>
      <c r="L887" s="159">
        <v>500</v>
      </c>
      <c r="M887" s="160">
        <v>500</v>
      </c>
      <c r="N887" s="145"/>
      <c r="O887" s="156" t="s">
        <v>135</v>
      </c>
      <c r="P887" s="144" t="s">
        <v>2478</v>
      </c>
      <c r="Q887" s="147"/>
      <c r="R887" s="146"/>
      <c r="S887" s="157"/>
      <c r="T887" s="144" t="s">
        <v>29</v>
      </c>
      <c r="U887" s="150" t="s">
        <v>2479</v>
      </c>
      <c r="V887" s="146">
        <v>1576</v>
      </c>
      <c r="W887" s="148" t="s">
        <v>4027</v>
      </c>
      <c r="X887" s="149">
        <v>45689</v>
      </c>
      <c r="Y887" s="165" t="s">
        <v>2470</v>
      </c>
    </row>
    <row r="888" spans="1:25">
      <c r="A888" s="163" t="s">
        <v>309</v>
      </c>
      <c r="B888" s="144" t="s">
        <v>2463</v>
      </c>
      <c r="C888" s="164" t="s">
        <v>4028</v>
      </c>
      <c r="D888" s="144" t="s">
        <v>4029</v>
      </c>
      <c r="E888" s="150" t="s">
        <v>2466</v>
      </c>
      <c r="F888" s="144" t="s">
        <v>2467</v>
      </c>
      <c r="G888" s="166"/>
      <c r="H888" s="151">
        <v>1</v>
      </c>
      <c r="I888" s="160">
        <v>200</v>
      </c>
      <c r="J888" s="159">
        <v>200</v>
      </c>
      <c r="K888" s="161">
        <v>200</v>
      </c>
      <c r="L888" s="159">
        <v>200</v>
      </c>
      <c r="M888" s="160">
        <v>200</v>
      </c>
      <c r="N888" s="145">
        <v>400</v>
      </c>
      <c r="O888" s="156" t="s">
        <v>135</v>
      </c>
      <c r="P888" s="144" t="s">
        <v>2468</v>
      </c>
      <c r="Q888" s="147"/>
      <c r="R888" s="146"/>
      <c r="S888" s="157"/>
      <c r="T888" s="144" t="s">
        <v>29</v>
      </c>
      <c r="U888" s="150" t="s">
        <v>20</v>
      </c>
      <c r="V888" s="146">
        <v>2385</v>
      </c>
      <c r="W888" s="148" t="s">
        <v>4030</v>
      </c>
      <c r="X888" s="149">
        <v>45689</v>
      </c>
      <c r="Y888" s="165" t="s">
        <v>2474</v>
      </c>
    </row>
    <row r="889" spans="1:25">
      <c r="A889" s="163" t="s">
        <v>309</v>
      </c>
      <c r="B889" s="144" t="s">
        <v>163</v>
      </c>
      <c r="C889" s="164" t="s">
        <v>4031</v>
      </c>
      <c r="D889" s="144" t="s">
        <v>4029</v>
      </c>
      <c r="E889" s="150" t="s">
        <v>2918</v>
      </c>
      <c r="F889" s="144" t="s">
        <v>2640</v>
      </c>
      <c r="G889" s="166" t="s">
        <v>4032</v>
      </c>
      <c r="H889" s="151">
        <v>1</v>
      </c>
      <c r="I889" s="160"/>
      <c r="J889" s="159">
        <v>426</v>
      </c>
      <c r="K889" s="161"/>
      <c r="L889" s="159">
        <v>426</v>
      </c>
      <c r="M889" s="160">
        <v>426</v>
      </c>
      <c r="N889" s="145"/>
      <c r="O889" s="156" t="s">
        <v>166</v>
      </c>
      <c r="P889" s="144" t="s">
        <v>2468</v>
      </c>
      <c r="Q889" s="147"/>
      <c r="R889" s="146">
        <v>2051</v>
      </c>
      <c r="S889" s="157"/>
      <c r="T889" s="144" t="s">
        <v>25</v>
      </c>
      <c r="U889" s="150" t="s">
        <v>12</v>
      </c>
      <c r="V889" s="146">
        <v>1134</v>
      </c>
      <c r="W889" s="148"/>
      <c r="X889" s="149">
        <v>45689</v>
      </c>
      <c r="Y889" s="165" t="s">
        <v>2590</v>
      </c>
    </row>
    <row r="890" spans="1:25">
      <c r="A890" s="163" t="s">
        <v>309</v>
      </c>
      <c r="B890" s="144" t="s">
        <v>163</v>
      </c>
      <c r="C890" s="164" t="s">
        <v>4031</v>
      </c>
      <c r="D890" s="144" t="s">
        <v>4029</v>
      </c>
      <c r="E890" s="150" t="s">
        <v>2918</v>
      </c>
      <c r="F890" s="144" t="s">
        <v>2640</v>
      </c>
      <c r="G890" s="166" t="s">
        <v>4033</v>
      </c>
      <c r="H890" s="151">
        <v>1</v>
      </c>
      <c r="I890" s="160"/>
      <c r="J890" s="159">
        <v>426</v>
      </c>
      <c r="K890" s="161"/>
      <c r="L890" s="159">
        <v>426</v>
      </c>
      <c r="M890" s="160">
        <v>426</v>
      </c>
      <c r="N890" s="145"/>
      <c r="O890" s="156" t="s">
        <v>166</v>
      </c>
      <c r="P890" s="144" t="s">
        <v>2468</v>
      </c>
      <c r="Q890" s="147"/>
      <c r="R890" s="146">
        <v>2051</v>
      </c>
      <c r="S890" s="157"/>
      <c r="T890" s="144" t="s">
        <v>25</v>
      </c>
      <c r="U890" s="150" t="s">
        <v>12</v>
      </c>
      <c r="V890" s="146">
        <v>1134</v>
      </c>
      <c r="W890" s="148"/>
      <c r="X890" s="149">
        <v>45689</v>
      </c>
      <c r="Y890" s="165" t="s">
        <v>2590</v>
      </c>
    </row>
    <row r="891" spans="1:25">
      <c r="A891" s="163" t="s">
        <v>309</v>
      </c>
      <c r="B891" s="144" t="s">
        <v>2463</v>
      </c>
      <c r="C891" s="164" t="s">
        <v>4034</v>
      </c>
      <c r="D891" s="144" t="s">
        <v>4029</v>
      </c>
      <c r="E891" s="150" t="s">
        <v>2485</v>
      </c>
      <c r="F891" s="144" t="s">
        <v>2486</v>
      </c>
      <c r="G891" s="166"/>
      <c r="H891" s="151">
        <v>1</v>
      </c>
      <c r="I891" s="160">
        <v>250</v>
      </c>
      <c r="J891" s="159">
        <v>250</v>
      </c>
      <c r="K891" s="161">
        <v>250</v>
      </c>
      <c r="L891" s="159">
        <v>250</v>
      </c>
      <c r="M891" s="160">
        <v>250</v>
      </c>
      <c r="N891" s="145"/>
      <c r="O891" s="156" t="s">
        <v>135</v>
      </c>
      <c r="P891" s="144" t="s">
        <v>2478</v>
      </c>
      <c r="Q891" s="147"/>
      <c r="R891" s="146"/>
      <c r="S891" s="157"/>
      <c r="T891" s="144" t="s">
        <v>29</v>
      </c>
      <c r="U891" s="150" t="s">
        <v>17</v>
      </c>
      <c r="V891" s="146">
        <v>2384</v>
      </c>
      <c r="W891" s="148" t="s">
        <v>4030</v>
      </c>
      <c r="X891" s="149">
        <v>45689</v>
      </c>
      <c r="Y891" s="165" t="s">
        <v>2590</v>
      </c>
    </row>
    <row r="892" spans="1:25">
      <c r="A892" s="163" t="s">
        <v>7</v>
      </c>
      <c r="B892" s="144" t="s">
        <v>2463</v>
      </c>
      <c r="C892" s="164" t="s">
        <v>4035</v>
      </c>
      <c r="D892" s="144" t="s">
        <v>4036</v>
      </c>
      <c r="E892" s="150" t="s">
        <v>2485</v>
      </c>
      <c r="F892" s="144" t="s">
        <v>2486</v>
      </c>
      <c r="G892" s="166"/>
      <c r="H892" s="151">
        <v>1</v>
      </c>
      <c r="I892" s="160"/>
      <c r="J892" s="159">
        <v>7.2</v>
      </c>
      <c r="K892" s="161"/>
      <c r="L892" s="159">
        <v>7.2</v>
      </c>
      <c r="M892" s="160">
        <v>7.2</v>
      </c>
      <c r="N892" s="145"/>
      <c r="O892" s="156" t="s">
        <v>135</v>
      </c>
      <c r="P892" s="144" t="s">
        <v>2478</v>
      </c>
      <c r="Q892" s="147"/>
      <c r="R892" s="146"/>
      <c r="S892" s="157"/>
      <c r="T892" s="144" t="s">
        <v>29</v>
      </c>
      <c r="U892" s="150" t="s">
        <v>17</v>
      </c>
      <c r="V892" s="146">
        <v>2977</v>
      </c>
      <c r="W892" s="148"/>
      <c r="X892" s="149"/>
      <c r="Y892" s="165"/>
    </row>
    <row r="893" spans="1:25">
      <c r="A893" s="163" t="s">
        <v>380</v>
      </c>
      <c r="B893" s="144" t="s">
        <v>163</v>
      </c>
      <c r="C893" s="164" t="s">
        <v>4037</v>
      </c>
      <c r="D893" s="144" t="s">
        <v>1045</v>
      </c>
      <c r="E893" s="150" t="s">
        <v>2555</v>
      </c>
      <c r="F893" s="144" t="s">
        <v>2556</v>
      </c>
      <c r="G893" s="166" t="s">
        <v>4038</v>
      </c>
      <c r="H893" s="151">
        <v>1</v>
      </c>
      <c r="I893" s="160"/>
      <c r="J893" s="159">
        <v>90</v>
      </c>
      <c r="K893" s="161"/>
      <c r="L893" s="159">
        <v>90</v>
      </c>
      <c r="M893" s="160">
        <v>90</v>
      </c>
      <c r="N893" s="145"/>
      <c r="O893" s="156" t="s">
        <v>166</v>
      </c>
      <c r="P893" s="144" t="s">
        <v>2468</v>
      </c>
      <c r="Q893" s="147"/>
      <c r="R893" s="146">
        <v>2030</v>
      </c>
      <c r="S893" s="157"/>
      <c r="T893" s="144" t="s">
        <v>25</v>
      </c>
      <c r="U893" s="150" t="s">
        <v>14</v>
      </c>
      <c r="V893" s="146">
        <v>1135</v>
      </c>
      <c r="W893" s="148"/>
      <c r="X893" s="149">
        <v>45689</v>
      </c>
      <c r="Y893" s="165" t="s">
        <v>2740</v>
      </c>
    </row>
    <row r="894" spans="1:25">
      <c r="A894" s="163" t="s">
        <v>309</v>
      </c>
      <c r="B894" s="144" t="s">
        <v>2463</v>
      </c>
      <c r="C894" s="164" t="s">
        <v>4039</v>
      </c>
      <c r="D894" s="144" t="s">
        <v>4040</v>
      </c>
      <c r="E894" s="150" t="s">
        <v>2491</v>
      </c>
      <c r="F894" s="144" t="s">
        <v>2477</v>
      </c>
      <c r="G894" s="166"/>
      <c r="H894" s="151">
        <v>1</v>
      </c>
      <c r="I894" s="160">
        <v>200</v>
      </c>
      <c r="J894" s="159">
        <v>200</v>
      </c>
      <c r="K894" s="161">
        <v>200</v>
      </c>
      <c r="L894" s="159">
        <v>200</v>
      </c>
      <c r="M894" s="160">
        <v>200</v>
      </c>
      <c r="N894" s="145"/>
      <c r="O894" s="156" t="s">
        <v>135</v>
      </c>
      <c r="P894" s="144" t="s">
        <v>2478</v>
      </c>
      <c r="Q894" s="147"/>
      <c r="R894" s="146"/>
      <c r="S894" s="157"/>
      <c r="T894" s="144" t="s">
        <v>29</v>
      </c>
      <c r="U894" s="150" t="s">
        <v>2479</v>
      </c>
      <c r="V894" s="146">
        <v>2606</v>
      </c>
      <c r="W894" s="148" t="s">
        <v>4041</v>
      </c>
      <c r="X894" s="149"/>
      <c r="Y894" s="165" t="s">
        <v>3037</v>
      </c>
    </row>
    <row r="895" spans="1:25">
      <c r="A895" s="163" t="s">
        <v>309</v>
      </c>
      <c r="B895" s="144" t="s">
        <v>2463</v>
      </c>
      <c r="C895" s="164" t="s">
        <v>4039</v>
      </c>
      <c r="D895" s="144" t="s">
        <v>4040</v>
      </c>
      <c r="E895" s="150" t="s">
        <v>2466</v>
      </c>
      <c r="F895" s="144" t="s">
        <v>2467</v>
      </c>
      <c r="G895" s="166"/>
      <c r="H895" s="151">
        <v>1</v>
      </c>
      <c r="I895" s="160">
        <v>100</v>
      </c>
      <c r="J895" s="159">
        <v>100</v>
      </c>
      <c r="K895" s="161">
        <v>100</v>
      </c>
      <c r="L895" s="159">
        <v>100</v>
      </c>
      <c r="M895" s="160">
        <v>100</v>
      </c>
      <c r="N895" s="145">
        <v>100</v>
      </c>
      <c r="O895" s="156" t="s">
        <v>135</v>
      </c>
      <c r="P895" s="144" t="s">
        <v>2468</v>
      </c>
      <c r="Q895" s="147"/>
      <c r="R895" s="146"/>
      <c r="S895" s="157"/>
      <c r="T895" s="144" t="s">
        <v>29</v>
      </c>
      <c r="U895" s="150" t="s">
        <v>20</v>
      </c>
      <c r="V895" s="146">
        <v>2606</v>
      </c>
      <c r="W895" s="148" t="s">
        <v>4041</v>
      </c>
      <c r="X895" s="149"/>
      <c r="Y895" s="165" t="s">
        <v>3037</v>
      </c>
    </row>
    <row r="896" spans="1:25">
      <c r="A896" s="163" t="s">
        <v>309</v>
      </c>
      <c r="B896" s="144" t="s">
        <v>2463</v>
      </c>
      <c r="C896" s="164" t="s">
        <v>4042</v>
      </c>
      <c r="D896" s="144" t="s">
        <v>4040</v>
      </c>
      <c r="E896" s="150" t="s">
        <v>2491</v>
      </c>
      <c r="F896" s="144" t="s">
        <v>2477</v>
      </c>
      <c r="G896" s="166"/>
      <c r="H896" s="151">
        <v>1</v>
      </c>
      <c r="I896" s="160">
        <v>200</v>
      </c>
      <c r="J896" s="159">
        <v>200</v>
      </c>
      <c r="K896" s="161">
        <v>200</v>
      </c>
      <c r="L896" s="159">
        <v>200</v>
      </c>
      <c r="M896" s="160">
        <v>200</v>
      </c>
      <c r="N896" s="145"/>
      <c r="O896" s="156" t="s">
        <v>135</v>
      </c>
      <c r="P896" s="144" t="s">
        <v>2478</v>
      </c>
      <c r="Q896" s="147"/>
      <c r="R896" s="146"/>
      <c r="S896" s="157"/>
      <c r="T896" s="144" t="s">
        <v>29</v>
      </c>
      <c r="U896" s="150" t="s">
        <v>2479</v>
      </c>
      <c r="V896" s="146">
        <v>2885</v>
      </c>
      <c r="W896" s="148" t="s">
        <v>4043</v>
      </c>
      <c r="X896" s="149"/>
      <c r="Y896" s="165" t="s">
        <v>3037</v>
      </c>
    </row>
    <row r="897" spans="1:25">
      <c r="A897" s="163" t="s">
        <v>309</v>
      </c>
      <c r="B897" s="144" t="s">
        <v>2463</v>
      </c>
      <c r="C897" s="164" t="s">
        <v>4042</v>
      </c>
      <c r="D897" s="144" t="s">
        <v>4040</v>
      </c>
      <c r="E897" s="150" t="s">
        <v>2466</v>
      </c>
      <c r="F897" s="144" t="s">
        <v>2467</v>
      </c>
      <c r="G897" s="166"/>
      <c r="H897" s="151">
        <v>1</v>
      </c>
      <c r="I897" s="160">
        <v>100</v>
      </c>
      <c r="J897" s="159">
        <v>100</v>
      </c>
      <c r="K897" s="161">
        <v>100</v>
      </c>
      <c r="L897" s="159">
        <v>100</v>
      </c>
      <c r="M897" s="160">
        <v>100</v>
      </c>
      <c r="N897" s="145">
        <v>100</v>
      </c>
      <c r="O897" s="156" t="s">
        <v>135</v>
      </c>
      <c r="P897" s="144" t="s">
        <v>2468</v>
      </c>
      <c r="Q897" s="147"/>
      <c r="R897" s="146"/>
      <c r="S897" s="157"/>
      <c r="T897" s="144" t="s">
        <v>29</v>
      </c>
      <c r="U897" s="150" t="s">
        <v>20</v>
      </c>
      <c r="V897" s="146">
        <v>2885</v>
      </c>
      <c r="W897" s="148" t="s">
        <v>4043</v>
      </c>
      <c r="X897" s="149"/>
      <c r="Y897" s="165" t="s">
        <v>3037</v>
      </c>
    </row>
    <row r="898" spans="1:25">
      <c r="A898" s="163" t="s">
        <v>7</v>
      </c>
      <c r="B898" s="144" t="s">
        <v>2463</v>
      </c>
      <c r="C898" s="164" t="s">
        <v>4044</v>
      </c>
      <c r="D898" s="144" t="s">
        <v>690</v>
      </c>
      <c r="E898" s="150" t="s">
        <v>2467</v>
      </c>
      <c r="F898" s="144" t="s">
        <v>2814</v>
      </c>
      <c r="G898" s="166"/>
      <c r="H898" s="151">
        <v>1</v>
      </c>
      <c r="I898" s="160">
        <v>0</v>
      </c>
      <c r="J898" s="159">
        <v>57</v>
      </c>
      <c r="K898" s="161">
        <v>0</v>
      </c>
      <c r="L898" s="159">
        <v>57</v>
      </c>
      <c r="M898" s="160">
        <v>57</v>
      </c>
      <c r="N898" s="145"/>
      <c r="O898" s="156" t="s">
        <v>135</v>
      </c>
      <c r="P898" s="144" t="s">
        <v>2468</v>
      </c>
      <c r="Q898" s="147"/>
      <c r="R898" s="146"/>
      <c r="S898" s="157"/>
      <c r="T898" s="144" t="s">
        <v>29</v>
      </c>
      <c r="U898" s="150" t="s">
        <v>15</v>
      </c>
      <c r="V898" s="146">
        <v>2579</v>
      </c>
      <c r="W898" s="148"/>
      <c r="X898" s="149">
        <v>45778</v>
      </c>
      <c r="Y898" s="165" t="s">
        <v>2500</v>
      </c>
    </row>
    <row r="899" spans="1:25">
      <c r="A899" s="163" t="s">
        <v>7</v>
      </c>
      <c r="B899" s="144" t="s">
        <v>2463</v>
      </c>
      <c r="C899" s="164" t="s">
        <v>4045</v>
      </c>
      <c r="D899" s="144" t="s">
        <v>4046</v>
      </c>
      <c r="E899" s="150" t="s">
        <v>2476</v>
      </c>
      <c r="F899" s="144" t="s">
        <v>2477</v>
      </c>
      <c r="G899" s="166"/>
      <c r="H899" s="151">
        <v>1</v>
      </c>
      <c r="I899" s="160">
        <v>350</v>
      </c>
      <c r="J899" s="159">
        <v>350</v>
      </c>
      <c r="K899" s="161">
        <v>350</v>
      </c>
      <c r="L899" s="159">
        <v>350</v>
      </c>
      <c r="M899" s="160">
        <v>350</v>
      </c>
      <c r="N899" s="145"/>
      <c r="O899" s="156" t="s">
        <v>135</v>
      </c>
      <c r="P899" s="144" t="s">
        <v>2478</v>
      </c>
      <c r="Q899" s="147"/>
      <c r="R899" s="146">
        <v>2029</v>
      </c>
      <c r="S899" s="157"/>
      <c r="T899" s="144" t="s">
        <v>29</v>
      </c>
      <c r="U899" s="150" t="s">
        <v>2479</v>
      </c>
      <c r="V899" s="146">
        <v>2876</v>
      </c>
      <c r="W899" s="148" t="s">
        <v>4047</v>
      </c>
      <c r="X899" s="149">
        <v>45778</v>
      </c>
      <c r="Y899" s="165"/>
    </row>
    <row r="900" spans="1:25">
      <c r="A900" s="163" t="s">
        <v>309</v>
      </c>
      <c r="B900" s="144" t="s">
        <v>2463</v>
      </c>
      <c r="C900" s="164" t="s">
        <v>4048</v>
      </c>
      <c r="D900" s="144" t="s">
        <v>4049</v>
      </c>
      <c r="E900" s="150" t="s">
        <v>2485</v>
      </c>
      <c r="F900" s="144" t="s">
        <v>2486</v>
      </c>
      <c r="G900" s="166"/>
      <c r="H900" s="151">
        <v>60</v>
      </c>
      <c r="I900" s="160">
        <v>6</v>
      </c>
      <c r="J900" s="159">
        <v>6</v>
      </c>
      <c r="K900" s="161">
        <v>360</v>
      </c>
      <c r="L900" s="159">
        <v>360</v>
      </c>
      <c r="M900" s="160">
        <v>360</v>
      </c>
      <c r="N900" s="145"/>
      <c r="O900" s="156" t="s">
        <v>135</v>
      </c>
      <c r="P900" s="144" t="s">
        <v>2478</v>
      </c>
      <c r="Q900" s="147">
        <v>46813</v>
      </c>
      <c r="R900" s="146">
        <v>2058</v>
      </c>
      <c r="S900" s="157"/>
      <c r="T900" s="144" t="s">
        <v>29</v>
      </c>
      <c r="U900" s="150" t="s">
        <v>17</v>
      </c>
      <c r="V900" s="146">
        <v>2253</v>
      </c>
      <c r="W900" s="148" t="s">
        <v>4050</v>
      </c>
      <c r="X900" s="149">
        <v>45901</v>
      </c>
      <c r="Y900" s="165" t="s">
        <v>2490</v>
      </c>
    </row>
    <row r="901" spans="1:25">
      <c r="A901" s="163" t="s">
        <v>7</v>
      </c>
      <c r="B901" s="144" t="s">
        <v>2463</v>
      </c>
      <c r="C901" s="164" t="s">
        <v>4051</v>
      </c>
      <c r="D901" s="144" t="s">
        <v>4052</v>
      </c>
      <c r="E901" s="150" t="s">
        <v>2491</v>
      </c>
      <c r="F901" s="144" t="s">
        <v>2477</v>
      </c>
      <c r="G901" s="166"/>
      <c r="H901" s="151">
        <v>2</v>
      </c>
      <c r="I901" s="160">
        <v>18.010000000000002</v>
      </c>
      <c r="J901" s="159">
        <v>18.010000000000002</v>
      </c>
      <c r="K901" s="161">
        <v>36.01</v>
      </c>
      <c r="L901" s="159">
        <v>36.01</v>
      </c>
      <c r="M901" s="160">
        <v>36.01</v>
      </c>
      <c r="N901" s="145"/>
      <c r="O901" s="156" t="s">
        <v>135</v>
      </c>
      <c r="P901" s="144" t="s">
        <v>2478</v>
      </c>
      <c r="Q901" s="147"/>
      <c r="R901" s="146"/>
      <c r="S901" s="157"/>
      <c r="T901" s="144" t="s">
        <v>29</v>
      </c>
      <c r="U901" s="150" t="s">
        <v>2479</v>
      </c>
      <c r="V901" s="146">
        <v>1527</v>
      </c>
      <c r="W901" s="148"/>
      <c r="X901" s="149">
        <v>45778</v>
      </c>
      <c r="Y901" s="165" t="s">
        <v>2524</v>
      </c>
    </row>
    <row r="902" spans="1:25">
      <c r="A902" s="163" t="s">
        <v>7</v>
      </c>
      <c r="B902" s="144" t="s">
        <v>2463</v>
      </c>
      <c r="C902" s="164" t="s">
        <v>4051</v>
      </c>
      <c r="D902" s="144" t="s">
        <v>4052</v>
      </c>
      <c r="E902" s="150" t="s">
        <v>2491</v>
      </c>
      <c r="F902" s="144" t="s">
        <v>2477</v>
      </c>
      <c r="G902" s="166"/>
      <c r="H902" s="151">
        <v>6</v>
      </c>
      <c r="I902" s="160">
        <v>6</v>
      </c>
      <c r="J902" s="159">
        <v>6</v>
      </c>
      <c r="K902" s="161">
        <v>36.01</v>
      </c>
      <c r="L902" s="159">
        <v>36.01</v>
      </c>
      <c r="M902" s="160">
        <v>36.01</v>
      </c>
      <c r="N902" s="145"/>
      <c r="O902" s="156" t="s">
        <v>135</v>
      </c>
      <c r="P902" s="144" t="s">
        <v>2478</v>
      </c>
      <c r="Q902" s="147"/>
      <c r="R902" s="146"/>
      <c r="S902" s="157"/>
      <c r="T902" s="144" t="s">
        <v>29</v>
      </c>
      <c r="U902" s="150" t="s">
        <v>2479</v>
      </c>
      <c r="V902" s="146">
        <v>1527</v>
      </c>
      <c r="W902" s="148"/>
      <c r="X902" s="149">
        <v>45778</v>
      </c>
      <c r="Y902" s="165" t="s">
        <v>2524</v>
      </c>
    </row>
    <row r="903" spans="1:25">
      <c r="A903" s="163" t="s">
        <v>380</v>
      </c>
      <c r="B903" s="144" t="s">
        <v>2463</v>
      </c>
      <c r="C903" s="164" t="s">
        <v>4053</v>
      </c>
      <c r="D903" s="144" t="s">
        <v>4054</v>
      </c>
      <c r="E903" s="150" t="s">
        <v>2466</v>
      </c>
      <c r="F903" s="144" t="s">
        <v>2467</v>
      </c>
      <c r="G903" s="166"/>
      <c r="H903" s="151">
        <v>32</v>
      </c>
      <c r="I903" s="160">
        <v>0</v>
      </c>
      <c r="J903" s="159">
        <v>5.63</v>
      </c>
      <c r="K903" s="161">
        <v>0</v>
      </c>
      <c r="L903" s="159">
        <v>180.16</v>
      </c>
      <c r="M903" s="160">
        <v>180.16</v>
      </c>
      <c r="N903" s="145">
        <v>720</v>
      </c>
      <c r="O903" s="156" t="s">
        <v>135</v>
      </c>
      <c r="P903" s="144" t="s">
        <v>2468</v>
      </c>
      <c r="Q903" s="147"/>
      <c r="R903" s="146"/>
      <c r="S903" s="157"/>
      <c r="T903" s="144" t="s">
        <v>29</v>
      </c>
      <c r="U903" s="150" t="s">
        <v>20</v>
      </c>
      <c r="V903" s="146">
        <v>2552</v>
      </c>
      <c r="W903" s="148" t="s">
        <v>4055</v>
      </c>
      <c r="X903" s="149">
        <v>45689</v>
      </c>
      <c r="Y903" s="165" t="s">
        <v>2474</v>
      </c>
    </row>
    <row r="904" spans="1:25">
      <c r="A904" s="163" t="s">
        <v>423</v>
      </c>
      <c r="B904" s="144" t="s">
        <v>163</v>
      </c>
      <c r="C904" s="164" t="s">
        <v>483</v>
      </c>
      <c r="D904" s="144" t="s">
        <v>484</v>
      </c>
      <c r="E904" s="150" t="s">
        <v>2491</v>
      </c>
      <c r="F904" s="144" t="s">
        <v>2477</v>
      </c>
      <c r="G904" s="166" t="s">
        <v>485</v>
      </c>
      <c r="H904" s="151">
        <v>1</v>
      </c>
      <c r="I904" s="160"/>
      <c r="J904" s="159">
        <v>46</v>
      </c>
      <c r="K904" s="161"/>
      <c r="L904" s="159">
        <v>46</v>
      </c>
      <c r="M904" s="160">
        <v>46</v>
      </c>
      <c r="N904" s="145"/>
      <c r="O904" s="156" t="s">
        <v>166</v>
      </c>
      <c r="P904" s="144" t="s">
        <v>2478</v>
      </c>
      <c r="Q904" s="147">
        <v>45748</v>
      </c>
      <c r="R904" s="146">
        <v>2055</v>
      </c>
      <c r="S904" s="157"/>
      <c r="T904" s="144" t="s">
        <v>25</v>
      </c>
      <c r="U904" s="150" t="s">
        <v>2479</v>
      </c>
      <c r="V904" s="146">
        <v>2939</v>
      </c>
      <c r="W904" s="148"/>
      <c r="X904" s="149">
        <v>45901</v>
      </c>
      <c r="Y904" s="165" t="s">
        <v>2596</v>
      </c>
    </row>
    <row r="905" spans="1:25">
      <c r="A905" s="163" t="s">
        <v>423</v>
      </c>
      <c r="B905" s="144" t="s">
        <v>2463</v>
      </c>
      <c r="C905" s="164" t="s">
        <v>4056</v>
      </c>
      <c r="D905" s="144" t="s">
        <v>4057</v>
      </c>
      <c r="E905" s="150" t="s">
        <v>2466</v>
      </c>
      <c r="F905" s="144" t="s">
        <v>2467</v>
      </c>
      <c r="G905" s="166"/>
      <c r="H905" s="151">
        <v>1</v>
      </c>
      <c r="I905" s="160">
        <v>250</v>
      </c>
      <c r="J905" s="159">
        <v>250</v>
      </c>
      <c r="K905" s="161">
        <v>250</v>
      </c>
      <c r="L905" s="159">
        <v>250</v>
      </c>
      <c r="M905" s="160">
        <v>250</v>
      </c>
      <c r="N905" s="145">
        <v>250</v>
      </c>
      <c r="O905" s="156" t="s">
        <v>135</v>
      </c>
      <c r="P905" s="144" t="s">
        <v>2468</v>
      </c>
      <c r="Q905" s="147"/>
      <c r="R905" s="146"/>
      <c r="S905" s="157"/>
      <c r="T905" s="144" t="s">
        <v>29</v>
      </c>
      <c r="U905" s="150" t="s">
        <v>20</v>
      </c>
      <c r="V905" s="146">
        <v>2996</v>
      </c>
      <c r="W905" s="148" t="s">
        <v>4058</v>
      </c>
      <c r="X905" s="149"/>
      <c r="Y905" s="165"/>
    </row>
    <row r="906" spans="1:25">
      <c r="A906" s="163" t="s">
        <v>7</v>
      </c>
      <c r="B906" s="144" t="s">
        <v>2463</v>
      </c>
      <c r="C906" s="164" t="s">
        <v>4059</v>
      </c>
      <c r="D906" s="144" t="s">
        <v>4060</v>
      </c>
      <c r="E906" s="150" t="s">
        <v>2466</v>
      </c>
      <c r="F906" s="144" t="s">
        <v>2467</v>
      </c>
      <c r="G906" s="166"/>
      <c r="H906" s="151">
        <v>1</v>
      </c>
      <c r="I906" s="160">
        <v>0</v>
      </c>
      <c r="J906" s="159">
        <v>150</v>
      </c>
      <c r="K906" s="161">
        <v>0</v>
      </c>
      <c r="L906" s="159">
        <v>150</v>
      </c>
      <c r="M906" s="160">
        <v>150</v>
      </c>
      <c r="N906" s="145">
        <v>729</v>
      </c>
      <c r="O906" s="156" t="s">
        <v>135</v>
      </c>
      <c r="P906" s="144" t="s">
        <v>2468</v>
      </c>
      <c r="Q906" s="147"/>
      <c r="R906" s="146"/>
      <c r="S906" s="157"/>
      <c r="T906" s="144" t="s">
        <v>29</v>
      </c>
      <c r="U906" s="150" t="s">
        <v>20</v>
      </c>
      <c r="V906" s="146">
        <v>2819</v>
      </c>
      <c r="W906" s="148" t="s">
        <v>4061</v>
      </c>
      <c r="X906" s="149">
        <v>45901</v>
      </c>
      <c r="Y906" s="165" t="s">
        <v>2490</v>
      </c>
    </row>
    <row r="907" spans="1:25">
      <c r="A907" s="163" t="s">
        <v>7</v>
      </c>
      <c r="B907" s="144" t="s">
        <v>163</v>
      </c>
      <c r="C907" s="164" t="s">
        <v>1674</v>
      </c>
      <c r="D907" s="144" t="s">
        <v>4062</v>
      </c>
      <c r="E907" s="150" t="s">
        <v>2491</v>
      </c>
      <c r="F907" s="144" t="s">
        <v>2477</v>
      </c>
      <c r="G907" s="166" t="s">
        <v>1676</v>
      </c>
      <c r="H907" s="151">
        <v>22</v>
      </c>
      <c r="I907" s="160">
        <v>1.47</v>
      </c>
      <c r="J907" s="159">
        <v>1.64</v>
      </c>
      <c r="K907" s="161">
        <v>32.340000000000003</v>
      </c>
      <c r="L907" s="159">
        <v>36.08</v>
      </c>
      <c r="M907" s="160">
        <v>36.08</v>
      </c>
      <c r="N907" s="145"/>
      <c r="O907" s="156" t="s">
        <v>166</v>
      </c>
      <c r="P907" s="144" t="s">
        <v>2478</v>
      </c>
      <c r="Q907" s="147">
        <v>44228</v>
      </c>
      <c r="R907" s="146">
        <v>2045</v>
      </c>
      <c r="S907" s="157"/>
      <c r="T907" s="144" t="s">
        <v>25</v>
      </c>
      <c r="U907" s="150" t="s">
        <v>2479</v>
      </c>
      <c r="V907" s="146">
        <v>1641</v>
      </c>
      <c r="W907" s="148"/>
      <c r="X907" s="149">
        <v>45689</v>
      </c>
      <c r="Y907" s="165" t="s">
        <v>2500</v>
      </c>
    </row>
    <row r="908" spans="1:25">
      <c r="A908" s="163" t="s">
        <v>7</v>
      </c>
      <c r="B908" s="144" t="s">
        <v>2463</v>
      </c>
      <c r="C908" s="164" t="s">
        <v>4063</v>
      </c>
      <c r="D908" s="144" t="s">
        <v>4064</v>
      </c>
      <c r="E908" s="150" t="s">
        <v>2466</v>
      </c>
      <c r="F908" s="144" t="s">
        <v>2467</v>
      </c>
      <c r="G908" s="166"/>
      <c r="H908" s="151">
        <v>1</v>
      </c>
      <c r="I908" s="160">
        <v>4.95</v>
      </c>
      <c r="J908" s="159">
        <v>4.95</v>
      </c>
      <c r="K908" s="161">
        <v>4.95</v>
      </c>
      <c r="L908" s="159">
        <v>4.95</v>
      </c>
      <c r="M908" s="160">
        <v>4.95</v>
      </c>
      <c r="N908" s="145">
        <v>15</v>
      </c>
      <c r="O908" s="156" t="s">
        <v>135</v>
      </c>
      <c r="P908" s="144" t="s">
        <v>2480</v>
      </c>
      <c r="Q908" s="147"/>
      <c r="R908" s="146"/>
      <c r="S908" s="157"/>
      <c r="T908" s="144" t="s">
        <v>29</v>
      </c>
      <c r="U908" s="150" t="s">
        <v>20</v>
      </c>
      <c r="V908" s="146">
        <v>3026</v>
      </c>
      <c r="W908" s="148"/>
      <c r="X908" s="149">
        <v>45901</v>
      </c>
      <c r="Y908" s="165" t="s">
        <v>3006</v>
      </c>
    </row>
    <row r="909" spans="1:25">
      <c r="A909" s="163" t="s">
        <v>380</v>
      </c>
      <c r="B909" s="144" t="s">
        <v>2463</v>
      </c>
      <c r="C909" s="164" t="s">
        <v>4065</v>
      </c>
      <c r="D909" s="144" t="s">
        <v>4066</v>
      </c>
      <c r="E909" s="150" t="s">
        <v>2476</v>
      </c>
      <c r="F909" s="144" t="s">
        <v>2477</v>
      </c>
      <c r="G909" s="166"/>
      <c r="H909" s="151">
        <v>1</v>
      </c>
      <c r="I909" s="160">
        <v>100</v>
      </c>
      <c r="J909" s="159">
        <v>100</v>
      </c>
      <c r="K909" s="161">
        <v>100</v>
      </c>
      <c r="L909" s="159">
        <v>100</v>
      </c>
      <c r="M909" s="160">
        <v>100</v>
      </c>
      <c r="N909" s="145"/>
      <c r="O909" s="156" t="s">
        <v>135</v>
      </c>
      <c r="P909" s="144" t="s">
        <v>2478</v>
      </c>
      <c r="Q909" s="147"/>
      <c r="R909" s="146"/>
      <c r="S909" s="157"/>
      <c r="T909" s="144" t="s">
        <v>29</v>
      </c>
      <c r="U909" s="150" t="s">
        <v>2479</v>
      </c>
      <c r="V909" s="146">
        <v>2366</v>
      </c>
      <c r="W909" s="148" t="s">
        <v>4067</v>
      </c>
      <c r="X909" s="149">
        <v>45901</v>
      </c>
      <c r="Y909" s="165" t="s">
        <v>2632</v>
      </c>
    </row>
    <row r="910" spans="1:25">
      <c r="A910" s="163" t="s">
        <v>309</v>
      </c>
      <c r="B910" s="144" t="s">
        <v>2463</v>
      </c>
      <c r="C910" s="164" t="s">
        <v>4068</v>
      </c>
      <c r="D910" s="144" t="s">
        <v>4069</v>
      </c>
      <c r="E910" s="150" t="s">
        <v>2466</v>
      </c>
      <c r="F910" s="144" t="s">
        <v>2467</v>
      </c>
      <c r="G910" s="166"/>
      <c r="H910" s="151">
        <v>1</v>
      </c>
      <c r="I910" s="160"/>
      <c r="J910" s="159">
        <v>300</v>
      </c>
      <c r="K910" s="161"/>
      <c r="L910" s="159">
        <v>300</v>
      </c>
      <c r="M910" s="160">
        <v>300</v>
      </c>
      <c r="N910" s="145">
        <v>1200</v>
      </c>
      <c r="O910" s="156" t="s">
        <v>135</v>
      </c>
      <c r="P910" s="144" t="s">
        <v>2468</v>
      </c>
      <c r="Q910" s="147"/>
      <c r="R910" s="146"/>
      <c r="S910" s="157"/>
      <c r="T910" s="144" t="s">
        <v>29</v>
      </c>
      <c r="U910" s="150" t="s">
        <v>20</v>
      </c>
      <c r="V910" s="146">
        <v>2853</v>
      </c>
      <c r="W910" s="148" t="s">
        <v>4070</v>
      </c>
      <c r="X910" s="149"/>
      <c r="Y910" s="165" t="s">
        <v>2470</v>
      </c>
    </row>
    <row r="911" spans="1:25">
      <c r="A911" s="163" t="s">
        <v>423</v>
      </c>
      <c r="B911" s="144" t="s">
        <v>2463</v>
      </c>
      <c r="C911" s="164" t="s">
        <v>4071</v>
      </c>
      <c r="D911" s="144" t="s">
        <v>4072</v>
      </c>
      <c r="E911" s="150" t="s">
        <v>2491</v>
      </c>
      <c r="F911" s="144" t="s">
        <v>2477</v>
      </c>
      <c r="G911" s="166"/>
      <c r="H911" s="151">
        <v>42</v>
      </c>
      <c r="I911" s="160"/>
      <c r="J911" s="159">
        <v>4.2</v>
      </c>
      <c r="K911" s="161"/>
      <c r="L911" s="159">
        <v>176.4</v>
      </c>
      <c r="M911" s="160">
        <v>176.4</v>
      </c>
      <c r="N911" s="145"/>
      <c r="O911" s="156" t="s">
        <v>135</v>
      </c>
      <c r="P911" s="144" t="s">
        <v>2478</v>
      </c>
      <c r="Q911" s="147"/>
      <c r="R911" s="146">
        <v>2058</v>
      </c>
      <c r="S911" s="157"/>
      <c r="T911" s="144" t="s">
        <v>29</v>
      </c>
      <c r="U911" s="150" t="s">
        <v>2479</v>
      </c>
      <c r="V911" s="146">
        <v>2364</v>
      </c>
      <c r="W911" s="148" t="s">
        <v>4073</v>
      </c>
      <c r="X911" s="149">
        <v>45689</v>
      </c>
      <c r="Y911" s="165" t="s">
        <v>2558</v>
      </c>
    </row>
    <row r="912" spans="1:25">
      <c r="A912" s="163" t="s">
        <v>309</v>
      </c>
      <c r="B912" s="144" t="s">
        <v>2463</v>
      </c>
      <c r="C912" s="164" t="s">
        <v>4074</v>
      </c>
      <c r="D912" s="144" t="s">
        <v>4075</v>
      </c>
      <c r="E912" s="150" t="s">
        <v>2466</v>
      </c>
      <c r="F912" s="144" t="s">
        <v>2467</v>
      </c>
      <c r="G912" s="166"/>
      <c r="H912" s="151">
        <v>1</v>
      </c>
      <c r="I912" s="160"/>
      <c r="J912" s="159">
        <v>400</v>
      </c>
      <c r="K912" s="161"/>
      <c r="L912" s="159">
        <v>400</v>
      </c>
      <c r="M912" s="160">
        <v>400</v>
      </c>
      <c r="N912" s="145">
        <v>0</v>
      </c>
      <c r="O912" s="156" t="s">
        <v>135</v>
      </c>
      <c r="P912" s="144" t="s">
        <v>2468</v>
      </c>
      <c r="Q912" s="147"/>
      <c r="R912" s="146"/>
      <c r="S912" s="157"/>
      <c r="T912" s="144" t="s">
        <v>29</v>
      </c>
      <c r="U912" s="150" t="s">
        <v>20</v>
      </c>
      <c r="V912" s="146">
        <v>2465</v>
      </c>
      <c r="W912" s="148" t="s">
        <v>4076</v>
      </c>
      <c r="X912" s="149">
        <v>45901</v>
      </c>
      <c r="Y912" s="165" t="s">
        <v>2722</v>
      </c>
    </row>
    <row r="913" spans="1:25">
      <c r="A913" s="163" t="s">
        <v>309</v>
      </c>
      <c r="B913" s="144" t="s">
        <v>2463</v>
      </c>
      <c r="C913" s="164" t="s">
        <v>4074</v>
      </c>
      <c r="D913" s="144" t="s">
        <v>4075</v>
      </c>
      <c r="E913" s="150" t="s">
        <v>2485</v>
      </c>
      <c r="F913" s="144" t="s">
        <v>2486</v>
      </c>
      <c r="G913" s="166"/>
      <c r="H913" s="151">
        <v>1</v>
      </c>
      <c r="I913" s="160"/>
      <c r="J913" s="159">
        <v>400</v>
      </c>
      <c r="K913" s="161"/>
      <c r="L913" s="159">
        <v>400</v>
      </c>
      <c r="M913" s="160">
        <v>400</v>
      </c>
      <c r="N913" s="145"/>
      <c r="O913" s="156" t="s">
        <v>135</v>
      </c>
      <c r="P913" s="144" t="s">
        <v>2478</v>
      </c>
      <c r="Q913" s="147"/>
      <c r="R913" s="146"/>
      <c r="S913" s="157"/>
      <c r="T913" s="144" t="s">
        <v>29</v>
      </c>
      <c r="U913" s="150" t="s">
        <v>17</v>
      </c>
      <c r="V913" s="146">
        <v>2465</v>
      </c>
      <c r="W913" s="148" t="s">
        <v>4076</v>
      </c>
      <c r="X913" s="149">
        <v>45901</v>
      </c>
      <c r="Y913" s="165" t="s">
        <v>2722</v>
      </c>
    </row>
    <row r="914" spans="1:25">
      <c r="A914" s="163" t="s">
        <v>423</v>
      </c>
      <c r="B914" s="144" t="s">
        <v>2463</v>
      </c>
      <c r="C914" s="164" t="s">
        <v>4077</v>
      </c>
      <c r="D914" s="144" t="s">
        <v>4078</v>
      </c>
      <c r="E914" s="150" t="s">
        <v>2466</v>
      </c>
      <c r="F914" s="144" t="s">
        <v>2467</v>
      </c>
      <c r="G914" s="166"/>
      <c r="H914" s="151">
        <v>1</v>
      </c>
      <c r="I914" s="160">
        <v>0</v>
      </c>
      <c r="J914" s="159">
        <v>300</v>
      </c>
      <c r="K914" s="161">
        <v>0</v>
      </c>
      <c r="L914" s="159">
        <v>300</v>
      </c>
      <c r="M914" s="160">
        <v>300</v>
      </c>
      <c r="N914" s="145">
        <v>1200</v>
      </c>
      <c r="O914" s="156" t="s">
        <v>135</v>
      </c>
      <c r="P914" s="144" t="s">
        <v>2468</v>
      </c>
      <c r="Q914" s="147"/>
      <c r="R914" s="146">
        <v>2052</v>
      </c>
      <c r="S914" s="157"/>
      <c r="T914" s="144" t="s">
        <v>29</v>
      </c>
      <c r="U914" s="150" t="s">
        <v>20</v>
      </c>
      <c r="V914" s="146">
        <v>2398</v>
      </c>
      <c r="W914" s="148"/>
      <c r="X914" s="149">
        <v>45689</v>
      </c>
      <c r="Y914" s="165" t="s">
        <v>2474</v>
      </c>
    </row>
    <row r="915" spans="1:25">
      <c r="A915" s="163" t="s">
        <v>423</v>
      </c>
      <c r="B915" s="144" t="s">
        <v>163</v>
      </c>
      <c r="C915" s="164" t="s">
        <v>1520</v>
      </c>
      <c r="D915" s="144" t="s">
        <v>1521</v>
      </c>
      <c r="E915" s="150" t="s">
        <v>2485</v>
      </c>
      <c r="F915" s="144" t="s">
        <v>2486</v>
      </c>
      <c r="G915" s="166" t="s">
        <v>1522</v>
      </c>
      <c r="H915" s="151">
        <v>104</v>
      </c>
      <c r="I915" s="160">
        <v>3</v>
      </c>
      <c r="J915" s="159">
        <v>3</v>
      </c>
      <c r="K915" s="161">
        <v>312</v>
      </c>
      <c r="L915" s="159">
        <v>312</v>
      </c>
      <c r="M915" s="160">
        <v>312</v>
      </c>
      <c r="N915" s="145"/>
      <c r="O915" s="156" t="s">
        <v>166</v>
      </c>
      <c r="P915" s="144" t="s">
        <v>2478</v>
      </c>
      <c r="Q915" s="147">
        <v>44743</v>
      </c>
      <c r="R915" s="146">
        <v>2044</v>
      </c>
      <c r="S915" s="157"/>
      <c r="T915" s="144" t="s">
        <v>25</v>
      </c>
      <c r="U915" s="150" t="s">
        <v>17</v>
      </c>
      <c r="V915" s="146">
        <v>1425</v>
      </c>
      <c r="W915" s="148"/>
      <c r="X915" s="149">
        <v>45778</v>
      </c>
      <c r="Y915" s="165" t="s">
        <v>4079</v>
      </c>
    </row>
    <row r="916" spans="1:25">
      <c r="A916" s="163" t="s">
        <v>7</v>
      </c>
      <c r="B916" s="144" t="s">
        <v>2463</v>
      </c>
      <c r="C916" s="164" t="s">
        <v>4080</v>
      </c>
      <c r="D916" s="144" t="s">
        <v>4081</v>
      </c>
      <c r="E916" s="150" t="s">
        <v>2476</v>
      </c>
      <c r="F916" s="144" t="s">
        <v>2477</v>
      </c>
      <c r="G916" s="166"/>
      <c r="H916" s="151">
        <v>60</v>
      </c>
      <c r="I916" s="160">
        <v>2</v>
      </c>
      <c r="J916" s="159">
        <v>2</v>
      </c>
      <c r="K916" s="161">
        <v>120</v>
      </c>
      <c r="L916" s="159">
        <v>120</v>
      </c>
      <c r="M916" s="160">
        <v>120</v>
      </c>
      <c r="N916" s="145"/>
      <c r="O916" s="156" t="s">
        <v>135</v>
      </c>
      <c r="P916" s="144" t="s">
        <v>2478</v>
      </c>
      <c r="Q916" s="147"/>
      <c r="R916" s="146"/>
      <c r="S916" s="157"/>
      <c r="T916" s="144" t="s">
        <v>29</v>
      </c>
      <c r="U916" s="150" t="s">
        <v>2479</v>
      </c>
      <c r="V916" s="146">
        <v>2216</v>
      </c>
      <c r="W916" s="148" t="s">
        <v>4082</v>
      </c>
      <c r="X916" s="149">
        <v>45901</v>
      </c>
      <c r="Y916" s="165" t="s">
        <v>4083</v>
      </c>
    </row>
    <row r="917" spans="1:25">
      <c r="A917" s="163" t="s">
        <v>7</v>
      </c>
      <c r="B917" s="144" t="s">
        <v>2463</v>
      </c>
      <c r="C917" s="164" t="s">
        <v>4080</v>
      </c>
      <c r="D917" s="144" t="s">
        <v>4081</v>
      </c>
      <c r="E917" s="150" t="s">
        <v>2466</v>
      </c>
      <c r="F917" s="144" t="s">
        <v>2467</v>
      </c>
      <c r="G917" s="166"/>
      <c r="H917" s="151">
        <v>1</v>
      </c>
      <c r="I917" s="160">
        <v>200</v>
      </c>
      <c r="J917" s="159">
        <v>200</v>
      </c>
      <c r="K917" s="161">
        <v>200</v>
      </c>
      <c r="L917" s="159">
        <v>200</v>
      </c>
      <c r="M917" s="160">
        <v>200</v>
      </c>
      <c r="N917" s="145">
        <v>0</v>
      </c>
      <c r="O917" s="156" t="s">
        <v>135</v>
      </c>
      <c r="P917" s="144" t="s">
        <v>2468</v>
      </c>
      <c r="Q917" s="147"/>
      <c r="R917" s="146"/>
      <c r="S917" s="157"/>
      <c r="T917" s="144" t="s">
        <v>29</v>
      </c>
      <c r="U917" s="150" t="s">
        <v>20</v>
      </c>
      <c r="V917" s="146">
        <v>2216</v>
      </c>
      <c r="W917" s="148" t="s">
        <v>4082</v>
      </c>
      <c r="X917" s="149">
        <v>45901</v>
      </c>
      <c r="Y917" s="165" t="s">
        <v>4083</v>
      </c>
    </row>
    <row r="918" spans="1:25">
      <c r="A918" s="163" t="s">
        <v>309</v>
      </c>
      <c r="B918" s="144" t="s">
        <v>163</v>
      </c>
      <c r="C918" s="164" t="s">
        <v>4084</v>
      </c>
      <c r="D918" s="144" t="s">
        <v>3683</v>
      </c>
      <c r="E918" s="150" t="s">
        <v>2501</v>
      </c>
      <c r="F918" s="144" t="s">
        <v>2507</v>
      </c>
      <c r="G918" s="166" t="s">
        <v>4085</v>
      </c>
      <c r="H918" s="151">
        <v>8</v>
      </c>
      <c r="I918" s="160"/>
      <c r="J918" s="159">
        <v>1.57</v>
      </c>
      <c r="K918" s="161"/>
      <c r="L918" s="159">
        <v>12.56</v>
      </c>
      <c r="M918" s="160">
        <v>12.56</v>
      </c>
      <c r="N918" s="145"/>
      <c r="O918" s="156" t="s">
        <v>166</v>
      </c>
      <c r="P918" s="144" t="s">
        <v>2480</v>
      </c>
      <c r="Q918" s="147"/>
      <c r="R918" s="146"/>
      <c r="S918" s="157"/>
      <c r="T918" s="144" t="s">
        <v>25</v>
      </c>
      <c r="U918" s="150" t="s">
        <v>15</v>
      </c>
      <c r="V918" s="146">
        <v>1250</v>
      </c>
      <c r="W918" s="148" t="s">
        <v>4086</v>
      </c>
      <c r="X918" s="149">
        <v>45566</v>
      </c>
      <c r="Y918" s="165" t="s">
        <v>2558</v>
      </c>
    </row>
    <row r="919" spans="1:25">
      <c r="A919" s="163" t="s">
        <v>309</v>
      </c>
      <c r="B919" s="144" t="s">
        <v>163</v>
      </c>
      <c r="C919" s="164" t="s">
        <v>4087</v>
      </c>
      <c r="D919" s="144" t="s">
        <v>3492</v>
      </c>
      <c r="E919" s="150" t="s">
        <v>2506</v>
      </c>
      <c r="F919" s="144" t="s">
        <v>2507</v>
      </c>
      <c r="G919" s="166" t="s">
        <v>4088</v>
      </c>
      <c r="H919" s="151">
        <v>21</v>
      </c>
      <c r="I919" s="160"/>
      <c r="J919" s="159">
        <v>3.04</v>
      </c>
      <c r="K919" s="161"/>
      <c r="L919" s="159">
        <v>63.84</v>
      </c>
      <c r="M919" s="160">
        <v>63.84</v>
      </c>
      <c r="N919" s="145"/>
      <c r="O919" s="156" t="s">
        <v>166</v>
      </c>
      <c r="P919" s="144" t="s">
        <v>2480</v>
      </c>
      <c r="Q919" s="147"/>
      <c r="R919" s="146">
        <v>2038</v>
      </c>
      <c r="S919" s="157"/>
      <c r="T919" s="144" t="s">
        <v>25</v>
      </c>
      <c r="U919" s="150" t="s">
        <v>15</v>
      </c>
      <c r="V919" s="146">
        <v>1136</v>
      </c>
      <c r="W919" s="148"/>
      <c r="X919" s="149">
        <v>45566</v>
      </c>
      <c r="Y919" s="165" t="s">
        <v>2836</v>
      </c>
    </row>
    <row r="920" spans="1:25">
      <c r="A920" s="163" t="s">
        <v>7</v>
      </c>
      <c r="B920" s="144" t="s">
        <v>2463</v>
      </c>
      <c r="C920" s="164" t="s">
        <v>4089</v>
      </c>
      <c r="D920" s="144" t="s">
        <v>4090</v>
      </c>
      <c r="E920" s="150" t="s">
        <v>2466</v>
      </c>
      <c r="F920" s="144" t="s">
        <v>2467</v>
      </c>
      <c r="G920" s="166"/>
      <c r="H920" s="151">
        <v>1</v>
      </c>
      <c r="I920" s="160">
        <v>120</v>
      </c>
      <c r="J920" s="159">
        <v>120</v>
      </c>
      <c r="K920" s="161">
        <v>120</v>
      </c>
      <c r="L920" s="159">
        <v>120</v>
      </c>
      <c r="M920" s="160">
        <v>120</v>
      </c>
      <c r="N920" s="145">
        <v>480</v>
      </c>
      <c r="O920" s="156" t="s">
        <v>135</v>
      </c>
      <c r="P920" s="144" t="s">
        <v>2468</v>
      </c>
      <c r="Q920" s="147"/>
      <c r="R920" s="146"/>
      <c r="S920" s="157"/>
      <c r="T920" s="144" t="s">
        <v>29</v>
      </c>
      <c r="U920" s="150" t="s">
        <v>20</v>
      </c>
      <c r="V920" s="146">
        <v>2574</v>
      </c>
      <c r="W920" s="148" t="s">
        <v>4091</v>
      </c>
      <c r="X920" s="149">
        <v>45689</v>
      </c>
      <c r="Y920" s="165" t="s">
        <v>2474</v>
      </c>
    </row>
    <row r="921" spans="1:25">
      <c r="A921" s="163" t="s">
        <v>7</v>
      </c>
      <c r="B921" s="144" t="s">
        <v>163</v>
      </c>
      <c r="C921" s="164" t="s">
        <v>2189</v>
      </c>
      <c r="D921" s="144" t="s">
        <v>4092</v>
      </c>
      <c r="E921" s="150" t="s">
        <v>2491</v>
      </c>
      <c r="F921" s="144" t="s">
        <v>2477</v>
      </c>
      <c r="G921" s="166" t="s">
        <v>4093</v>
      </c>
      <c r="H921" s="151">
        <v>56</v>
      </c>
      <c r="I921" s="160"/>
      <c r="J921" s="159">
        <v>1</v>
      </c>
      <c r="K921" s="161"/>
      <c r="L921" s="159">
        <v>56</v>
      </c>
      <c r="M921" s="160">
        <v>56</v>
      </c>
      <c r="N921" s="145"/>
      <c r="O921" s="156" t="s">
        <v>166</v>
      </c>
      <c r="P921" s="144" t="s">
        <v>2478</v>
      </c>
      <c r="Q921" s="147"/>
      <c r="R921" s="146">
        <v>2046</v>
      </c>
      <c r="S921" s="157"/>
      <c r="T921" s="144" t="s">
        <v>25</v>
      </c>
      <c r="U921" s="150" t="s">
        <v>2479</v>
      </c>
      <c r="V921" s="146">
        <v>1318</v>
      </c>
      <c r="W921" s="148"/>
      <c r="X921" s="149">
        <v>45689</v>
      </c>
      <c r="Y921" s="165" t="s">
        <v>3037</v>
      </c>
    </row>
    <row r="922" spans="1:25">
      <c r="A922" s="163" t="s">
        <v>423</v>
      </c>
      <c r="B922" s="144" t="s">
        <v>2463</v>
      </c>
      <c r="C922" s="164" t="s">
        <v>4094</v>
      </c>
      <c r="D922" s="144" t="s">
        <v>4095</v>
      </c>
      <c r="E922" s="150" t="s">
        <v>2485</v>
      </c>
      <c r="F922" s="144" t="s">
        <v>2486</v>
      </c>
      <c r="G922" s="166"/>
      <c r="H922" s="151">
        <v>57</v>
      </c>
      <c r="I922" s="160">
        <v>0</v>
      </c>
      <c r="J922" s="159">
        <v>6.8</v>
      </c>
      <c r="K922" s="161">
        <v>0</v>
      </c>
      <c r="L922" s="159">
        <v>387.6</v>
      </c>
      <c r="M922" s="160">
        <v>387.6</v>
      </c>
      <c r="N922" s="145"/>
      <c r="O922" s="156" t="s">
        <v>135</v>
      </c>
      <c r="P922" s="144" t="s">
        <v>2478</v>
      </c>
      <c r="Q922" s="147"/>
      <c r="R922" s="146"/>
      <c r="S922" s="157"/>
      <c r="T922" s="144" t="s">
        <v>29</v>
      </c>
      <c r="U922" s="150" t="s">
        <v>17</v>
      </c>
      <c r="V922" s="146">
        <v>2612</v>
      </c>
      <c r="W922" s="148" t="s">
        <v>4096</v>
      </c>
      <c r="X922" s="149"/>
      <c r="Y922" s="165" t="s">
        <v>2500</v>
      </c>
    </row>
    <row r="923" spans="1:25">
      <c r="A923" s="163" t="s">
        <v>380</v>
      </c>
      <c r="B923" s="144" t="s">
        <v>2463</v>
      </c>
      <c r="C923" s="164" t="s">
        <v>4097</v>
      </c>
      <c r="D923" s="144" t="s">
        <v>639</v>
      </c>
      <c r="E923" s="150" t="s">
        <v>2466</v>
      </c>
      <c r="F923" s="144" t="s">
        <v>2467</v>
      </c>
      <c r="G923" s="166"/>
      <c r="H923" s="151">
        <v>1</v>
      </c>
      <c r="I923" s="160">
        <v>30</v>
      </c>
      <c r="J923" s="159">
        <v>30</v>
      </c>
      <c r="K923" s="161">
        <v>30</v>
      </c>
      <c r="L923" s="159">
        <v>30</v>
      </c>
      <c r="M923" s="160">
        <v>30</v>
      </c>
      <c r="N923" s="145">
        <v>0</v>
      </c>
      <c r="O923" s="156" t="s">
        <v>135</v>
      </c>
      <c r="P923" s="144" t="s">
        <v>2468</v>
      </c>
      <c r="Q923" s="147"/>
      <c r="R923" s="146"/>
      <c r="S923" s="157"/>
      <c r="T923" s="144" t="s">
        <v>29</v>
      </c>
      <c r="U923" s="150" t="s">
        <v>20</v>
      </c>
      <c r="V923" s="146">
        <v>2417</v>
      </c>
      <c r="W923" s="148"/>
      <c r="X923" s="149">
        <v>45778</v>
      </c>
      <c r="Y923" s="165" t="s">
        <v>3156</v>
      </c>
    </row>
    <row r="924" spans="1:25">
      <c r="A924" s="163" t="s">
        <v>380</v>
      </c>
      <c r="B924" s="144" t="s">
        <v>2463</v>
      </c>
      <c r="C924" s="164" t="s">
        <v>4098</v>
      </c>
      <c r="D924" s="144" t="s">
        <v>1002</v>
      </c>
      <c r="E924" s="150" t="s">
        <v>2466</v>
      </c>
      <c r="F924" s="144" t="s">
        <v>2467</v>
      </c>
      <c r="G924" s="166"/>
      <c r="H924" s="151">
        <v>1</v>
      </c>
      <c r="I924" s="160">
        <v>40</v>
      </c>
      <c r="J924" s="159">
        <v>40</v>
      </c>
      <c r="K924" s="161">
        <v>40</v>
      </c>
      <c r="L924" s="159">
        <v>40</v>
      </c>
      <c r="M924" s="160">
        <v>40</v>
      </c>
      <c r="N924" s="145">
        <v>0</v>
      </c>
      <c r="O924" s="156" t="s">
        <v>135</v>
      </c>
      <c r="P924" s="144" t="s">
        <v>2468</v>
      </c>
      <c r="Q924" s="147"/>
      <c r="R924" s="146"/>
      <c r="S924" s="157"/>
      <c r="T924" s="144" t="s">
        <v>29</v>
      </c>
      <c r="U924" s="150" t="s">
        <v>20</v>
      </c>
      <c r="V924" s="146">
        <v>2733</v>
      </c>
      <c r="W924" s="148" t="s">
        <v>4099</v>
      </c>
      <c r="X924" s="149">
        <v>45901</v>
      </c>
      <c r="Y924" s="165" t="s">
        <v>2708</v>
      </c>
    </row>
    <row r="925" spans="1:25">
      <c r="A925" s="163" t="s">
        <v>380</v>
      </c>
      <c r="B925" s="144" t="s">
        <v>2463</v>
      </c>
      <c r="C925" s="164" t="s">
        <v>4100</v>
      </c>
      <c r="D925" s="144" t="s">
        <v>3178</v>
      </c>
      <c r="E925" s="150" t="s">
        <v>2476</v>
      </c>
      <c r="F925" s="144" t="s">
        <v>2477</v>
      </c>
      <c r="G925" s="166"/>
      <c r="H925" s="151">
        <v>1</v>
      </c>
      <c r="I925" s="160">
        <v>108</v>
      </c>
      <c r="J925" s="159">
        <v>108</v>
      </c>
      <c r="K925" s="161">
        <v>108</v>
      </c>
      <c r="L925" s="159">
        <v>108</v>
      </c>
      <c r="M925" s="160">
        <v>108</v>
      </c>
      <c r="N925" s="145"/>
      <c r="O925" s="156" t="s">
        <v>135</v>
      </c>
      <c r="P925" s="144" t="s">
        <v>2478</v>
      </c>
      <c r="Q925" s="147"/>
      <c r="R925" s="146"/>
      <c r="S925" s="157"/>
      <c r="T925" s="144" t="s">
        <v>29</v>
      </c>
      <c r="U925" s="150" t="s">
        <v>2479</v>
      </c>
      <c r="V925" s="146">
        <v>2548</v>
      </c>
      <c r="W925" s="148" t="s">
        <v>4101</v>
      </c>
      <c r="X925" s="149">
        <v>45689</v>
      </c>
      <c r="Y925" s="165" t="s">
        <v>2470</v>
      </c>
    </row>
    <row r="926" spans="1:25" ht="20.6">
      <c r="A926" s="163" t="s">
        <v>380</v>
      </c>
      <c r="B926" s="144" t="s">
        <v>163</v>
      </c>
      <c r="C926" s="164" t="s">
        <v>1481</v>
      </c>
      <c r="D926" s="144" t="s">
        <v>400</v>
      </c>
      <c r="E926" s="150" t="s">
        <v>2491</v>
      </c>
      <c r="F926" s="144" t="s">
        <v>2477</v>
      </c>
      <c r="G926" s="166" t="s">
        <v>1482</v>
      </c>
      <c r="H926" s="151">
        <v>2</v>
      </c>
      <c r="I926" s="160"/>
      <c r="J926" s="159">
        <v>2.75</v>
      </c>
      <c r="K926" s="161"/>
      <c r="L926" s="159">
        <v>5.5</v>
      </c>
      <c r="M926" s="160">
        <v>5.5</v>
      </c>
      <c r="N926" s="145"/>
      <c r="O926" s="156" t="s">
        <v>166</v>
      </c>
      <c r="P926" s="144" t="s">
        <v>2478</v>
      </c>
      <c r="Q926" s="147">
        <v>44774</v>
      </c>
      <c r="R926" s="146">
        <v>2031</v>
      </c>
      <c r="S926" s="157"/>
      <c r="T926" s="144" t="s">
        <v>25</v>
      </c>
      <c r="U926" s="150" t="s">
        <v>2479</v>
      </c>
      <c r="V926" s="146">
        <v>1849</v>
      </c>
      <c r="W926" s="148"/>
      <c r="X926" s="149">
        <v>45689</v>
      </c>
      <c r="Y926" s="165" t="s">
        <v>2740</v>
      </c>
    </row>
    <row r="927" spans="1:25">
      <c r="A927" s="163" t="s">
        <v>380</v>
      </c>
      <c r="B927" s="144" t="s">
        <v>163</v>
      </c>
      <c r="C927" s="164" t="s">
        <v>1483</v>
      </c>
      <c r="D927" s="144" t="s">
        <v>400</v>
      </c>
      <c r="E927" s="150" t="s">
        <v>2491</v>
      </c>
      <c r="F927" s="144" t="s">
        <v>2477</v>
      </c>
      <c r="G927" s="166" t="s">
        <v>1484</v>
      </c>
      <c r="H927" s="151">
        <v>2</v>
      </c>
      <c r="I927" s="160"/>
      <c r="J927" s="159">
        <v>2.75</v>
      </c>
      <c r="K927" s="161"/>
      <c r="L927" s="159">
        <v>5.5</v>
      </c>
      <c r="M927" s="160">
        <v>5.5</v>
      </c>
      <c r="N927" s="145"/>
      <c r="O927" s="156" t="s">
        <v>166</v>
      </c>
      <c r="P927" s="144" t="s">
        <v>2478</v>
      </c>
      <c r="Q927" s="147">
        <v>44713</v>
      </c>
      <c r="R927" s="146">
        <v>2041</v>
      </c>
      <c r="S927" s="157"/>
      <c r="T927" s="144" t="s">
        <v>25</v>
      </c>
      <c r="U927" s="150" t="s">
        <v>2479</v>
      </c>
      <c r="V927" s="146">
        <v>1850</v>
      </c>
      <c r="W927" s="148"/>
      <c r="X927" s="149">
        <v>45689</v>
      </c>
      <c r="Y927" s="165" t="s">
        <v>2740</v>
      </c>
    </row>
    <row r="928" spans="1:25">
      <c r="A928" s="163" t="s">
        <v>380</v>
      </c>
      <c r="B928" s="144" t="s">
        <v>163</v>
      </c>
      <c r="C928" s="164" t="s">
        <v>1485</v>
      </c>
      <c r="D928" s="144" t="s">
        <v>400</v>
      </c>
      <c r="E928" s="150" t="s">
        <v>2491</v>
      </c>
      <c r="F928" s="144" t="s">
        <v>2477</v>
      </c>
      <c r="G928" s="166" t="s">
        <v>1486</v>
      </c>
      <c r="H928" s="151">
        <v>3</v>
      </c>
      <c r="I928" s="160"/>
      <c r="J928" s="159">
        <v>2.5</v>
      </c>
      <c r="K928" s="161"/>
      <c r="L928" s="159">
        <v>7.5</v>
      </c>
      <c r="M928" s="160">
        <v>7.5</v>
      </c>
      <c r="N928" s="145"/>
      <c r="O928" s="156" t="s">
        <v>166</v>
      </c>
      <c r="P928" s="144" t="s">
        <v>2478</v>
      </c>
      <c r="Q928" s="147">
        <v>44713</v>
      </c>
      <c r="R928" s="146">
        <v>2045</v>
      </c>
      <c r="S928" s="157"/>
      <c r="T928" s="144" t="s">
        <v>25</v>
      </c>
      <c r="U928" s="150" t="s">
        <v>2479</v>
      </c>
      <c r="V928" s="146">
        <v>1851</v>
      </c>
      <c r="W928" s="148"/>
      <c r="X928" s="149">
        <v>45689</v>
      </c>
      <c r="Y928" s="165" t="s">
        <v>2740</v>
      </c>
    </row>
    <row r="929" spans="1:25">
      <c r="A929" s="163" t="s">
        <v>380</v>
      </c>
      <c r="B929" s="144" t="s">
        <v>163</v>
      </c>
      <c r="C929" s="164" t="s">
        <v>1487</v>
      </c>
      <c r="D929" s="144" t="s">
        <v>400</v>
      </c>
      <c r="E929" s="150" t="s">
        <v>2491</v>
      </c>
      <c r="F929" s="144" t="s">
        <v>2477</v>
      </c>
      <c r="G929" s="166" t="s">
        <v>1488</v>
      </c>
      <c r="H929" s="151">
        <v>2</v>
      </c>
      <c r="I929" s="160"/>
      <c r="J929" s="159">
        <v>2.75</v>
      </c>
      <c r="K929" s="161"/>
      <c r="L929" s="159">
        <v>5.5</v>
      </c>
      <c r="M929" s="160">
        <v>5.5</v>
      </c>
      <c r="N929" s="145"/>
      <c r="O929" s="156" t="s">
        <v>166</v>
      </c>
      <c r="P929" s="144" t="s">
        <v>2478</v>
      </c>
      <c r="Q929" s="147">
        <v>44774</v>
      </c>
      <c r="R929" s="146">
        <v>2041</v>
      </c>
      <c r="S929" s="157"/>
      <c r="T929" s="144" t="s">
        <v>25</v>
      </c>
      <c r="U929" s="150" t="s">
        <v>2479</v>
      </c>
      <c r="V929" s="146">
        <v>1852</v>
      </c>
      <c r="W929" s="148"/>
      <c r="X929" s="149">
        <v>45689</v>
      </c>
      <c r="Y929" s="165" t="s">
        <v>2740</v>
      </c>
    </row>
    <row r="930" spans="1:25">
      <c r="A930" s="163" t="s">
        <v>423</v>
      </c>
      <c r="B930" s="144" t="s">
        <v>2463</v>
      </c>
      <c r="C930" s="164" t="s">
        <v>435</v>
      </c>
      <c r="D930" s="144" t="s">
        <v>436</v>
      </c>
      <c r="E930" s="150" t="s">
        <v>2466</v>
      </c>
      <c r="F930" s="144" t="s">
        <v>2467</v>
      </c>
      <c r="G930" s="166"/>
      <c r="H930" s="151">
        <v>1</v>
      </c>
      <c r="I930" s="160"/>
      <c r="J930" s="159">
        <v>240</v>
      </c>
      <c r="K930" s="161"/>
      <c r="L930" s="159">
        <v>240</v>
      </c>
      <c r="M930" s="160">
        <v>240</v>
      </c>
      <c r="N930" s="145">
        <v>480</v>
      </c>
      <c r="O930" s="156" t="s">
        <v>27</v>
      </c>
      <c r="P930" s="144" t="s">
        <v>2468</v>
      </c>
      <c r="Q930" s="147">
        <v>46054</v>
      </c>
      <c r="R930" s="146">
        <v>2046</v>
      </c>
      <c r="S930" s="157"/>
      <c r="T930" s="144" t="s">
        <v>27</v>
      </c>
      <c r="U930" s="150" t="s">
        <v>20</v>
      </c>
      <c r="V930" s="146">
        <v>1945</v>
      </c>
      <c r="W930" s="148" t="s">
        <v>4102</v>
      </c>
      <c r="X930" s="149">
        <v>45901</v>
      </c>
      <c r="Y930" s="165" t="s">
        <v>2490</v>
      </c>
    </row>
    <row r="931" spans="1:25">
      <c r="A931" s="163" t="s">
        <v>423</v>
      </c>
      <c r="B931" s="144" t="s">
        <v>163</v>
      </c>
      <c r="C931" s="164" t="s">
        <v>1758</v>
      </c>
      <c r="D931" s="144" t="s">
        <v>1759</v>
      </c>
      <c r="E931" s="150" t="s">
        <v>2555</v>
      </c>
      <c r="F931" s="144" t="s">
        <v>2556</v>
      </c>
      <c r="G931" s="166" t="s">
        <v>4103</v>
      </c>
      <c r="H931" s="151">
        <v>1</v>
      </c>
      <c r="I931" s="160"/>
      <c r="J931" s="159">
        <v>292</v>
      </c>
      <c r="K931" s="161"/>
      <c r="L931" s="159">
        <v>292</v>
      </c>
      <c r="M931" s="160">
        <v>292</v>
      </c>
      <c r="N931" s="145"/>
      <c r="O931" s="156" t="s">
        <v>166</v>
      </c>
      <c r="P931" s="144" t="s">
        <v>2468</v>
      </c>
      <c r="Q931" s="147"/>
      <c r="R931" s="146">
        <v>2047</v>
      </c>
      <c r="S931" s="157"/>
      <c r="T931" s="144" t="s">
        <v>25</v>
      </c>
      <c r="U931" s="150" t="s">
        <v>14</v>
      </c>
      <c r="V931" s="146">
        <v>1139</v>
      </c>
      <c r="W931" s="148"/>
      <c r="X931" s="149">
        <v>45689</v>
      </c>
      <c r="Y931" s="165" t="s">
        <v>2500</v>
      </c>
    </row>
    <row r="932" spans="1:25">
      <c r="A932" s="163" t="s">
        <v>423</v>
      </c>
      <c r="B932" s="144" t="s">
        <v>163</v>
      </c>
      <c r="C932" s="164" t="s">
        <v>1758</v>
      </c>
      <c r="D932" s="144" t="s">
        <v>1759</v>
      </c>
      <c r="E932" s="150" t="s">
        <v>2555</v>
      </c>
      <c r="F932" s="144" t="s">
        <v>2556</v>
      </c>
      <c r="G932" s="166" t="s">
        <v>1792</v>
      </c>
      <c r="H932" s="151">
        <v>1</v>
      </c>
      <c r="I932" s="160"/>
      <c r="J932" s="159">
        <v>292</v>
      </c>
      <c r="K932" s="161"/>
      <c r="L932" s="159">
        <v>292</v>
      </c>
      <c r="M932" s="160">
        <v>292</v>
      </c>
      <c r="N932" s="145"/>
      <c r="O932" s="156" t="s">
        <v>166</v>
      </c>
      <c r="P932" s="144" t="s">
        <v>2468</v>
      </c>
      <c r="Q932" s="147"/>
      <c r="R932" s="146">
        <v>2047</v>
      </c>
      <c r="S932" s="157"/>
      <c r="T932" s="144" t="s">
        <v>25</v>
      </c>
      <c r="U932" s="150" t="s">
        <v>14</v>
      </c>
      <c r="V932" s="146">
        <v>1139</v>
      </c>
      <c r="W932" s="148"/>
      <c r="X932" s="149">
        <v>45689</v>
      </c>
      <c r="Y932" s="165" t="s">
        <v>2500</v>
      </c>
    </row>
    <row r="933" spans="1:25">
      <c r="A933" s="163" t="s">
        <v>423</v>
      </c>
      <c r="B933" s="144" t="s">
        <v>2463</v>
      </c>
      <c r="C933" s="164" t="s">
        <v>1758</v>
      </c>
      <c r="D933" s="144" t="s">
        <v>1759</v>
      </c>
      <c r="E933" s="150" t="s">
        <v>2555</v>
      </c>
      <c r="F933" s="144" t="s">
        <v>2814</v>
      </c>
      <c r="G933" s="166"/>
      <c r="H933" s="151">
        <v>4</v>
      </c>
      <c r="I933" s="160">
        <v>50</v>
      </c>
      <c r="J933" s="159">
        <v>50</v>
      </c>
      <c r="K933" s="161">
        <v>200</v>
      </c>
      <c r="L933" s="159">
        <v>200</v>
      </c>
      <c r="M933" s="160">
        <v>200</v>
      </c>
      <c r="N933" s="145"/>
      <c r="O933" s="156" t="s">
        <v>135</v>
      </c>
      <c r="P933" s="144" t="s">
        <v>2468</v>
      </c>
      <c r="Q933" s="147"/>
      <c r="R933" s="146"/>
      <c r="S933" s="157"/>
      <c r="T933" s="144" t="s">
        <v>29</v>
      </c>
      <c r="U933" s="150" t="s">
        <v>14</v>
      </c>
      <c r="V933" s="146">
        <v>1139</v>
      </c>
      <c r="W933" s="148"/>
      <c r="X933" s="149">
        <v>45689</v>
      </c>
      <c r="Y933" s="165" t="s">
        <v>2500</v>
      </c>
    </row>
    <row r="934" spans="1:25">
      <c r="A934" s="163" t="s">
        <v>423</v>
      </c>
      <c r="B934" s="144" t="s">
        <v>2463</v>
      </c>
      <c r="C934" s="164" t="s">
        <v>449</v>
      </c>
      <c r="D934" s="144" t="s">
        <v>450</v>
      </c>
      <c r="E934" s="150" t="s">
        <v>2466</v>
      </c>
      <c r="F934" s="144" t="s">
        <v>2467</v>
      </c>
      <c r="G934" s="166"/>
      <c r="H934" s="151">
        <v>1</v>
      </c>
      <c r="I934" s="160"/>
      <c r="J934" s="159">
        <v>300</v>
      </c>
      <c r="K934" s="161"/>
      <c r="L934" s="159">
        <v>300</v>
      </c>
      <c r="M934" s="160">
        <v>300</v>
      </c>
      <c r="N934" s="145">
        <v>600</v>
      </c>
      <c r="O934" s="156" t="s">
        <v>134</v>
      </c>
      <c r="P934" s="144" t="s">
        <v>2468</v>
      </c>
      <c r="Q934" s="147">
        <v>46204</v>
      </c>
      <c r="R934" s="146">
        <v>2056</v>
      </c>
      <c r="S934" s="157"/>
      <c r="T934" s="144" t="s">
        <v>27</v>
      </c>
      <c r="U934" s="150" t="s">
        <v>20</v>
      </c>
      <c r="V934" s="146">
        <v>1882</v>
      </c>
      <c r="W934" s="148" t="s">
        <v>4104</v>
      </c>
      <c r="X934" s="149">
        <v>45901</v>
      </c>
      <c r="Y934" s="165" t="s">
        <v>2589</v>
      </c>
    </row>
    <row r="935" spans="1:25">
      <c r="A935" s="163" t="s">
        <v>423</v>
      </c>
      <c r="B935" s="144" t="s">
        <v>2463</v>
      </c>
      <c r="C935" s="164" t="s">
        <v>1021</v>
      </c>
      <c r="D935" s="144" t="s">
        <v>4105</v>
      </c>
      <c r="E935" s="150" t="s">
        <v>2491</v>
      </c>
      <c r="F935" s="144" t="s">
        <v>2477</v>
      </c>
      <c r="G935" s="166"/>
      <c r="H935" s="151">
        <v>76</v>
      </c>
      <c r="I935" s="160"/>
      <c r="J935" s="159">
        <v>4.3899999999999997</v>
      </c>
      <c r="K935" s="161"/>
      <c r="L935" s="159">
        <v>333.64</v>
      </c>
      <c r="M935" s="160">
        <v>333.64</v>
      </c>
      <c r="N935" s="145"/>
      <c r="O935" s="156" t="s">
        <v>28</v>
      </c>
      <c r="P935" s="144" t="s">
        <v>2478</v>
      </c>
      <c r="Q935" s="147">
        <v>46997</v>
      </c>
      <c r="R935" s="146">
        <v>2063</v>
      </c>
      <c r="S935" s="157"/>
      <c r="T935" s="144" t="s">
        <v>28</v>
      </c>
      <c r="U935" s="150" t="s">
        <v>2479</v>
      </c>
      <c r="V935" s="146">
        <v>2022</v>
      </c>
      <c r="W935" s="148" t="s">
        <v>4106</v>
      </c>
      <c r="X935" s="149">
        <v>45901</v>
      </c>
      <c r="Y935" s="165" t="s">
        <v>2578</v>
      </c>
    </row>
    <row r="936" spans="1:25">
      <c r="A936" s="163" t="s">
        <v>423</v>
      </c>
      <c r="B936" s="144" t="s">
        <v>2463</v>
      </c>
      <c r="C936" s="164" t="s">
        <v>1021</v>
      </c>
      <c r="D936" s="144" t="s">
        <v>4105</v>
      </c>
      <c r="E936" s="150" t="s">
        <v>2466</v>
      </c>
      <c r="F936" s="144" t="s">
        <v>2477</v>
      </c>
      <c r="G936" s="166"/>
      <c r="H936" s="151">
        <v>72</v>
      </c>
      <c r="I936" s="160"/>
      <c r="J936" s="159">
        <v>4.3899999999999997</v>
      </c>
      <c r="K936" s="161"/>
      <c r="L936" s="159">
        <v>316.08</v>
      </c>
      <c r="M936" s="160">
        <v>316.08</v>
      </c>
      <c r="N936" s="145">
        <v>1200</v>
      </c>
      <c r="O936" s="156" t="s">
        <v>28</v>
      </c>
      <c r="P936" s="144" t="s">
        <v>2468</v>
      </c>
      <c r="Q936" s="147">
        <v>46997</v>
      </c>
      <c r="R936" s="146">
        <v>2063</v>
      </c>
      <c r="S936" s="157"/>
      <c r="T936" s="144" t="s">
        <v>28</v>
      </c>
      <c r="U936" s="150" t="s">
        <v>20</v>
      </c>
      <c r="V936" s="146">
        <v>2022</v>
      </c>
      <c r="W936" s="148" t="s">
        <v>4106</v>
      </c>
      <c r="X936" s="149">
        <v>45901</v>
      </c>
      <c r="Y936" s="165" t="s">
        <v>2578</v>
      </c>
    </row>
    <row r="937" spans="1:25">
      <c r="A937" s="163" t="s">
        <v>423</v>
      </c>
      <c r="B937" s="144" t="s">
        <v>163</v>
      </c>
      <c r="C937" s="164" t="s">
        <v>1288</v>
      </c>
      <c r="D937" s="144" t="s">
        <v>1289</v>
      </c>
      <c r="E937" s="150" t="s">
        <v>2485</v>
      </c>
      <c r="F937" s="144" t="s">
        <v>2486</v>
      </c>
      <c r="G937" s="166" t="s">
        <v>4107</v>
      </c>
      <c r="H937" s="151">
        <v>35</v>
      </c>
      <c r="I937" s="160">
        <v>4.5</v>
      </c>
      <c r="J937" s="159">
        <v>4.5</v>
      </c>
      <c r="K937" s="161">
        <v>157.5</v>
      </c>
      <c r="L937" s="159">
        <v>157.5</v>
      </c>
      <c r="M937" s="160">
        <v>157.5</v>
      </c>
      <c r="N937" s="145"/>
      <c r="O937" s="156" t="s">
        <v>166</v>
      </c>
      <c r="P937" s="144" t="s">
        <v>2478</v>
      </c>
      <c r="Q937" s="147">
        <v>45047</v>
      </c>
      <c r="R937" s="146">
        <v>2047</v>
      </c>
      <c r="S937" s="157"/>
      <c r="T937" s="144" t="s">
        <v>25</v>
      </c>
      <c r="U937" s="150" t="s">
        <v>17</v>
      </c>
      <c r="V937" s="146">
        <v>1138</v>
      </c>
      <c r="W937" s="148"/>
      <c r="X937" s="149">
        <v>45689</v>
      </c>
      <c r="Y937" s="165" t="s">
        <v>2740</v>
      </c>
    </row>
    <row r="938" spans="1:25">
      <c r="A938" s="163" t="s">
        <v>423</v>
      </c>
      <c r="B938" s="144" t="s">
        <v>163</v>
      </c>
      <c r="C938" s="164" t="s">
        <v>2428</v>
      </c>
      <c r="D938" s="144" t="s">
        <v>4108</v>
      </c>
      <c r="E938" s="150" t="s">
        <v>2485</v>
      </c>
      <c r="F938" s="144" t="s">
        <v>2486</v>
      </c>
      <c r="G938" s="166" t="s">
        <v>4109</v>
      </c>
      <c r="H938" s="151">
        <v>13</v>
      </c>
      <c r="I938" s="160">
        <v>1.5</v>
      </c>
      <c r="J938" s="159">
        <v>1.5</v>
      </c>
      <c r="K938" s="161">
        <v>19.5</v>
      </c>
      <c r="L938" s="159">
        <v>19.5</v>
      </c>
      <c r="M938" s="160">
        <v>19.5</v>
      </c>
      <c r="N938" s="145"/>
      <c r="O938" s="156" t="s">
        <v>166</v>
      </c>
      <c r="P938" s="144" t="s">
        <v>2480</v>
      </c>
      <c r="Q938" s="147">
        <v>44378</v>
      </c>
      <c r="R938" s="146"/>
      <c r="S938" s="157"/>
      <c r="T938" s="144" t="s">
        <v>25</v>
      </c>
      <c r="U938" s="150" t="s">
        <v>17</v>
      </c>
      <c r="V938" s="146">
        <v>1331</v>
      </c>
      <c r="W938" s="148"/>
      <c r="X938" s="149">
        <v>45566</v>
      </c>
      <c r="Y938" s="165" t="s">
        <v>3225</v>
      </c>
    </row>
    <row r="939" spans="1:25">
      <c r="A939" s="163" t="s">
        <v>423</v>
      </c>
      <c r="B939" s="144" t="s">
        <v>2463</v>
      </c>
      <c r="C939" s="164" t="s">
        <v>4110</v>
      </c>
      <c r="D939" s="144" t="s">
        <v>4111</v>
      </c>
      <c r="E939" s="150" t="s">
        <v>2466</v>
      </c>
      <c r="F939" s="144" t="s">
        <v>2467</v>
      </c>
      <c r="G939" s="166"/>
      <c r="H939" s="151">
        <v>218</v>
      </c>
      <c r="I939" s="160">
        <v>3.6</v>
      </c>
      <c r="J939" s="159">
        <v>3.6</v>
      </c>
      <c r="K939" s="161">
        <v>784.8</v>
      </c>
      <c r="L939" s="159">
        <v>784.8</v>
      </c>
      <c r="M939" s="160">
        <v>784.8</v>
      </c>
      <c r="N939" s="145">
        <v>4000</v>
      </c>
      <c r="O939" s="156" t="s">
        <v>135</v>
      </c>
      <c r="P939" s="144" t="s">
        <v>2468</v>
      </c>
      <c r="Q939" s="147"/>
      <c r="R939" s="146">
        <v>2057</v>
      </c>
      <c r="S939" s="157"/>
      <c r="T939" s="144" t="s">
        <v>29</v>
      </c>
      <c r="U939" s="150" t="s">
        <v>20</v>
      </c>
      <c r="V939" s="146">
        <v>2654</v>
      </c>
      <c r="W939" s="148" t="s">
        <v>4112</v>
      </c>
      <c r="X939" s="149">
        <v>45413</v>
      </c>
      <c r="Y939" s="165" t="s">
        <v>4113</v>
      </c>
    </row>
    <row r="940" spans="1:25">
      <c r="A940" s="163" t="s">
        <v>309</v>
      </c>
      <c r="B940" s="144" t="s">
        <v>2463</v>
      </c>
      <c r="C940" s="164" t="s">
        <v>4114</v>
      </c>
      <c r="D940" s="144" t="s">
        <v>2549</v>
      </c>
      <c r="E940" s="150" t="s">
        <v>2466</v>
      </c>
      <c r="F940" s="144" t="s">
        <v>2467</v>
      </c>
      <c r="G940" s="166"/>
      <c r="H940" s="151">
        <v>1</v>
      </c>
      <c r="I940" s="160">
        <v>377.54</v>
      </c>
      <c r="J940" s="159">
        <v>377.54</v>
      </c>
      <c r="K940" s="161">
        <v>377.54</v>
      </c>
      <c r="L940" s="159">
        <v>377.54</v>
      </c>
      <c r="M940" s="160">
        <v>377.54</v>
      </c>
      <c r="N940" s="145">
        <v>1000</v>
      </c>
      <c r="O940" s="156" t="s">
        <v>135</v>
      </c>
      <c r="P940" s="144" t="s">
        <v>2468</v>
      </c>
      <c r="Q940" s="147"/>
      <c r="R940" s="146"/>
      <c r="S940" s="157"/>
      <c r="T940" s="144" t="s">
        <v>29</v>
      </c>
      <c r="U940" s="150" t="s">
        <v>20</v>
      </c>
      <c r="V940" s="146">
        <v>2970</v>
      </c>
      <c r="W940" s="148"/>
      <c r="X940" s="149"/>
      <c r="Y940" s="165" t="s">
        <v>2470</v>
      </c>
    </row>
    <row r="941" spans="1:25">
      <c r="A941" s="163" t="s">
        <v>309</v>
      </c>
      <c r="B941" s="144" t="s">
        <v>2463</v>
      </c>
      <c r="C941" s="164" t="s">
        <v>4115</v>
      </c>
      <c r="D941" s="144" t="s">
        <v>2549</v>
      </c>
      <c r="E941" s="150" t="s">
        <v>2466</v>
      </c>
      <c r="F941" s="144" t="s">
        <v>2467</v>
      </c>
      <c r="G941" s="166"/>
      <c r="H941" s="151">
        <v>1</v>
      </c>
      <c r="I941" s="160">
        <v>377.54</v>
      </c>
      <c r="J941" s="159">
        <v>377.54</v>
      </c>
      <c r="K941" s="161">
        <v>377.54</v>
      </c>
      <c r="L941" s="159">
        <v>377.54</v>
      </c>
      <c r="M941" s="160">
        <v>377.54</v>
      </c>
      <c r="N941" s="145">
        <v>1000</v>
      </c>
      <c r="O941" s="156" t="s">
        <v>135</v>
      </c>
      <c r="P941" s="144" t="s">
        <v>2468</v>
      </c>
      <c r="Q941" s="147"/>
      <c r="R941" s="146"/>
      <c r="S941" s="157"/>
      <c r="T941" s="144" t="s">
        <v>29</v>
      </c>
      <c r="U941" s="150" t="s">
        <v>20</v>
      </c>
      <c r="V941" s="146">
        <v>2971</v>
      </c>
      <c r="W941" s="148"/>
      <c r="X941" s="149"/>
      <c r="Y941" s="165" t="s">
        <v>2470</v>
      </c>
    </row>
    <row r="942" spans="1:25">
      <c r="A942" s="163" t="s">
        <v>309</v>
      </c>
      <c r="B942" s="144" t="s">
        <v>163</v>
      </c>
      <c r="C942" s="164" t="s">
        <v>1861</v>
      </c>
      <c r="D942" s="144" t="s">
        <v>1100</v>
      </c>
      <c r="E942" s="150" t="s">
        <v>2485</v>
      </c>
      <c r="F942" s="144" t="s">
        <v>2486</v>
      </c>
      <c r="G942" s="166" t="s">
        <v>4116</v>
      </c>
      <c r="H942" s="151">
        <v>53</v>
      </c>
      <c r="I942" s="160">
        <v>3.41</v>
      </c>
      <c r="J942" s="159">
        <v>3.41</v>
      </c>
      <c r="K942" s="161">
        <v>180.52</v>
      </c>
      <c r="L942" s="159">
        <v>180.52</v>
      </c>
      <c r="M942" s="160">
        <v>180.52</v>
      </c>
      <c r="N942" s="145"/>
      <c r="O942" s="156" t="s">
        <v>166</v>
      </c>
      <c r="P942" s="144" t="s">
        <v>2478</v>
      </c>
      <c r="Q942" s="147">
        <v>43374</v>
      </c>
      <c r="R942" s="146">
        <v>2043</v>
      </c>
      <c r="S942" s="157"/>
      <c r="T942" s="144" t="s">
        <v>25</v>
      </c>
      <c r="U942" s="150" t="s">
        <v>17</v>
      </c>
      <c r="V942" s="146">
        <v>1258</v>
      </c>
      <c r="W942" s="148"/>
      <c r="X942" s="149">
        <v>45689</v>
      </c>
      <c r="Y942" s="165" t="s">
        <v>2558</v>
      </c>
    </row>
    <row r="943" spans="1:25">
      <c r="A943" s="163" t="s">
        <v>423</v>
      </c>
      <c r="B943" s="144" t="s">
        <v>2463</v>
      </c>
      <c r="C943" s="164" t="s">
        <v>4117</v>
      </c>
      <c r="D943" s="144" t="s">
        <v>4118</v>
      </c>
      <c r="E943" s="150" t="s">
        <v>2485</v>
      </c>
      <c r="F943" s="144" t="s">
        <v>2486</v>
      </c>
      <c r="G943" s="166"/>
      <c r="H943" s="151">
        <v>85</v>
      </c>
      <c r="I943" s="160">
        <v>4</v>
      </c>
      <c r="J943" s="159">
        <v>5.4</v>
      </c>
      <c r="K943" s="161">
        <v>340</v>
      </c>
      <c r="L943" s="159">
        <v>459</v>
      </c>
      <c r="M943" s="160" t="s">
        <v>4119</v>
      </c>
      <c r="N943" s="145"/>
      <c r="O943" s="156" t="s">
        <v>135</v>
      </c>
      <c r="P943" s="144" t="s">
        <v>2478</v>
      </c>
      <c r="Q943" s="147"/>
      <c r="R943" s="146"/>
      <c r="S943" s="157"/>
      <c r="T943" s="144" t="s">
        <v>29</v>
      </c>
      <c r="U943" s="150" t="s">
        <v>17</v>
      </c>
      <c r="V943" s="146">
        <v>1500</v>
      </c>
      <c r="W943" s="148" t="s">
        <v>4120</v>
      </c>
      <c r="X943" s="149">
        <v>45689</v>
      </c>
      <c r="Y943" s="165" t="s">
        <v>2865</v>
      </c>
    </row>
    <row r="944" spans="1:25">
      <c r="A944" s="163" t="s">
        <v>423</v>
      </c>
      <c r="B944" s="144" t="s">
        <v>2463</v>
      </c>
      <c r="C944" s="164" t="s">
        <v>4121</v>
      </c>
      <c r="D944" s="144" t="s">
        <v>4122</v>
      </c>
      <c r="E944" s="150" t="s">
        <v>2485</v>
      </c>
      <c r="F944" s="144" t="s">
        <v>2486</v>
      </c>
      <c r="G944" s="166"/>
      <c r="H944" s="151">
        <v>1</v>
      </c>
      <c r="I944" s="160">
        <v>750</v>
      </c>
      <c r="J944" s="159">
        <v>750</v>
      </c>
      <c r="K944" s="161">
        <v>750</v>
      </c>
      <c r="L944" s="159">
        <v>750</v>
      </c>
      <c r="M944" s="160">
        <v>750</v>
      </c>
      <c r="N944" s="145"/>
      <c r="O944" s="156" t="s">
        <v>135</v>
      </c>
      <c r="P944" s="144" t="s">
        <v>2478</v>
      </c>
      <c r="Q944" s="147"/>
      <c r="R944" s="146"/>
      <c r="S944" s="157"/>
      <c r="T944" s="144" t="s">
        <v>29</v>
      </c>
      <c r="U944" s="150" t="s">
        <v>17</v>
      </c>
      <c r="V944" s="146">
        <v>2655</v>
      </c>
      <c r="W944" s="148" t="s">
        <v>4123</v>
      </c>
      <c r="X944" s="149">
        <v>45901</v>
      </c>
      <c r="Y944" s="165" t="s">
        <v>2671</v>
      </c>
    </row>
    <row r="945" spans="1:25">
      <c r="A945" s="163" t="s">
        <v>309</v>
      </c>
      <c r="B945" s="144" t="s">
        <v>2463</v>
      </c>
      <c r="C945" s="164" t="s">
        <v>4124</v>
      </c>
      <c r="D945" s="144" t="s">
        <v>710</v>
      </c>
      <c r="E945" s="150" t="s">
        <v>2466</v>
      </c>
      <c r="F945" s="144" t="s">
        <v>2467</v>
      </c>
      <c r="G945" s="166"/>
      <c r="H945" s="151">
        <v>1</v>
      </c>
      <c r="I945" s="160">
        <v>300</v>
      </c>
      <c r="J945" s="159">
        <v>300</v>
      </c>
      <c r="K945" s="161">
        <v>300</v>
      </c>
      <c r="L945" s="159">
        <v>300</v>
      </c>
      <c r="M945" s="160">
        <v>300</v>
      </c>
      <c r="N945" s="145">
        <v>1200</v>
      </c>
      <c r="O945" s="156" t="s">
        <v>135</v>
      </c>
      <c r="P945" s="144" t="s">
        <v>2468</v>
      </c>
      <c r="Q945" s="147"/>
      <c r="R945" s="146"/>
      <c r="S945" s="157"/>
      <c r="T945" s="144" t="s">
        <v>29</v>
      </c>
      <c r="U945" s="150" t="s">
        <v>20</v>
      </c>
      <c r="V945" s="146">
        <v>3065</v>
      </c>
      <c r="W945" s="148" t="s">
        <v>4125</v>
      </c>
      <c r="X945" s="149">
        <v>45901</v>
      </c>
      <c r="Y945" s="165" t="s">
        <v>3006</v>
      </c>
    </row>
    <row r="946" spans="1:25">
      <c r="A946" s="163" t="s">
        <v>309</v>
      </c>
      <c r="B946" s="144" t="s">
        <v>2463</v>
      </c>
      <c r="C946" s="164" t="s">
        <v>4126</v>
      </c>
      <c r="D946" s="144" t="s">
        <v>4127</v>
      </c>
      <c r="E946" s="150" t="s">
        <v>2485</v>
      </c>
      <c r="F946" s="144" t="s">
        <v>2486</v>
      </c>
      <c r="G946" s="166"/>
      <c r="H946" s="151">
        <v>1</v>
      </c>
      <c r="I946" s="160">
        <v>0</v>
      </c>
      <c r="J946" s="159">
        <v>370</v>
      </c>
      <c r="K946" s="161">
        <v>0</v>
      </c>
      <c r="L946" s="159">
        <v>370</v>
      </c>
      <c r="M946" s="160">
        <v>370</v>
      </c>
      <c r="N946" s="145"/>
      <c r="O946" s="156" t="s">
        <v>135</v>
      </c>
      <c r="P946" s="144" t="s">
        <v>2478</v>
      </c>
      <c r="Q946" s="147">
        <v>46905</v>
      </c>
      <c r="R946" s="146">
        <v>2065</v>
      </c>
      <c r="S946" s="157"/>
      <c r="T946" s="144" t="s">
        <v>29</v>
      </c>
      <c r="U946" s="150" t="s">
        <v>17</v>
      </c>
      <c r="V946" s="146">
        <v>2405</v>
      </c>
      <c r="W946" s="148" t="s">
        <v>4128</v>
      </c>
      <c r="X946" s="149">
        <v>45778</v>
      </c>
      <c r="Y946" s="165" t="s">
        <v>2474</v>
      </c>
    </row>
    <row r="947" spans="1:25">
      <c r="A947" s="163" t="s">
        <v>7</v>
      </c>
      <c r="B947" s="144" t="s">
        <v>2463</v>
      </c>
      <c r="C947" s="164" t="s">
        <v>4129</v>
      </c>
      <c r="D947" s="144" t="s">
        <v>2997</v>
      </c>
      <c r="E947" s="150" t="s">
        <v>2466</v>
      </c>
      <c r="F947" s="144" t="s">
        <v>2467</v>
      </c>
      <c r="G947" s="166"/>
      <c r="H947" s="151">
        <v>1</v>
      </c>
      <c r="I947" s="160"/>
      <c r="J947" s="159">
        <v>100</v>
      </c>
      <c r="K947" s="161"/>
      <c r="L947" s="159">
        <v>100</v>
      </c>
      <c r="M947" s="160">
        <v>100</v>
      </c>
      <c r="N947" s="145">
        <v>600</v>
      </c>
      <c r="O947" s="156" t="s">
        <v>135</v>
      </c>
      <c r="P947" s="144" t="s">
        <v>2468</v>
      </c>
      <c r="Q947" s="147"/>
      <c r="R947" s="146"/>
      <c r="S947" s="157"/>
      <c r="T947" s="144" t="s">
        <v>29</v>
      </c>
      <c r="U947" s="150" t="s">
        <v>20</v>
      </c>
      <c r="V947" s="146">
        <v>2950</v>
      </c>
      <c r="W947" s="148"/>
      <c r="X947" s="149"/>
      <c r="Y947" s="165" t="s">
        <v>2474</v>
      </c>
    </row>
    <row r="948" spans="1:25">
      <c r="A948" s="163" t="s">
        <v>7</v>
      </c>
      <c r="B948" s="144" t="s">
        <v>2463</v>
      </c>
      <c r="C948" s="164" t="s">
        <v>4130</v>
      </c>
      <c r="D948" s="144" t="s">
        <v>2997</v>
      </c>
      <c r="E948" s="150" t="s">
        <v>2485</v>
      </c>
      <c r="F948" s="144" t="s">
        <v>2486</v>
      </c>
      <c r="G948" s="166"/>
      <c r="H948" s="151">
        <v>1</v>
      </c>
      <c r="I948" s="160"/>
      <c r="J948" s="159">
        <v>200</v>
      </c>
      <c r="K948" s="161"/>
      <c r="L948" s="159">
        <v>200</v>
      </c>
      <c r="M948" s="160">
        <v>200</v>
      </c>
      <c r="N948" s="145"/>
      <c r="O948" s="156" t="s">
        <v>135</v>
      </c>
      <c r="P948" s="144" t="s">
        <v>2478</v>
      </c>
      <c r="Q948" s="147"/>
      <c r="R948" s="146"/>
      <c r="S948" s="157"/>
      <c r="T948" s="144" t="s">
        <v>29</v>
      </c>
      <c r="U948" s="150" t="s">
        <v>17</v>
      </c>
      <c r="V948" s="146">
        <v>2951</v>
      </c>
      <c r="W948" s="148"/>
      <c r="X948" s="149"/>
      <c r="Y948" s="165" t="s">
        <v>2474</v>
      </c>
    </row>
    <row r="949" spans="1:25">
      <c r="A949" s="163" t="s">
        <v>309</v>
      </c>
      <c r="B949" s="144" t="s">
        <v>163</v>
      </c>
      <c r="C949" s="164" t="s">
        <v>1434</v>
      </c>
      <c r="D949" s="144" t="s">
        <v>1435</v>
      </c>
      <c r="E949" s="150" t="s">
        <v>2491</v>
      </c>
      <c r="F949" s="144" t="s">
        <v>2477</v>
      </c>
      <c r="G949" s="166" t="s">
        <v>1436</v>
      </c>
      <c r="H949" s="151">
        <v>36</v>
      </c>
      <c r="I949" s="160"/>
      <c r="J949" s="159">
        <v>2.75</v>
      </c>
      <c r="K949" s="161"/>
      <c r="L949" s="159">
        <v>99</v>
      </c>
      <c r="M949" s="160">
        <v>99</v>
      </c>
      <c r="N949" s="145"/>
      <c r="O949" s="156" t="s">
        <v>166</v>
      </c>
      <c r="P949" s="144" t="s">
        <v>2478</v>
      </c>
      <c r="Q949" s="147">
        <v>45017</v>
      </c>
      <c r="R949" s="146">
        <v>2057</v>
      </c>
      <c r="S949" s="157"/>
      <c r="T949" s="144" t="s">
        <v>25</v>
      </c>
      <c r="U949" s="150" t="s">
        <v>2479</v>
      </c>
      <c r="V949" s="146">
        <v>1880</v>
      </c>
      <c r="W949" s="148"/>
      <c r="X949" s="149">
        <v>45689</v>
      </c>
      <c r="Y949" s="165" t="s">
        <v>2590</v>
      </c>
    </row>
    <row r="950" spans="1:25">
      <c r="A950" s="163" t="s">
        <v>309</v>
      </c>
      <c r="B950" s="144" t="s">
        <v>2463</v>
      </c>
      <c r="C950" s="164" t="s">
        <v>4131</v>
      </c>
      <c r="D950" s="144" t="s">
        <v>592</v>
      </c>
      <c r="E950" s="150" t="s">
        <v>2466</v>
      </c>
      <c r="F950" s="144" t="s">
        <v>2467</v>
      </c>
      <c r="G950" s="166"/>
      <c r="H950" s="151">
        <v>1</v>
      </c>
      <c r="I950" s="160"/>
      <c r="J950" s="159">
        <v>20</v>
      </c>
      <c r="K950" s="161"/>
      <c r="L950" s="159">
        <v>20</v>
      </c>
      <c r="M950" s="160">
        <v>20</v>
      </c>
      <c r="N950" s="145">
        <v>80</v>
      </c>
      <c r="O950" s="156" t="s">
        <v>135</v>
      </c>
      <c r="P950" s="144" t="s">
        <v>2468</v>
      </c>
      <c r="Q950" s="147"/>
      <c r="R950" s="146"/>
      <c r="S950" s="157"/>
      <c r="T950" s="144" t="s">
        <v>29</v>
      </c>
      <c r="U950" s="150" t="s">
        <v>20</v>
      </c>
      <c r="V950" s="146">
        <v>2507</v>
      </c>
      <c r="W950" s="148"/>
      <c r="X950" s="149">
        <v>45689</v>
      </c>
      <c r="Y950" s="165" t="s">
        <v>2520</v>
      </c>
    </row>
    <row r="951" spans="1:25">
      <c r="A951" s="163" t="s">
        <v>309</v>
      </c>
      <c r="B951" s="144" t="s">
        <v>2463</v>
      </c>
      <c r="C951" s="164" t="s">
        <v>4132</v>
      </c>
      <c r="D951" s="144" t="s">
        <v>592</v>
      </c>
      <c r="E951" s="150" t="s">
        <v>2485</v>
      </c>
      <c r="F951" s="144" t="s">
        <v>2486</v>
      </c>
      <c r="G951" s="166"/>
      <c r="H951" s="151">
        <v>1</v>
      </c>
      <c r="I951" s="160"/>
      <c r="J951" s="159">
        <v>115</v>
      </c>
      <c r="K951" s="161"/>
      <c r="L951" s="159">
        <v>115</v>
      </c>
      <c r="M951" s="160">
        <v>115</v>
      </c>
      <c r="N951" s="145"/>
      <c r="O951" s="156" t="s">
        <v>135</v>
      </c>
      <c r="P951" s="144" t="s">
        <v>2478</v>
      </c>
      <c r="Q951" s="147"/>
      <c r="R951" s="146"/>
      <c r="S951" s="157"/>
      <c r="T951" s="144" t="s">
        <v>29</v>
      </c>
      <c r="U951" s="150" t="s">
        <v>17</v>
      </c>
      <c r="V951" s="146">
        <v>2505</v>
      </c>
      <c r="W951" s="148"/>
      <c r="X951" s="149">
        <v>45689</v>
      </c>
      <c r="Y951" s="165" t="s">
        <v>2520</v>
      </c>
    </row>
    <row r="952" spans="1:25">
      <c r="A952" s="163" t="s">
        <v>309</v>
      </c>
      <c r="B952" s="144" t="s">
        <v>2463</v>
      </c>
      <c r="C952" s="164" t="s">
        <v>4133</v>
      </c>
      <c r="D952" s="144" t="s">
        <v>4134</v>
      </c>
      <c r="E952" s="150" t="s">
        <v>2639</v>
      </c>
      <c r="F952" s="144" t="s">
        <v>2467</v>
      </c>
      <c r="G952" s="166"/>
      <c r="H952" s="151">
        <v>1</v>
      </c>
      <c r="I952" s="160">
        <v>7.6</v>
      </c>
      <c r="J952" s="159">
        <v>7.6</v>
      </c>
      <c r="K952" s="161">
        <v>7.6</v>
      </c>
      <c r="L952" s="159">
        <v>7.6</v>
      </c>
      <c r="M952" s="160">
        <v>7.6</v>
      </c>
      <c r="N952" s="145"/>
      <c r="O952" s="156" t="s">
        <v>135</v>
      </c>
      <c r="P952" s="144" t="s">
        <v>2468</v>
      </c>
      <c r="Q952" s="147"/>
      <c r="R952" s="146"/>
      <c r="S952" s="157"/>
      <c r="T952" s="144" t="s">
        <v>29</v>
      </c>
      <c r="U952" s="150" t="s">
        <v>15</v>
      </c>
      <c r="V952" s="146">
        <v>1310</v>
      </c>
      <c r="W952" s="148"/>
      <c r="X952" s="149">
        <v>45901</v>
      </c>
      <c r="Y952" s="165" t="s">
        <v>4135</v>
      </c>
    </row>
    <row r="953" spans="1:25">
      <c r="A953" s="163" t="s">
        <v>423</v>
      </c>
      <c r="B953" s="144" t="s">
        <v>2463</v>
      </c>
      <c r="C953" s="164" t="s">
        <v>4136</v>
      </c>
      <c r="D953" s="144" t="s">
        <v>1234</v>
      </c>
      <c r="E953" s="150" t="s">
        <v>2466</v>
      </c>
      <c r="F953" s="144" t="s">
        <v>2467</v>
      </c>
      <c r="G953" s="166"/>
      <c r="H953" s="151">
        <v>1</v>
      </c>
      <c r="I953" s="160">
        <v>200</v>
      </c>
      <c r="J953" s="159">
        <v>200</v>
      </c>
      <c r="K953" s="161">
        <v>200</v>
      </c>
      <c r="L953" s="159">
        <v>200</v>
      </c>
      <c r="M953" s="160">
        <v>200</v>
      </c>
      <c r="N953" s="145">
        <v>400</v>
      </c>
      <c r="O953" s="156" t="s">
        <v>135</v>
      </c>
      <c r="P953" s="144" t="s">
        <v>2468</v>
      </c>
      <c r="Q953" s="147"/>
      <c r="R953" s="146"/>
      <c r="S953" s="157"/>
      <c r="T953" s="144" t="s">
        <v>29</v>
      </c>
      <c r="U953" s="150" t="s">
        <v>20</v>
      </c>
      <c r="V953" s="146">
        <v>2610</v>
      </c>
      <c r="W953" s="148" t="s">
        <v>4137</v>
      </c>
      <c r="X953" s="149">
        <v>45689</v>
      </c>
      <c r="Y953" s="165" t="s">
        <v>2538</v>
      </c>
    </row>
    <row r="954" spans="1:25">
      <c r="A954" s="163" t="s">
        <v>309</v>
      </c>
      <c r="B954" s="144" t="s">
        <v>2463</v>
      </c>
      <c r="C954" s="164" t="s">
        <v>729</v>
      </c>
      <c r="D954" s="144" t="s">
        <v>4138</v>
      </c>
      <c r="E954" s="150" t="s">
        <v>2466</v>
      </c>
      <c r="F954" s="144" t="s">
        <v>2467</v>
      </c>
      <c r="G954" s="166"/>
      <c r="H954" s="151">
        <v>1</v>
      </c>
      <c r="I954" s="160">
        <v>300</v>
      </c>
      <c r="J954" s="159">
        <v>300</v>
      </c>
      <c r="K954" s="161">
        <v>300</v>
      </c>
      <c r="L954" s="159">
        <v>300</v>
      </c>
      <c r="M954" s="160">
        <v>300</v>
      </c>
      <c r="N954" s="145">
        <v>600</v>
      </c>
      <c r="O954" s="156" t="s">
        <v>135</v>
      </c>
      <c r="P954" s="144" t="s">
        <v>2468</v>
      </c>
      <c r="Q954" s="147">
        <v>47209</v>
      </c>
      <c r="R954" s="146">
        <v>2049</v>
      </c>
      <c r="S954" s="157"/>
      <c r="T954" s="144" t="s">
        <v>29</v>
      </c>
      <c r="U954" s="150" t="s">
        <v>20</v>
      </c>
      <c r="V954" s="146">
        <v>2322</v>
      </c>
      <c r="W954" s="148" t="s">
        <v>4139</v>
      </c>
      <c r="X954" s="149">
        <v>45901</v>
      </c>
      <c r="Y954" s="165" t="s">
        <v>3006</v>
      </c>
    </row>
    <row r="955" spans="1:25">
      <c r="A955" s="163" t="s">
        <v>309</v>
      </c>
      <c r="B955" s="144" t="s">
        <v>2463</v>
      </c>
      <c r="C955" s="164" t="s">
        <v>4140</v>
      </c>
      <c r="D955" s="144" t="s">
        <v>4141</v>
      </c>
      <c r="E955" s="150" t="s">
        <v>2485</v>
      </c>
      <c r="F955" s="144" t="s">
        <v>2486</v>
      </c>
      <c r="G955" s="166"/>
      <c r="H955" s="151">
        <v>47</v>
      </c>
      <c r="I955" s="160">
        <v>6.2</v>
      </c>
      <c r="J955" s="159">
        <v>6.2</v>
      </c>
      <c r="K955" s="161">
        <v>291.39999999999998</v>
      </c>
      <c r="L955" s="159">
        <v>291.39999999999998</v>
      </c>
      <c r="M955" s="160">
        <v>291.39999999999998</v>
      </c>
      <c r="N955" s="145"/>
      <c r="O955" s="156" t="s">
        <v>135</v>
      </c>
      <c r="P955" s="144" t="s">
        <v>2478</v>
      </c>
      <c r="Q955" s="147"/>
      <c r="R955" s="146"/>
      <c r="S955" s="157"/>
      <c r="T955" s="144" t="s">
        <v>29</v>
      </c>
      <c r="U955" s="150" t="s">
        <v>17</v>
      </c>
      <c r="V955" s="146">
        <v>2272</v>
      </c>
      <c r="W955" s="148" t="s">
        <v>4142</v>
      </c>
      <c r="X955" s="149">
        <v>45689</v>
      </c>
      <c r="Y955" s="165" t="s">
        <v>2875</v>
      </c>
    </row>
    <row r="956" spans="1:25">
      <c r="A956" s="163" t="s">
        <v>423</v>
      </c>
      <c r="B956" s="144" t="s">
        <v>163</v>
      </c>
      <c r="C956" s="164" t="s">
        <v>823</v>
      </c>
      <c r="D956" s="144" t="s">
        <v>824</v>
      </c>
      <c r="E956" s="150" t="s">
        <v>2485</v>
      </c>
      <c r="F956" s="144" t="s">
        <v>2486</v>
      </c>
      <c r="G956" s="166" t="s">
        <v>1023</v>
      </c>
      <c r="H956" s="151">
        <v>44</v>
      </c>
      <c r="I956" s="160"/>
      <c r="J956" s="159">
        <v>3.15</v>
      </c>
      <c r="K956" s="161"/>
      <c r="L956" s="159">
        <v>138.6</v>
      </c>
      <c r="M956" s="160">
        <v>138.6</v>
      </c>
      <c r="N956" s="145"/>
      <c r="O956" s="156" t="s">
        <v>166</v>
      </c>
      <c r="P956" s="144" t="s">
        <v>2478</v>
      </c>
      <c r="Q956" s="147">
        <v>43282</v>
      </c>
      <c r="R956" s="146">
        <v>2043</v>
      </c>
      <c r="S956" s="157"/>
      <c r="T956" s="144" t="s">
        <v>25</v>
      </c>
      <c r="U956" s="150" t="s">
        <v>17</v>
      </c>
      <c r="V956" s="146">
        <v>1141</v>
      </c>
      <c r="W956" s="148"/>
      <c r="X956" s="149">
        <v>45901</v>
      </c>
      <c r="Y956" s="165" t="s">
        <v>2589</v>
      </c>
    </row>
    <row r="957" spans="1:25">
      <c r="A957" s="163" t="s">
        <v>423</v>
      </c>
      <c r="B957" s="144" t="s">
        <v>2463</v>
      </c>
      <c r="C957" s="164" t="s">
        <v>4143</v>
      </c>
      <c r="D957" s="144" t="s">
        <v>4144</v>
      </c>
      <c r="E957" s="150" t="s">
        <v>2466</v>
      </c>
      <c r="F957" s="144" t="s">
        <v>2467</v>
      </c>
      <c r="G957" s="166"/>
      <c r="H957" s="151">
        <v>1</v>
      </c>
      <c r="I957" s="160"/>
      <c r="J957" s="159">
        <v>80</v>
      </c>
      <c r="K957" s="161"/>
      <c r="L957" s="159">
        <v>80</v>
      </c>
      <c r="M957" s="160">
        <v>80</v>
      </c>
      <c r="N957" s="145">
        <v>160</v>
      </c>
      <c r="O957" s="156" t="s">
        <v>135</v>
      </c>
      <c r="P957" s="144" t="s">
        <v>2468</v>
      </c>
      <c r="Q957" s="147"/>
      <c r="R957" s="146"/>
      <c r="S957" s="157"/>
      <c r="T957" s="144" t="s">
        <v>29</v>
      </c>
      <c r="U957" s="150" t="s">
        <v>20</v>
      </c>
      <c r="V957" s="146">
        <v>2768</v>
      </c>
      <c r="W957" s="148" t="s">
        <v>4145</v>
      </c>
      <c r="X957" s="149">
        <v>45901</v>
      </c>
      <c r="Y957" s="165" t="s">
        <v>2596</v>
      </c>
    </row>
    <row r="958" spans="1:25">
      <c r="A958" s="163" t="s">
        <v>423</v>
      </c>
      <c r="B958" s="144" t="s">
        <v>163</v>
      </c>
      <c r="C958" s="164" t="s">
        <v>2333</v>
      </c>
      <c r="D958" s="144" t="s">
        <v>4146</v>
      </c>
      <c r="E958" s="150" t="s">
        <v>2485</v>
      </c>
      <c r="F958" s="144" t="s">
        <v>2486</v>
      </c>
      <c r="G958" s="166" t="s">
        <v>4147</v>
      </c>
      <c r="H958" s="151">
        <v>64</v>
      </c>
      <c r="I958" s="160"/>
      <c r="J958" s="159">
        <v>2.0499999999999998</v>
      </c>
      <c r="K958" s="161"/>
      <c r="L958" s="159">
        <v>131.19999999999999</v>
      </c>
      <c r="M958" s="160">
        <v>131.19999999999999</v>
      </c>
      <c r="N958" s="145"/>
      <c r="O958" s="156" t="s">
        <v>166</v>
      </c>
      <c r="P958" s="144" t="s">
        <v>2478</v>
      </c>
      <c r="Q958" s="147"/>
      <c r="R958" s="146">
        <v>2043</v>
      </c>
      <c r="S958" s="157"/>
      <c r="T958" s="144" t="s">
        <v>25</v>
      </c>
      <c r="U958" s="150" t="s">
        <v>17</v>
      </c>
      <c r="V958" s="146">
        <v>1142</v>
      </c>
      <c r="W958" s="148"/>
      <c r="X958" s="149">
        <v>45689</v>
      </c>
      <c r="Y958" s="165" t="s">
        <v>3067</v>
      </c>
    </row>
    <row r="959" spans="1:25">
      <c r="A959" s="163" t="s">
        <v>380</v>
      </c>
      <c r="B959" s="144" t="s">
        <v>163</v>
      </c>
      <c r="C959" s="164" t="s">
        <v>4148</v>
      </c>
      <c r="D959" s="144" t="s">
        <v>4149</v>
      </c>
      <c r="E959" s="150" t="s">
        <v>2485</v>
      </c>
      <c r="F959" s="144" t="s">
        <v>2486</v>
      </c>
      <c r="G959" s="166" t="s">
        <v>4150</v>
      </c>
      <c r="H959" s="151">
        <v>35</v>
      </c>
      <c r="I959" s="160"/>
      <c r="J959" s="159">
        <v>2.0699999999999998</v>
      </c>
      <c r="K959" s="161"/>
      <c r="L959" s="159">
        <v>72.28</v>
      </c>
      <c r="M959" s="160">
        <v>72.28</v>
      </c>
      <c r="N959" s="145"/>
      <c r="O959" s="156" t="s">
        <v>166</v>
      </c>
      <c r="P959" s="144" t="s">
        <v>2480</v>
      </c>
      <c r="Q959" s="147"/>
      <c r="R959" s="146">
        <v>2035</v>
      </c>
      <c r="S959" s="157"/>
      <c r="T959" s="144" t="s">
        <v>25</v>
      </c>
      <c r="U959" s="150" t="s">
        <v>17</v>
      </c>
      <c r="V959" s="146">
        <v>1143</v>
      </c>
      <c r="W959" s="148"/>
      <c r="X959" s="149">
        <v>45901</v>
      </c>
      <c r="Y959" s="165" t="s">
        <v>2660</v>
      </c>
    </row>
    <row r="960" spans="1:25">
      <c r="A960" s="163" t="s">
        <v>7</v>
      </c>
      <c r="B960" s="144" t="s">
        <v>163</v>
      </c>
      <c r="C960" s="164" t="s">
        <v>1028</v>
      </c>
      <c r="D960" s="144" t="s">
        <v>1029</v>
      </c>
      <c r="E960" s="150" t="s">
        <v>2639</v>
      </c>
      <c r="F960" s="144" t="s">
        <v>2640</v>
      </c>
      <c r="G960" s="166" t="s">
        <v>1694</v>
      </c>
      <c r="H960" s="151">
        <v>1</v>
      </c>
      <c r="I960" s="160"/>
      <c r="J960" s="159">
        <v>730</v>
      </c>
      <c r="K960" s="161"/>
      <c r="L960" s="159">
        <v>730</v>
      </c>
      <c r="M960" s="160">
        <v>730</v>
      </c>
      <c r="N960" s="145"/>
      <c r="O960" s="156" t="s">
        <v>166</v>
      </c>
      <c r="P960" s="144" t="s">
        <v>2468</v>
      </c>
      <c r="Q960" s="147"/>
      <c r="R960" s="146">
        <v>2040</v>
      </c>
      <c r="S960" s="157"/>
      <c r="T960" s="144" t="s">
        <v>25</v>
      </c>
      <c r="U960" s="150" t="s">
        <v>12</v>
      </c>
      <c r="V960" s="146">
        <v>1144</v>
      </c>
      <c r="W960" s="148"/>
      <c r="X960" s="149">
        <v>45689</v>
      </c>
      <c r="Y960" s="165" t="s">
        <v>2474</v>
      </c>
    </row>
    <row r="961" spans="1:25">
      <c r="A961" s="163" t="s">
        <v>7</v>
      </c>
      <c r="B961" s="144" t="s">
        <v>163</v>
      </c>
      <c r="C961" s="164" t="s">
        <v>1028</v>
      </c>
      <c r="D961" s="144" t="s">
        <v>1029</v>
      </c>
      <c r="E961" s="150" t="s">
        <v>2639</v>
      </c>
      <c r="F961" s="144" t="s">
        <v>2640</v>
      </c>
      <c r="G961" s="166" t="s">
        <v>4151</v>
      </c>
      <c r="H961" s="151">
        <v>1</v>
      </c>
      <c r="I961" s="160"/>
      <c r="J961" s="159">
        <v>660</v>
      </c>
      <c r="K961" s="161"/>
      <c r="L961" s="159">
        <v>660</v>
      </c>
      <c r="M961" s="160">
        <v>660</v>
      </c>
      <c r="N961" s="145"/>
      <c r="O961" s="156" t="s">
        <v>166</v>
      </c>
      <c r="P961" s="144" t="s">
        <v>2468</v>
      </c>
      <c r="Q961" s="147">
        <v>46388</v>
      </c>
      <c r="R961" s="146">
        <v>2040</v>
      </c>
      <c r="S961" s="157"/>
      <c r="T961" s="144" t="s">
        <v>25</v>
      </c>
      <c r="U961" s="150" t="s">
        <v>12</v>
      </c>
      <c r="V961" s="146">
        <v>1144</v>
      </c>
      <c r="W961" s="148"/>
      <c r="X961" s="149">
        <v>45689</v>
      </c>
      <c r="Y961" s="165" t="s">
        <v>2474</v>
      </c>
    </row>
    <row r="962" spans="1:25">
      <c r="A962" s="163" t="s">
        <v>7</v>
      </c>
      <c r="B962" s="144" t="s">
        <v>2463</v>
      </c>
      <c r="C962" s="164" t="s">
        <v>4152</v>
      </c>
      <c r="D962" s="144" t="s">
        <v>4153</v>
      </c>
      <c r="E962" s="150" t="s">
        <v>2466</v>
      </c>
      <c r="F962" s="144" t="s">
        <v>2467</v>
      </c>
      <c r="G962" s="166"/>
      <c r="H962" s="151">
        <v>51</v>
      </c>
      <c r="I962" s="160">
        <v>4.9000000000000004</v>
      </c>
      <c r="J962" s="159">
        <v>4.9000000000000004</v>
      </c>
      <c r="K962" s="161">
        <v>249.9</v>
      </c>
      <c r="L962" s="159">
        <v>249.9</v>
      </c>
      <c r="M962" s="160">
        <v>249.9</v>
      </c>
      <c r="N962" s="145">
        <v>1000</v>
      </c>
      <c r="O962" s="156" t="s">
        <v>135</v>
      </c>
      <c r="P962" s="144" t="s">
        <v>2468</v>
      </c>
      <c r="Q962" s="147"/>
      <c r="R962" s="146"/>
      <c r="S962" s="157"/>
      <c r="T962" s="144" t="s">
        <v>29</v>
      </c>
      <c r="U962" s="150" t="s">
        <v>20</v>
      </c>
      <c r="V962" s="146">
        <v>2411</v>
      </c>
      <c r="W962" s="148" t="s">
        <v>4154</v>
      </c>
      <c r="X962" s="149">
        <v>45901</v>
      </c>
      <c r="Y962" s="165" t="s">
        <v>2578</v>
      </c>
    </row>
    <row r="963" spans="1:25">
      <c r="A963" s="163" t="s">
        <v>309</v>
      </c>
      <c r="B963" s="144" t="s">
        <v>2463</v>
      </c>
      <c r="C963" s="164" t="s">
        <v>4155</v>
      </c>
      <c r="D963" s="144" t="s">
        <v>4156</v>
      </c>
      <c r="E963" s="150" t="s">
        <v>2636</v>
      </c>
      <c r="F963" s="144" t="s">
        <v>2482</v>
      </c>
      <c r="G963" s="166"/>
      <c r="H963" s="151">
        <v>4</v>
      </c>
      <c r="I963" s="160">
        <v>340</v>
      </c>
      <c r="J963" s="159">
        <v>340</v>
      </c>
      <c r="K963" s="161">
        <v>1360</v>
      </c>
      <c r="L963" s="159">
        <v>1360</v>
      </c>
      <c r="M963" s="160">
        <v>1360</v>
      </c>
      <c r="N963" s="145">
        <v>28000</v>
      </c>
      <c r="O963" s="156" t="s">
        <v>135</v>
      </c>
      <c r="P963" s="144" t="s">
        <v>2468</v>
      </c>
      <c r="Q963" s="147"/>
      <c r="R963" s="146">
        <v>2136</v>
      </c>
      <c r="S963" s="157"/>
      <c r="T963" s="144" t="s">
        <v>29</v>
      </c>
      <c r="U963" s="150" t="s">
        <v>18</v>
      </c>
      <c r="V963" s="146">
        <v>2274</v>
      </c>
      <c r="W963" s="148" t="s">
        <v>4157</v>
      </c>
      <c r="X963" s="149">
        <v>45901</v>
      </c>
      <c r="Y963" s="165" t="s">
        <v>2578</v>
      </c>
    </row>
    <row r="964" spans="1:25">
      <c r="A964" s="163" t="s">
        <v>309</v>
      </c>
      <c r="B964" s="144" t="s">
        <v>163</v>
      </c>
      <c r="C964" s="164" t="s">
        <v>4158</v>
      </c>
      <c r="D964" s="144" t="s">
        <v>4159</v>
      </c>
      <c r="E964" s="150" t="s">
        <v>2555</v>
      </c>
      <c r="F964" s="144" t="s">
        <v>2502</v>
      </c>
      <c r="G964" s="166" t="s">
        <v>4160</v>
      </c>
      <c r="H964" s="151">
        <v>1</v>
      </c>
      <c r="I964" s="160"/>
      <c r="J964" s="159">
        <v>146</v>
      </c>
      <c r="K964" s="161"/>
      <c r="L964" s="159">
        <v>146</v>
      </c>
      <c r="M964" s="160">
        <v>146</v>
      </c>
      <c r="N964" s="145"/>
      <c r="O964" s="156" t="s">
        <v>166</v>
      </c>
      <c r="P964" s="144" t="s">
        <v>2468</v>
      </c>
      <c r="Q964" s="147"/>
      <c r="R964" s="146">
        <v>2033</v>
      </c>
      <c r="S964" s="157"/>
      <c r="T964" s="144" t="s">
        <v>25</v>
      </c>
      <c r="U964" s="150" t="s">
        <v>14</v>
      </c>
      <c r="V964" s="146">
        <v>1145</v>
      </c>
      <c r="W964" s="148"/>
      <c r="X964" s="149">
        <v>45689</v>
      </c>
      <c r="Y964" s="165" t="s">
        <v>4161</v>
      </c>
    </row>
    <row r="965" spans="1:25">
      <c r="A965" s="163" t="s">
        <v>309</v>
      </c>
      <c r="B965" s="144" t="s">
        <v>163</v>
      </c>
      <c r="C965" s="164" t="s">
        <v>4158</v>
      </c>
      <c r="D965" s="144" t="s">
        <v>4159</v>
      </c>
      <c r="E965" s="150" t="s">
        <v>2555</v>
      </c>
      <c r="F965" s="144" t="s">
        <v>2502</v>
      </c>
      <c r="G965" s="166" t="s">
        <v>4162</v>
      </c>
      <c r="H965" s="151">
        <v>1</v>
      </c>
      <c r="I965" s="160"/>
      <c r="J965" s="159">
        <v>146</v>
      </c>
      <c r="K965" s="161"/>
      <c r="L965" s="159">
        <v>146</v>
      </c>
      <c r="M965" s="160">
        <v>146</v>
      </c>
      <c r="N965" s="145"/>
      <c r="O965" s="156" t="s">
        <v>166</v>
      </c>
      <c r="P965" s="144" t="s">
        <v>2468</v>
      </c>
      <c r="Q965" s="147"/>
      <c r="R965" s="146">
        <v>2033</v>
      </c>
      <c r="S965" s="157"/>
      <c r="T965" s="144" t="s">
        <v>25</v>
      </c>
      <c r="U965" s="150" t="s">
        <v>14</v>
      </c>
      <c r="V965" s="146">
        <v>1145</v>
      </c>
      <c r="W965" s="148"/>
      <c r="X965" s="149">
        <v>45689</v>
      </c>
      <c r="Y965" s="165" t="s">
        <v>4161</v>
      </c>
    </row>
    <row r="966" spans="1:25">
      <c r="A966" s="163" t="s">
        <v>309</v>
      </c>
      <c r="B966" s="144" t="s">
        <v>163</v>
      </c>
      <c r="C966" s="164" t="s">
        <v>4158</v>
      </c>
      <c r="D966" s="144" t="s">
        <v>4159</v>
      </c>
      <c r="E966" s="150" t="s">
        <v>2555</v>
      </c>
      <c r="F966" s="144" t="s">
        <v>2502</v>
      </c>
      <c r="G966" s="166" t="s">
        <v>4163</v>
      </c>
      <c r="H966" s="151">
        <v>1</v>
      </c>
      <c r="I966" s="160"/>
      <c r="J966" s="159">
        <v>131.5</v>
      </c>
      <c r="K966" s="161"/>
      <c r="L966" s="159">
        <v>131.5</v>
      </c>
      <c r="M966" s="160">
        <v>131.5</v>
      </c>
      <c r="N966" s="145"/>
      <c r="O966" s="156" t="s">
        <v>166</v>
      </c>
      <c r="P966" s="144" t="s">
        <v>2468</v>
      </c>
      <c r="Q966" s="147"/>
      <c r="R966" s="146">
        <v>2044</v>
      </c>
      <c r="S966" s="157"/>
      <c r="T966" s="144" t="s">
        <v>25</v>
      </c>
      <c r="U966" s="150" t="s">
        <v>14</v>
      </c>
      <c r="V966" s="146">
        <v>1145</v>
      </c>
      <c r="W966" s="148"/>
      <c r="X966" s="149">
        <v>45689</v>
      </c>
      <c r="Y966" s="165" t="s">
        <v>4161</v>
      </c>
    </row>
    <row r="967" spans="1:25">
      <c r="A967" s="163" t="s">
        <v>7</v>
      </c>
      <c r="B967" s="144" t="s">
        <v>2463</v>
      </c>
      <c r="C967" s="164" t="s">
        <v>4164</v>
      </c>
      <c r="D967" s="144" t="s">
        <v>4165</v>
      </c>
      <c r="E967" s="150" t="s">
        <v>2485</v>
      </c>
      <c r="F967" s="144" t="s">
        <v>2486</v>
      </c>
      <c r="G967" s="166"/>
      <c r="H967" s="151">
        <v>1</v>
      </c>
      <c r="I967" s="160">
        <v>750</v>
      </c>
      <c r="J967" s="159">
        <v>750</v>
      </c>
      <c r="K967" s="161">
        <v>750</v>
      </c>
      <c r="L967" s="159">
        <v>750</v>
      </c>
      <c r="M967" s="160">
        <v>750</v>
      </c>
      <c r="N967" s="145"/>
      <c r="O967" s="156" t="s">
        <v>135</v>
      </c>
      <c r="P967" s="144" t="s">
        <v>2478</v>
      </c>
      <c r="Q967" s="147"/>
      <c r="R967" s="146"/>
      <c r="S967" s="157"/>
      <c r="T967" s="144" t="s">
        <v>29</v>
      </c>
      <c r="U967" s="150" t="s">
        <v>17</v>
      </c>
      <c r="V967" s="146">
        <v>2834</v>
      </c>
      <c r="W967" s="148" t="s">
        <v>4166</v>
      </c>
      <c r="X967" s="149">
        <v>45901</v>
      </c>
      <c r="Y967" s="165" t="s">
        <v>3003</v>
      </c>
    </row>
    <row r="968" spans="1:25">
      <c r="A968" s="163" t="s">
        <v>7</v>
      </c>
      <c r="B968" s="144" t="s">
        <v>2463</v>
      </c>
      <c r="C968" s="164" t="s">
        <v>4167</v>
      </c>
      <c r="D968" s="144" t="s">
        <v>4168</v>
      </c>
      <c r="E968" s="150" t="s">
        <v>2466</v>
      </c>
      <c r="F968" s="144" t="s">
        <v>2467</v>
      </c>
      <c r="G968" s="166"/>
      <c r="H968" s="151">
        <v>1</v>
      </c>
      <c r="I968" s="160">
        <v>12</v>
      </c>
      <c r="J968" s="159">
        <v>12</v>
      </c>
      <c r="K968" s="161">
        <v>12</v>
      </c>
      <c r="L968" s="159">
        <v>12</v>
      </c>
      <c r="M968" s="160">
        <v>12</v>
      </c>
      <c r="N968" s="145">
        <v>24</v>
      </c>
      <c r="O968" s="156" t="s">
        <v>135</v>
      </c>
      <c r="P968" s="144" t="s">
        <v>2468</v>
      </c>
      <c r="Q968" s="147"/>
      <c r="R968" s="146"/>
      <c r="S968" s="157"/>
      <c r="T968" s="144" t="s">
        <v>29</v>
      </c>
      <c r="U968" s="150" t="s">
        <v>20</v>
      </c>
      <c r="V968" s="146">
        <v>2798</v>
      </c>
      <c r="W968" s="148"/>
      <c r="X968" s="149">
        <v>45901</v>
      </c>
      <c r="Y968" s="165" t="s">
        <v>4169</v>
      </c>
    </row>
    <row r="969" spans="1:25">
      <c r="A969" s="163" t="s">
        <v>7</v>
      </c>
      <c r="B969" s="144" t="s">
        <v>2463</v>
      </c>
      <c r="C969" s="164" t="s">
        <v>650</v>
      </c>
      <c r="D969" s="144" t="s">
        <v>651</v>
      </c>
      <c r="E969" s="150" t="s">
        <v>2467</v>
      </c>
      <c r="F969" s="144" t="s">
        <v>3046</v>
      </c>
      <c r="G969" s="166"/>
      <c r="H969" s="151">
        <v>6</v>
      </c>
      <c r="I969" s="160">
        <v>0.54</v>
      </c>
      <c r="J969" s="159">
        <v>1.07</v>
      </c>
      <c r="K969" s="161">
        <v>3.21</v>
      </c>
      <c r="L969" s="159">
        <v>6.39</v>
      </c>
      <c r="M969" s="160" t="s">
        <v>4170</v>
      </c>
      <c r="N969" s="145"/>
      <c r="O969" s="156" t="s">
        <v>135</v>
      </c>
      <c r="P969" s="144" t="s">
        <v>2468</v>
      </c>
      <c r="Q969" s="147">
        <v>45627</v>
      </c>
      <c r="R969" s="146">
        <v>2044</v>
      </c>
      <c r="S969" s="157"/>
      <c r="T969" s="144" t="s">
        <v>29</v>
      </c>
      <c r="U969" s="150"/>
      <c r="V969" s="146">
        <v>2807</v>
      </c>
      <c r="W969" s="148"/>
      <c r="X969" s="149">
        <v>45901</v>
      </c>
      <c r="Y969" s="165" t="s">
        <v>3031</v>
      </c>
    </row>
    <row r="970" spans="1:25">
      <c r="A970" s="163" t="s">
        <v>7</v>
      </c>
      <c r="B970" s="144" t="s">
        <v>2463</v>
      </c>
      <c r="C970" s="164" t="s">
        <v>4171</v>
      </c>
      <c r="D970" s="144" t="s">
        <v>4172</v>
      </c>
      <c r="E970" s="150" t="s">
        <v>2476</v>
      </c>
      <c r="F970" s="144" t="s">
        <v>2477</v>
      </c>
      <c r="G970" s="166"/>
      <c r="H970" s="151">
        <v>33</v>
      </c>
      <c r="I970" s="160">
        <v>7.58</v>
      </c>
      <c r="J970" s="159">
        <v>7.58</v>
      </c>
      <c r="K970" s="161">
        <v>250.14</v>
      </c>
      <c r="L970" s="159">
        <v>250.14</v>
      </c>
      <c r="M970" s="160">
        <v>250.14</v>
      </c>
      <c r="N970" s="145"/>
      <c r="O970" s="156" t="s">
        <v>135</v>
      </c>
      <c r="P970" s="144" t="s">
        <v>2478</v>
      </c>
      <c r="Q970" s="147"/>
      <c r="R970" s="146"/>
      <c r="S970" s="157"/>
      <c r="T970" s="144" t="s">
        <v>29</v>
      </c>
      <c r="U970" s="150" t="s">
        <v>2479</v>
      </c>
      <c r="V970" s="146">
        <v>2914</v>
      </c>
      <c r="W970" s="148" t="s">
        <v>4173</v>
      </c>
      <c r="X970" s="149">
        <v>45901</v>
      </c>
      <c r="Y970" s="165" t="s">
        <v>3310</v>
      </c>
    </row>
    <row r="971" spans="1:25">
      <c r="A971" s="163" t="s">
        <v>7</v>
      </c>
      <c r="B971" s="144" t="s">
        <v>2463</v>
      </c>
      <c r="C971" s="164" t="s">
        <v>4174</v>
      </c>
      <c r="D971" s="144" t="s">
        <v>4175</v>
      </c>
      <c r="E971" s="150" t="s">
        <v>2466</v>
      </c>
      <c r="F971" s="144" t="s">
        <v>2477</v>
      </c>
      <c r="G971" s="166"/>
      <c r="H971" s="151">
        <v>1</v>
      </c>
      <c r="I971" s="160">
        <v>25</v>
      </c>
      <c r="J971" s="159">
        <v>25</v>
      </c>
      <c r="K971" s="161">
        <v>25</v>
      </c>
      <c r="L971" s="159">
        <v>25</v>
      </c>
      <c r="M971" s="160">
        <v>25</v>
      </c>
      <c r="N971" s="145">
        <v>50</v>
      </c>
      <c r="O971" s="156" t="s">
        <v>135</v>
      </c>
      <c r="P971" s="144" t="s">
        <v>2468</v>
      </c>
      <c r="Q971" s="147"/>
      <c r="R971" s="146"/>
      <c r="S971" s="157"/>
      <c r="T971" s="144" t="s">
        <v>29</v>
      </c>
      <c r="U971" s="150" t="s">
        <v>20</v>
      </c>
      <c r="V971" s="146">
        <v>3098</v>
      </c>
      <c r="W971" s="148"/>
      <c r="X971" s="149">
        <v>45901</v>
      </c>
      <c r="Y971" s="165" t="s">
        <v>2596</v>
      </c>
    </row>
    <row r="972" spans="1:25">
      <c r="A972" s="163" t="s">
        <v>7</v>
      </c>
      <c r="B972" s="144" t="s">
        <v>2463</v>
      </c>
      <c r="C972" s="164" t="s">
        <v>289</v>
      </c>
      <c r="D972" s="144" t="s">
        <v>290</v>
      </c>
      <c r="E972" s="150" t="s">
        <v>2491</v>
      </c>
      <c r="F972" s="144" t="s">
        <v>2477</v>
      </c>
      <c r="G972" s="166"/>
      <c r="H972" s="151">
        <v>19</v>
      </c>
      <c r="I972" s="160"/>
      <c r="J972" s="159">
        <v>1.32</v>
      </c>
      <c r="K972" s="161"/>
      <c r="L972" s="159">
        <v>25</v>
      </c>
      <c r="M972" s="160">
        <v>25</v>
      </c>
      <c r="N972" s="145"/>
      <c r="O972" s="156" t="s">
        <v>27</v>
      </c>
      <c r="P972" s="144" t="s">
        <v>2478</v>
      </c>
      <c r="Q972" s="147">
        <v>46054</v>
      </c>
      <c r="R972" s="146">
        <v>2056</v>
      </c>
      <c r="S972" s="157"/>
      <c r="T972" s="144" t="s">
        <v>27</v>
      </c>
      <c r="U972" s="150" t="s">
        <v>2479</v>
      </c>
      <c r="V972" s="146">
        <v>1998</v>
      </c>
      <c r="W972" s="148"/>
      <c r="X972" s="149">
        <v>45778</v>
      </c>
      <c r="Y972" s="165" t="s">
        <v>3723</v>
      </c>
    </row>
    <row r="973" spans="1:25">
      <c r="A973" s="163" t="s">
        <v>309</v>
      </c>
      <c r="B973" s="144" t="s">
        <v>2463</v>
      </c>
      <c r="C973" s="164" t="s">
        <v>732</v>
      </c>
      <c r="D973" s="144" t="s">
        <v>733</v>
      </c>
      <c r="E973" s="150" t="s">
        <v>2491</v>
      </c>
      <c r="F973" s="144" t="s">
        <v>2477</v>
      </c>
      <c r="G973" s="166" t="s">
        <v>4176</v>
      </c>
      <c r="H973" s="151">
        <v>56</v>
      </c>
      <c r="I973" s="160">
        <v>0</v>
      </c>
      <c r="J973" s="159">
        <v>2.75</v>
      </c>
      <c r="K973" s="161">
        <v>0</v>
      </c>
      <c r="L973" s="159">
        <v>154</v>
      </c>
      <c r="M973" s="160">
        <v>154</v>
      </c>
      <c r="N973" s="145"/>
      <c r="O973" s="156" t="s">
        <v>27</v>
      </c>
      <c r="P973" s="144" t="s">
        <v>2478</v>
      </c>
      <c r="Q973" s="147">
        <v>46023</v>
      </c>
      <c r="R973" s="146">
        <v>2053</v>
      </c>
      <c r="S973" s="157"/>
      <c r="T973" s="144" t="s">
        <v>27</v>
      </c>
      <c r="U973" s="150" t="s">
        <v>2479</v>
      </c>
      <c r="V973" s="146">
        <v>1905</v>
      </c>
      <c r="W973" s="148"/>
      <c r="X973" s="149">
        <v>45901</v>
      </c>
      <c r="Y973" s="165" t="s">
        <v>2596</v>
      </c>
    </row>
    <row r="974" spans="1:25">
      <c r="A974" s="163" t="s">
        <v>309</v>
      </c>
      <c r="B974" s="144" t="s">
        <v>2463</v>
      </c>
      <c r="C974" s="164" t="s">
        <v>4177</v>
      </c>
      <c r="D974" s="144" t="s">
        <v>4178</v>
      </c>
      <c r="E974" s="150" t="s">
        <v>2467</v>
      </c>
      <c r="F974" s="144" t="s">
        <v>2467</v>
      </c>
      <c r="G974" s="166"/>
      <c r="H974" s="151">
        <v>1</v>
      </c>
      <c r="I974" s="160">
        <v>1155</v>
      </c>
      <c r="J974" s="159">
        <v>1155</v>
      </c>
      <c r="K974" s="161">
        <v>1155</v>
      </c>
      <c r="L974" s="159">
        <v>1155</v>
      </c>
      <c r="M974" s="160">
        <v>1155</v>
      </c>
      <c r="N974" s="145"/>
      <c r="O974" s="156" t="s">
        <v>135</v>
      </c>
      <c r="P974" s="144" t="s">
        <v>2478</v>
      </c>
      <c r="Q974" s="147"/>
      <c r="R974" s="146"/>
      <c r="S974" s="157"/>
      <c r="T974" s="144" t="s">
        <v>29</v>
      </c>
      <c r="U974" s="150" t="s">
        <v>21</v>
      </c>
      <c r="V974" s="146">
        <v>3071</v>
      </c>
      <c r="W974" s="148" t="s">
        <v>4179</v>
      </c>
      <c r="X974" s="149">
        <v>45901</v>
      </c>
      <c r="Y974" s="165" t="s">
        <v>3142</v>
      </c>
    </row>
    <row r="975" spans="1:25">
      <c r="A975" s="163" t="s">
        <v>423</v>
      </c>
      <c r="B975" s="144" t="s">
        <v>163</v>
      </c>
      <c r="C975" s="164" t="s">
        <v>2042</v>
      </c>
      <c r="D975" s="144" t="s">
        <v>1736</v>
      </c>
      <c r="E975" s="150" t="s">
        <v>2485</v>
      </c>
      <c r="F975" s="144" t="s">
        <v>2486</v>
      </c>
      <c r="G975" s="166" t="s">
        <v>4180</v>
      </c>
      <c r="H975" s="151">
        <v>61</v>
      </c>
      <c r="I975" s="160">
        <v>3.7</v>
      </c>
      <c r="J975" s="159">
        <v>3.7</v>
      </c>
      <c r="K975" s="161">
        <v>225.7</v>
      </c>
      <c r="L975" s="159">
        <v>225.7</v>
      </c>
      <c r="M975" s="160">
        <v>225.7</v>
      </c>
      <c r="N975" s="145"/>
      <c r="O975" s="156" t="s">
        <v>166</v>
      </c>
      <c r="P975" s="144" t="s">
        <v>2478</v>
      </c>
      <c r="Q975" s="147">
        <v>44440</v>
      </c>
      <c r="R975" s="146">
        <v>2049</v>
      </c>
      <c r="S975" s="157"/>
      <c r="T975" s="144" t="s">
        <v>25</v>
      </c>
      <c r="U975" s="150" t="s">
        <v>17</v>
      </c>
      <c r="V975" s="146">
        <v>1262</v>
      </c>
      <c r="W975" s="148"/>
      <c r="X975" s="149">
        <v>45689</v>
      </c>
      <c r="Y975" s="165" t="s">
        <v>2470</v>
      </c>
    </row>
    <row r="976" spans="1:25">
      <c r="A976" s="163" t="s">
        <v>423</v>
      </c>
      <c r="B976" s="144" t="s">
        <v>163</v>
      </c>
      <c r="C976" s="164" t="s">
        <v>1501</v>
      </c>
      <c r="D976" s="144" t="s">
        <v>1502</v>
      </c>
      <c r="E976" s="150" t="s">
        <v>2485</v>
      </c>
      <c r="F976" s="144" t="s">
        <v>2486</v>
      </c>
      <c r="G976" s="166" t="s">
        <v>1503</v>
      </c>
      <c r="H976" s="151">
        <v>38</v>
      </c>
      <c r="I976" s="160"/>
      <c r="J976" s="159">
        <v>5.5</v>
      </c>
      <c r="K976" s="161"/>
      <c r="L976" s="159">
        <v>209</v>
      </c>
      <c r="M976" s="160">
        <v>209</v>
      </c>
      <c r="N976" s="145"/>
      <c r="O976" s="156" t="s">
        <v>166</v>
      </c>
      <c r="P976" s="144" t="s">
        <v>2478</v>
      </c>
      <c r="Q976" s="147">
        <v>44835</v>
      </c>
      <c r="R976" s="146">
        <v>2052</v>
      </c>
      <c r="S976" s="157"/>
      <c r="T976" s="144" t="s">
        <v>25</v>
      </c>
      <c r="U976" s="150" t="s">
        <v>17</v>
      </c>
      <c r="V976" s="146">
        <v>1506</v>
      </c>
      <c r="W976" s="148"/>
      <c r="X976" s="149">
        <v>45689</v>
      </c>
      <c r="Y976" s="165" t="s">
        <v>2558</v>
      </c>
    </row>
    <row r="977" spans="1:25">
      <c r="A977" s="163" t="s">
        <v>423</v>
      </c>
      <c r="B977" s="144" t="s">
        <v>163</v>
      </c>
      <c r="C977" s="164" t="s">
        <v>4181</v>
      </c>
      <c r="D977" s="144" t="s">
        <v>218</v>
      </c>
      <c r="E977" s="150" t="s">
        <v>2593</v>
      </c>
      <c r="F977" s="144" t="s">
        <v>2482</v>
      </c>
      <c r="G977" s="166" t="s">
        <v>4182</v>
      </c>
      <c r="H977" s="151">
        <v>10</v>
      </c>
      <c r="I977" s="160"/>
      <c r="J977" s="159">
        <v>95</v>
      </c>
      <c r="K977" s="161"/>
      <c r="L977" s="159">
        <v>950</v>
      </c>
      <c r="M977" s="160">
        <v>950</v>
      </c>
      <c r="N977" s="145"/>
      <c r="O977" s="156" t="s">
        <v>166</v>
      </c>
      <c r="P977" s="144" t="s">
        <v>2468</v>
      </c>
      <c r="Q977" s="147"/>
      <c r="R977" s="146">
        <v>2070</v>
      </c>
      <c r="S977" s="157"/>
      <c r="T977" s="144" t="s">
        <v>25</v>
      </c>
      <c r="U977" s="150" t="s">
        <v>18</v>
      </c>
      <c r="V977" s="146">
        <v>1147</v>
      </c>
      <c r="W977" s="148"/>
      <c r="X977" s="149">
        <v>45689</v>
      </c>
      <c r="Y977" s="165" t="s">
        <v>2500</v>
      </c>
    </row>
    <row r="978" spans="1:25">
      <c r="A978" s="163" t="s">
        <v>423</v>
      </c>
      <c r="B978" s="144" t="s">
        <v>163</v>
      </c>
      <c r="C978" s="164" t="s">
        <v>4183</v>
      </c>
      <c r="D978" s="144" t="s">
        <v>218</v>
      </c>
      <c r="E978" s="150" t="s">
        <v>2593</v>
      </c>
      <c r="F978" s="144" t="s">
        <v>2482</v>
      </c>
      <c r="G978" s="166" t="s">
        <v>4182</v>
      </c>
      <c r="H978" s="151">
        <v>4</v>
      </c>
      <c r="I978" s="160"/>
      <c r="J978" s="159">
        <v>150</v>
      </c>
      <c r="K978" s="161"/>
      <c r="L978" s="159">
        <v>600</v>
      </c>
      <c r="M978" s="160">
        <v>600</v>
      </c>
      <c r="N978" s="145"/>
      <c r="O978" s="156" t="s">
        <v>166</v>
      </c>
      <c r="P978" s="144" t="s">
        <v>2468</v>
      </c>
      <c r="Q978" s="147"/>
      <c r="R978" s="146">
        <v>2070</v>
      </c>
      <c r="S978" s="157"/>
      <c r="T978" s="144" t="s">
        <v>25</v>
      </c>
      <c r="U978" s="150" t="s">
        <v>18</v>
      </c>
      <c r="V978" s="146">
        <v>1148</v>
      </c>
      <c r="W978" s="148"/>
      <c r="X978" s="149">
        <v>45689</v>
      </c>
      <c r="Y978" s="165" t="s">
        <v>2500</v>
      </c>
    </row>
    <row r="979" spans="1:25">
      <c r="A979" s="163" t="s">
        <v>380</v>
      </c>
      <c r="B979" s="144" t="s">
        <v>163</v>
      </c>
      <c r="C979" s="164" t="s">
        <v>1489</v>
      </c>
      <c r="D979" s="144" t="s">
        <v>400</v>
      </c>
      <c r="E979" s="150" t="s">
        <v>2491</v>
      </c>
      <c r="F979" s="144" t="s">
        <v>2477</v>
      </c>
      <c r="G979" s="166" t="s">
        <v>1490</v>
      </c>
      <c r="H979" s="151">
        <v>5</v>
      </c>
      <c r="I979" s="160"/>
      <c r="J979" s="159">
        <v>2.75</v>
      </c>
      <c r="K979" s="161"/>
      <c r="L979" s="159">
        <v>13.75</v>
      </c>
      <c r="M979" s="160">
        <v>13.75</v>
      </c>
      <c r="N979" s="145"/>
      <c r="O979" s="156" t="s">
        <v>166</v>
      </c>
      <c r="P979" s="144" t="s">
        <v>2478</v>
      </c>
      <c r="Q979" s="147">
        <v>44774</v>
      </c>
      <c r="R979" s="146">
        <v>2041</v>
      </c>
      <c r="S979" s="157"/>
      <c r="T979" s="144" t="s">
        <v>25</v>
      </c>
      <c r="U979" s="150" t="s">
        <v>2479</v>
      </c>
      <c r="V979" s="146">
        <v>1853</v>
      </c>
      <c r="W979" s="148"/>
      <c r="X979" s="149">
        <v>45689</v>
      </c>
      <c r="Y979" s="165" t="s">
        <v>2740</v>
      </c>
    </row>
    <row r="980" spans="1:25">
      <c r="A980" s="163" t="s">
        <v>7</v>
      </c>
      <c r="B980" s="144" t="s">
        <v>2463</v>
      </c>
      <c r="C980" s="164" t="s">
        <v>4184</v>
      </c>
      <c r="D980" s="144" t="s">
        <v>2465</v>
      </c>
      <c r="E980" s="150" t="s">
        <v>2466</v>
      </c>
      <c r="F980" s="144" t="s">
        <v>2467</v>
      </c>
      <c r="G980" s="166"/>
      <c r="H980" s="151">
        <v>1</v>
      </c>
      <c r="I980" s="160">
        <v>152</v>
      </c>
      <c r="J980" s="159">
        <v>152</v>
      </c>
      <c r="K980" s="161">
        <v>152</v>
      </c>
      <c r="L980" s="159">
        <v>152</v>
      </c>
      <c r="M980" s="160">
        <v>152</v>
      </c>
      <c r="N980" s="145">
        <v>400</v>
      </c>
      <c r="O980" s="156" t="s">
        <v>135</v>
      </c>
      <c r="P980" s="144" t="s">
        <v>2468</v>
      </c>
      <c r="Q980" s="147"/>
      <c r="R980" s="146"/>
      <c r="S980" s="157"/>
      <c r="T980" s="144" t="s">
        <v>29</v>
      </c>
      <c r="U980" s="150" t="s">
        <v>20</v>
      </c>
      <c r="V980" s="146">
        <v>2715</v>
      </c>
      <c r="W980" s="148" t="s">
        <v>4185</v>
      </c>
      <c r="X980" s="149">
        <v>45689</v>
      </c>
      <c r="Y980" s="165" t="s">
        <v>2470</v>
      </c>
    </row>
    <row r="981" spans="1:25">
      <c r="A981" s="163" t="s">
        <v>423</v>
      </c>
      <c r="B981" s="144" t="s">
        <v>2463</v>
      </c>
      <c r="C981" s="164" t="s">
        <v>4186</v>
      </c>
      <c r="D981" s="144" t="s">
        <v>540</v>
      </c>
      <c r="E981" s="150" t="s">
        <v>2476</v>
      </c>
      <c r="F981" s="144" t="s">
        <v>2477</v>
      </c>
      <c r="G981" s="166"/>
      <c r="H981" s="151">
        <v>1</v>
      </c>
      <c r="I981" s="160"/>
      <c r="J981" s="159">
        <v>200</v>
      </c>
      <c r="K981" s="161"/>
      <c r="L981" s="159">
        <v>200</v>
      </c>
      <c r="M981" s="160">
        <v>200</v>
      </c>
      <c r="N981" s="145"/>
      <c r="O981" s="156" t="s">
        <v>135</v>
      </c>
      <c r="P981" s="144" t="s">
        <v>2478</v>
      </c>
      <c r="Q981" s="147"/>
      <c r="R981" s="146"/>
      <c r="S981" s="157"/>
      <c r="T981" s="144" t="s">
        <v>29</v>
      </c>
      <c r="U981" s="150" t="s">
        <v>2479</v>
      </c>
      <c r="V981" s="146">
        <v>2775</v>
      </c>
      <c r="W981" s="148" t="s">
        <v>4187</v>
      </c>
      <c r="X981" s="149">
        <v>45689</v>
      </c>
      <c r="Y981" s="165" t="s">
        <v>2500</v>
      </c>
    </row>
    <row r="982" spans="1:25">
      <c r="A982" s="163" t="s">
        <v>565</v>
      </c>
      <c r="B982" s="144" t="s">
        <v>163</v>
      </c>
      <c r="C982" s="164" t="s">
        <v>2394</v>
      </c>
      <c r="D982" s="144" t="s">
        <v>4188</v>
      </c>
      <c r="E982" s="150" t="s">
        <v>2485</v>
      </c>
      <c r="F982" s="144" t="s">
        <v>2486</v>
      </c>
      <c r="G982" s="166" t="s">
        <v>4189</v>
      </c>
      <c r="H982" s="151">
        <v>56</v>
      </c>
      <c r="I982" s="160"/>
      <c r="J982" s="159">
        <v>3</v>
      </c>
      <c r="K982" s="161"/>
      <c r="L982" s="159">
        <v>168</v>
      </c>
      <c r="M982" s="160">
        <v>168</v>
      </c>
      <c r="N982" s="145"/>
      <c r="O982" s="156" t="s">
        <v>166</v>
      </c>
      <c r="P982" s="144" t="s">
        <v>2478</v>
      </c>
      <c r="Q982" s="147"/>
      <c r="R982" s="146">
        <v>2050</v>
      </c>
      <c r="S982" s="157"/>
      <c r="T982" s="144" t="s">
        <v>25</v>
      </c>
      <c r="U982" s="150" t="s">
        <v>17</v>
      </c>
      <c r="V982" s="146">
        <v>1149</v>
      </c>
      <c r="W982" s="148"/>
      <c r="X982" s="149">
        <v>45689</v>
      </c>
      <c r="Y982" s="165" t="s">
        <v>2865</v>
      </c>
    </row>
    <row r="983" spans="1:25">
      <c r="A983" s="163" t="s">
        <v>7</v>
      </c>
      <c r="B983" s="144" t="s">
        <v>2463</v>
      </c>
      <c r="C983" s="164" t="s">
        <v>4190</v>
      </c>
      <c r="D983" s="144" t="s">
        <v>2549</v>
      </c>
      <c r="E983" s="150" t="s">
        <v>2466</v>
      </c>
      <c r="F983" s="144" t="s">
        <v>2467</v>
      </c>
      <c r="G983" s="166"/>
      <c r="H983" s="151">
        <v>1</v>
      </c>
      <c r="I983" s="160">
        <v>196.8</v>
      </c>
      <c r="J983" s="159">
        <v>196.8</v>
      </c>
      <c r="K983" s="161">
        <v>196.8</v>
      </c>
      <c r="L983" s="159">
        <v>196.8</v>
      </c>
      <c r="M983" s="160">
        <v>196.8</v>
      </c>
      <c r="N983" s="145">
        <v>300</v>
      </c>
      <c r="O983" s="156" t="s">
        <v>135</v>
      </c>
      <c r="P983" s="144" t="s">
        <v>2468</v>
      </c>
      <c r="Q983" s="147"/>
      <c r="R983" s="146"/>
      <c r="S983" s="157"/>
      <c r="T983" s="144" t="s">
        <v>29</v>
      </c>
      <c r="U983" s="150" t="s">
        <v>20</v>
      </c>
      <c r="V983" s="146">
        <v>2972</v>
      </c>
      <c r="W983" s="148"/>
      <c r="X983" s="149"/>
      <c r="Y983" s="165" t="s">
        <v>2470</v>
      </c>
    </row>
    <row r="984" spans="1:25">
      <c r="A984" s="163" t="s">
        <v>7</v>
      </c>
      <c r="B984" s="144" t="s">
        <v>2463</v>
      </c>
      <c r="C984" s="164" t="s">
        <v>4191</v>
      </c>
      <c r="D984" s="144" t="s">
        <v>1215</v>
      </c>
      <c r="E984" s="150" t="s">
        <v>2636</v>
      </c>
      <c r="F984" s="144" t="s">
        <v>2482</v>
      </c>
      <c r="G984" s="166"/>
      <c r="H984" s="151">
        <v>1</v>
      </c>
      <c r="I984" s="160">
        <v>250</v>
      </c>
      <c r="J984" s="159">
        <v>400</v>
      </c>
      <c r="K984" s="161">
        <v>250</v>
      </c>
      <c r="L984" s="159">
        <v>400</v>
      </c>
      <c r="M984" s="160" t="s">
        <v>4192</v>
      </c>
      <c r="N984" s="145">
        <v>3200</v>
      </c>
      <c r="O984" s="156" t="s">
        <v>135</v>
      </c>
      <c r="P984" s="144" t="s">
        <v>2468</v>
      </c>
      <c r="Q984" s="147"/>
      <c r="R984" s="146"/>
      <c r="S984" s="157"/>
      <c r="T984" s="144" t="s">
        <v>29</v>
      </c>
      <c r="U984" s="150" t="s">
        <v>18</v>
      </c>
      <c r="V984" s="146">
        <v>1697</v>
      </c>
      <c r="W984" s="148" t="s">
        <v>4193</v>
      </c>
      <c r="X984" s="149">
        <v>45689</v>
      </c>
      <c r="Y984" s="165" t="s">
        <v>2612</v>
      </c>
    </row>
    <row r="985" spans="1:25">
      <c r="A985" s="163" t="s">
        <v>7</v>
      </c>
      <c r="B985" s="144" t="s">
        <v>2463</v>
      </c>
      <c r="C985" s="164" t="s">
        <v>4194</v>
      </c>
      <c r="D985" s="144" t="s">
        <v>4195</v>
      </c>
      <c r="E985" s="150" t="s">
        <v>2476</v>
      </c>
      <c r="F985" s="144" t="s">
        <v>2477</v>
      </c>
      <c r="G985" s="166"/>
      <c r="H985" s="151">
        <v>1</v>
      </c>
      <c r="I985" s="160">
        <v>135</v>
      </c>
      <c r="J985" s="159">
        <v>135</v>
      </c>
      <c r="K985" s="161">
        <v>135</v>
      </c>
      <c r="L985" s="159">
        <v>135</v>
      </c>
      <c r="M985" s="160">
        <v>135</v>
      </c>
      <c r="N985" s="145"/>
      <c r="O985" s="156" t="s">
        <v>135</v>
      </c>
      <c r="P985" s="144" t="s">
        <v>2478</v>
      </c>
      <c r="Q985" s="147"/>
      <c r="R985" s="146"/>
      <c r="S985" s="157"/>
      <c r="T985" s="144" t="s">
        <v>29</v>
      </c>
      <c r="U985" s="150" t="s">
        <v>2479</v>
      </c>
      <c r="V985" s="146">
        <v>2794</v>
      </c>
      <c r="W985" s="148"/>
      <c r="X985" s="149">
        <v>45778</v>
      </c>
      <c r="Y985" s="165" t="s">
        <v>4196</v>
      </c>
    </row>
    <row r="986" spans="1:25">
      <c r="A986" s="163" t="s">
        <v>7</v>
      </c>
      <c r="B986" s="144" t="s">
        <v>2463</v>
      </c>
      <c r="C986" s="164" t="s">
        <v>4197</v>
      </c>
      <c r="D986" s="144" t="s">
        <v>2756</v>
      </c>
      <c r="E986" s="150" t="s">
        <v>2466</v>
      </c>
      <c r="F986" s="144" t="s">
        <v>2467</v>
      </c>
      <c r="G986" s="166"/>
      <c r="H986" s="151">
        <v>1</v>
      </c>
      <c r="I986" s="160">
        <v>275</v>
      </c>
      <c r="J986" s="159">
        <v>275</v>
      </c>
      <c r="K986" s="161">
        <v>275</v>
      </c>
      <c r="L986" s="159">
        <v>275</v>
      </c>
      <c r="M986" s="160">
        <v>275</v>
      </c>
      <c r="N986" s="145">
        <v>2200</v>
      </c>
      <c r="O986" s="156" t="s">
        <v>135</v>
      </c>
      <c r="P986" s="144" t="s">
        <v>2468</v>
      </c>
      <c r="Q986" s="147"/>
      <c r="R986" s="146"/>
      <c r="S986" s="157"/>
      <c r="T986" s="144" t="s">
        <v>29</v>
      </c>
      <c r="U986" s="150" t="s">
        <v>20</v>
      </c>
      <c r="V986" s="146">
        <v>2797</v>
      </c>
      <c r="W986" s="148"/>
      <c r="X986" s="149">
        <v>45689</v>
      </c>
      <c r="Y986" s="165" t="s">
        <v>2520</v>
      </c>
    </row>
    <row r="987" spans="1:25">
      <c r="A987" s="163" t="s">
        <v>7</v>
      </c>
      <c r="B987" s="144" t="s">
        <v>2463</v>
      </c>
      <c r="C987" s="164" t="s">
        <v>4198</v>
      </c>
      <c r="D987" s="144" t="s">
        <v>4199</v>
      </c>
      <c r="E987" s="150" t="s">
        <v>2491</v>
      </c>
      <c r="F987" s="144" t="s">
        <v>2477</v>
      </c>
      <c r="G987" s="166"/>
      <c r="H987" s="151">
        <v>1</v>
      </c>
      <c r="I987" s="160"/>
      <c r="J987" s="159">
        <v>4.5999999999999996</v>
      </c>
      <c r="K987" s="161"/>
      <c r="L987" s="159">
        <v>4.5999999999999996</v>
      </c>
      <c r="M987" s="160">
        <v>4.5999999999999996</v>
      </c>
      <c r="N987" s="145"/>
      <c r="O987" s="156" t="s">
        <v>135</v>
      </c>
      <c r="P987" s="144" t="s">
        <v>2478</v>
      </c>
      <c r="Q987" s="147"/>
      <c r="R987" s="146">
        <v>2062</v>
      </c>
      <c r="S987" s="157"/>
      <c r="T987" s="144" t="s">
        <v>29</v>
      </c>
      <c r="U987" s="150" t="s">
        <v>2479</v>
      </c>
      <c r="V987" s="146">
        <v>2197</v>
      </c>
      <c r="W987" s="148" t="s">
        <v>4200</v>
      </c>
      <c r="X987" s="149">
        <v>45413</v>
      </c>
      <c r="Y987" s="165" t="s">
        <v>4113</v>
      </c>
    </row>
    <row r="988" spans="1:25">
      <c r="A988" s="163" t="s">
        <v>7</v>
      </c>
      <c r="B988" s="144" t="s">
        <v>2463</v>
      </c>
      <c r="C988" s="164" t="s">
        <v>4198</v>
      </c>
      <c r="D988" s="144" t="s">
        <v>4199</v>
      </c>
      <c r="E988" s="150" t="s">
        <v>2466</v>
      </c>
      <c r="F988" s="144" t="s">
        <v>2467</v>
      </c>
      <c r="G988" s="166"/>
      <c r="H988" s="151">
        <v>1</v>
      </c>
      <c r="I988" s="160">
        <v>3.6</v>
      </c>
      <c r="J988" s="159">
        <v>3.6</v>
      </c>
      <c r="K988" s="161">
        <v>3.6</v>
      </c>
      <c r="L988" s="159">
        <v>3.6</v>
      </c>
      <c r="M988" s="160">
        <v>3.6</v>
      </c>
      <c r="N988" s="145">
        <v>400</v>
      </c>
      <c r="O988" s="156" t="s">
        <v>135</v>
      </c>
      <c r="P988" s="144" t="s">
        <v>2468</v>
      </c>
      <c r="Q988" s="147">
        <v>46600</v>
      </c>
      <c r="R988" s="146">
        <v>2062</v>
      </c>
      <c r="S988" s="157"/>
      <c r="T988" s="144" t="s">
        <v>29</v>
      </c>
      <c r="U988" s="150" t="s">
        <v>20</v>
      </c>
      <c r="V988" s="146">
        <v>2197</v>
      </c>
      <c r="W988" s="148" t="s">
        <v>4200</v>
      </c>
      <c r="X988" s="149">
        <v>45413</v>
      </c>
      <c r="Y988" s="165" t="s">
        <v>4113</v>
      </c>
    </row>
    <row r="989" spans="1:25">
      <c r="A989" s="163" t="s">
        <v>7</v>
      </c>
      <c r="B989" s="144" t="s">
        <v>2463</v>
      </c>
      <c r="C989" s="164" t="s">
        <v>4201</v>
      </c>
      <c r="D989" s="144" t="s">
        <v>517</v>
      </c>
      <c r="E989" s="150" t="s">
        <v>2476</v>
      </c>
      <c r="F989" s="144" t="s">
        <v>2477</v>
      </c>
      <c r="G989" s="166"/>
      <c r="H989" s="151">
        <v>1</v>
      </c>
      <c r="I989" s="160">
        <v>50</v>
      </c>
      <c r="J989" s="159">
        <v>50</v>
      </c>
      <c r="K989" s="161">
        <v>50</v>
      </c>
      <c r="L989" s="159">
        <v>50</v>
      </c>
      <c r="M989" s="160">
        <v>50</v>
      </c>
      <c r="N989" s="145"/>
      <c r="O989" s="156" t="s">
        <v>135</v>
      </c>
      <c r="P989" s="144" t="s">
        <v>2478</v>
      </c>
      <c r="Q989" s="147"/>
      <c r="R989" s="146"/>
      <c r="S989" s="157"/>
      <c r="T989" s="144" t="s">
        <v>29</v>
      </c>
      <c r="U989" s="150" t="s">
        <v>2479</v>
      </c>
      <c r="V989" s="146">
        <v>1656</v>
      </c>
      <c r="W989" s="148" t="s">
        <v>4185</v>
      </c>
      <c r="X989" s="149">
        <v>45901</v>
      </c>
      <c r="Y989" s="165" t="s">
        <v>2942</v>
      </c>
    </row>
    <row r="990" spans="1:25">
      <c r="A990" s="163" t="s">
        <v>7</v>
      </c>
      <c r="B990" s="144" t="s">
        <v>2463</v>
      </c>
      <c r="C990" s="164" t="s">
        <v>4202</v>
      </c>
      <c r="D990" s="144" t="s">
        <v>4057</v>
      </c>
      <c r="E990" s="150" t="s">
        <v>2466</v>
      </c>
      <c r="F990" s="144" t="s">
        <v>2467</v>
      </c>
      <c r="G990" s="166"/>
      <c r="H990" s="151">
        <v>114</v>
      </c>
      <c r="I990" s="160">
        <v>3.51</v>
      </c>
      <c r="J990" s="159">
        <v>3.51</v>
      </c>
      <c r="K990" s="161">
        <v>400.14</v>
      </c>
      <c r="L990" s="159">
        <v>400.14</v>
      </c>
      <c r="M990" s="160">
        <v>400.14</v>
      </c>
      <c r="N990" s="145">
        <v>1600</v>
      </c>
      <c r="O990" s="156" t="s">
        <v>135</v>
      </c>
      <c r="P990" s="144" t="s">
        <v>2468</v>
      </c>
      <c r="Q990" s="147"/>
      <c r="R990" s="146"/>
      <c r="S990" s="157"/>
      <c r="T990" s="144" t="s">
        <v>29</v>
      </c>
      <c r="U990" s="150" t="s">
        <v>20</v>
      </c>
      <c r="V990" s="146">
        <v>2915</v>
      </c>
      <c r="W990" s="148" t="s">
        <v>4203</v>
      </c>
      <c r="X990" s="149"/>
      <c r="Y990" s="165"/>
    </row>
    <row r="991" spans="1:25">
      <c r="A991" s="163" t="s">
        <v>7</v>
      </c>
      <c r="B991" s="144" t="s">
        <v>2463</v>
      </c>
      <c r="C991" s="164" t="s">
        <v>4204</v>
      </c>
      <c r="D991" s="144" t="s">
        <v>4057</v>
      </c>
      <c r="E991" s="150" t="s">
        <v>2476</v>
      </c>
      <c r="F991" s="144" t="s">
        <v>2477</v>
      </c>
      <c r="G991" s="166"/>
      <c r="H991" s="151">
        <v>1</v>
      </c>
      <c r="I991" s="160">
        <v>125</v>
      </c>
      <c r="J991" s="159">
        <v>125</v>
      </c>
      <c r="K991" s="161">
        <v>125</v>
      </c>
      <c r="L991" s="159">
        <v>125</v>
      </c>
      <c r="M991" s="160">
        <v>125</v>
      </c>
      <c r="N991" s="145"/>
      <c r="O991" s="156" t="s">
        <v>135</v>
      </c>
      <c r="P991" s="144" t="s">
        <v>2478</v>
      </c>
      <c r="Q991" s="147"/>
      <c r="R991" s="146"/>
      <c r="S991" s="157"/>
      <c r="T991" s="144" t="s">
        <v>29</v>
      </c>
      <c r="U991" s="150" t="s">
        <v>2479</v>
      </c>
      <c r="V991" s="146">
        <v>2916</v>
      </c>
      <c r="W991" s="148" t="s">
        <v>4203</v>
      </c>
      <c r="X991" s="149"/>
      <c r="Y991" s="165"/>
    </row>
    <row r="992" spans="1:25">
      <c r="A992" s="163" t="s">
        <v>7</v>
      </c>
      <c r="B992" s="144" t="s">
        <v>163</v>
      </c>
      <c r="C992" s="164" t="s">
        <v>4205</v>
      </c>
      <c r="D992" s="144" t="s">
        <v>4206</v>
      </c>
      <c r="E992" s="150" t="s">
        <v>2491</v>
      </c>
      <c r="F992" s="144" t="s">
        <v>2477</v>
      </c>
      <c r="G992" s="166" t="s">
        <v>4207</v>
      </c>
      <c r="H992" s="151">
        <v>4</v>
      </c>
      <c r="I992" s="160">
        <v>0</v>
      </c>
      <c r="J992" s="159">
        <v>2.2999999999999998</v>
      </c>
      <c r="K992" s="161">
        <v>0</v>
      </c>
      <c r="L992" s="159">
        <v>9.1999999999999993</v>
      </c>
      <c r="M992" s="160">
        <v>9.1999999999999993</v>
      </c>
      <c r="N992" s="145"/>
      <c r="O992" s="156" t="s">
        <v>166</v>
      </c>
      <c r="P992" s="144" t="s">
        <v>2480</v>
      </c>
      <c r="Q992" s="147"/>
      <c r="R992" s="146">
        <v>2042</v>
      </c>
      <c r="S992" s="157"/>
      <c r="T992" s="144" t="s">
        <v>25</v>
      </c>
      <c r="U992" s="150" t="s">
        <v>2479</v>
      </c>
      <c r="V992" s="146">
        <v>1380</v>
      </c>
      <c r="W992" s="148"/>
      <c r="X992" s="149">
        <v>45566</v>
      </c>
      <c r="Y992" s="165" t="s">
        <v>3491</v>
      </c>
    </row>
    <row r="993" spans="1:25">
      <c r="A993" s="163" t="s">
        <v>309</v>
      </c>
      <c r="B993" s="144" t="s">
        <v>2463</v>
      </c>
      <c r="C993" s="164" t="s">
        <v>4208</v>
      </c>
      <c r="D993" s="144" t="s">
        <v>4209</v>
      </c>
      <c r="E993" s="150" t="s">
        <v>2466</v>
      </c>
      <c r="F993" s="144" t="s">
        <v>2467</v>
      </c>
      <c r="G993" s="166"/>
      <c r="H993" s="151">
        <v>1</v>
      </c>
      <c r="I993" s="160">
        <v>450</v>
      </c>
      <c r="J993" s="159">
        <v>450</v>
      </c>
      <c r="K993" s="161">
        <v>450</v>
      </c>
      <c r="L993" s="159">
        <v>450</v>
      </c>
      <c r="M993" s="160">
        <v>450</v>
      </c>
      <c r="N993" s="145">
        <v>1800</v>
      </c>
      <c r="O993" s="156" t="s">
        <v>135</v>
      </c>
      <c r="P993" s="144" t="s">
        <v>2468</v>
      </c>
      <c r="Q993" s="147"/>
      <c r="R993" s="146"/>
      <c r="S993" s="157"/>
      <c r="T993" s="144" t="s">
        <v>29</v>
      </c>
      <c r="U993" s="150" t="s">
        <v>20</v>
      </c>
      <c r="V993" s="146">
        <v>2590</v>
      </c>
      <c r="W993" s="148" t="s">
        <v>4210</v>
      </c>
      <c r="X993" s="149"/>
      <c r="Y993" s="165"/>
    </row>
    <row r="994" spans="1:25">
      <c r="A994" s="163" t="s">
        <v>309</v>
      </c>
      <c r="B994" s="144" t="s">
        <v>2463</v>
      </c>
      <c r="C994" s="164" t="s">
        <v>4208</v>
      </c>
      <c r="D994" s="144" t="s">
        <v>4209</v>
      </c>
      <c r="E994" s="150" t="s">
        <v>2466</v>
      </c>
      <c r="F994" s="144" t="s">
        <v>2467</v>
      </c>
      <c r="G994" s="166"/>
      <c r="H994" s="151">
        <v>1</v>
      </c>
      <c r="I994" s="160">
        <v>450</v>
      </c>
      <c r="J994" s="159">
        <v>450</v>
      </c>
      <c r="K994" s="161">
        <v>450</v>
      </c>
      <c r="L994" s="159">
        <v>450</v>
      </c>
      <c r="M994" s="160">
        <v>450</v>
      </c>
      <c r="N994" s="145">
        <v>1800</v>
      </c>
      <c r="O994" s="156" t="s">
        <v>135</v>
      </c>
      <c r="P994" s="144" t="s">
        <v>2468</v>
      </c>
      <c r="Q994" s="147">
        <v>47088</v>
      </c>
      <c r="R994" s="146">
        <v>2063</v>
      </c>
      <c r="S994" s="157"/>
      <c r="T994" s="144" t="s">
        <v>29</v>
      </c>
      <c r="U994" s="150" t="s">
        <v>20</v>
      </c>
      <c r="V994" s="146">
        <v>2590</v>
      </c>
      <c r="W994" s="148" t="s">
        <v>4210</v>
      </c>
      <c r="X994" s="149"/>
      <c r="Y994" s="165"/>
    </row>
    <row r="995" spans="1:25">
      <c r="A995" s="163" t="s">
        <v>309</v>
      </c>
      <c r="B995" s="144" t="s">
        <v>2463</v>
      </c>
      <c r="C995" s="164" t="s">
        <v>4211</v>
      </c>
      <c r="D995" s="144" t="s">
        <v>3778</v>
      </c>
      <c r="E995" s="150" t="s">
        <v>2466</v>
      </c>
      <c r="F995" s="144" t="s">
        <v>2467</v>
      </c>
      <c r="G995" s="166"/>
      <c r="H995" s="151">
        <v>1</v>
      </c>
      <c r="I995" s="160">
        <v>280</v>
      </c>
      <c r="J995" s="159">
        <v>280</v>
      </c>
      <c r="K995" s="161">
        <v>280</v>
      </c>
      <c r="L995" s="159">
        <v>280</v>
      </c>
      <c r="M995" s="160">
        <v>280</v>
      </c>
      <c r="N995" s="145">
        <v>0</v>
      </c>
      <c r="O995" s="156" t="s">
        <v>135</v>
      </c>
      <c r="P995" s="144" t="s">
        <v>2468</v>
      </c>
      <c r="Q995" s="147"/>
      <c r="R995" s="146"/>
      <c r="S995" s="157"/>
      <c r="T995" s="144" t="s">
        <v>29</v>
      </c>
      <c r="U995" s="150" t="s">
        <v>20</v>
      </c>
      <c r="V995" s="146">
        <v>2825</v>
      </c>
      <c r="W995" s="148" t="s">
        <v>4212</v>
      </c>
      <c r="X995" s="149"/>
      <c r="Y995" s="165" t="s">
        <v>3069</v>
      </c>
    </row>
    <row r="996" spans="1:25">
      <c r="A996" s="163" t="s">
        <v>7</v>
      </c>
      <c r="B996" s="144" t="s">
        <v>163</v>
      </c>
      <c r="C996" s="164" t="s">
        <v>1708</v>
      </c>
      <c r="D996" s="144" t="s">
        <v>4213</v>
      </c>
      <c r="E996" s="150" t="s">
        <v>2491</v>
      </c>
      <c r="F996" s="144" t="s">
        <v>2477</v>
      </c>
      <c r="G996" s="166" t="s">
        <v>1710</v>
      </c>
      <c r="H996" s="151">
        <v>48</v>
      </c>
      <c r="I996" s="160"/>
      <c r="J996" s="159">
        <v>2.1800000000000002</v>
      </c>
      <c r="K996" s="161"/>
      <c r="L996" s="159">
        <v>104.64</v>
      </c>
      <c r="M996" s="160">
        <v>104.64</v>
      </c>
      <c r="N996" s="145"/>
      <c r="O996" s="156" t="s">
        <v>166</v>
      </c>
      <c r="P996" s="144" t="s">
        <v>2478</v>
      </c>
      <c r="Q996" s="147">
        <v>44013</v>
      </c>
      <c r="R996" s="146">
        <v>2049</v>
      </c>
      <c r="S996" s="157"/>
      <c r="T996" s="144" t="s">
        <v>25</v>
      </c>
      <c r="U996" s="150" t="s">
        <v>2479</v>
      </c>
      <c r="V996" s="146">
        <v>1414</v>
      </c>
      <c r="W996" s="148"/>
      <c r="X996" s="149">
        <v>45689</v>
      </c>
      <c r="Y996" s="165" t="s">
        <v>2500</v>
      </c>
    </row>
    <row r="997" spans="1:25">
      <c r="A997" s="163" t="s">
        <v>7</v>
      </c>
      <c r="B997" s="144" t="s">
        <v>163</v>
      </c>
      <c r="C997" s="164" t="s">
        <v>1088</v>
      </c>
      <c r="D997" s="144" t="s">
        <v>654</v>
      </c>
      <c r="E997" s="150" t="s">
        <v>2491</v>
      </c>
      <c r="F997" s="144" t="s">
        <v>2477</v>
      </c>
      <c r="G997" s="166" t="s">
        <v>1089</v>
      </c>
      <c r="H997" s="151">
        <v>1</v>
      </c>
      <c r="I997" s="160">
        <v>200</v>
      </c>
      <c r="J997" s="159">
        <v>200</v>
      </c>
      <c r="K997" s="161">
        <v>200</v>
      </c>
      <c r="L997" s="159">
        <v>200</v>
      </c>
      <c r="M997" s="160">
        <v>200</v>
      </c>
      <c r="N997" s="145"/>
      <c r="O997" s="156" t="s">
        <v>166</v>
      </c>
      <c r="P997" s="144" t="s">
        <v>2478</v>
      </c>
      <c r="Q997" s="147">
        <v>45047</v>
      </c>
      <c r="R997" s="146">
        <v>2073</v>
      </c>
      <c r="S997" s="157"/>
      <c r="T997" s="144" t="s">
        <v>25</v>
      </c>
      <c r="U997" s="150" t="s">
        <v>2479</v>
      </c>
      <c r="V997" s="146">
        <v>1854</v>
      </c>
      <c r="W997" s="148"/>
      <c r="X997" s="149">
        <v>45901</v>
      </c>
      <c r="Y997" s="165" t="s">
        <v>2840</v>
      </c>
    </row>
    <row r="998" spans="1:25">
      <c r="A998" s="163" t="s">
        <v>7</v>
      </c>
      <c r="B998" s="144" t="s">
        <v>163</v>
      </c>
      <c r="C998" s="164" t="s">
        <v>1088</v>
      </c>
      <c r="D998" s="144" t="s">
        <v>654</v>
      </c>
      <c r="E998" s="150" t="s">
        <v>2491</v>
      </c>
      <c r="F998" s="144" t="s">
        <v>2477</v>
      </c>
      <c r="G998" s="166" t="s">
        <v>1090</v>
      </c>
      <c r="H998" s="151">
        <v>1</v>
      </c>
      <c r="I998" s="160">
        <v>200</v>
      </c>
      <c r="J998" s="159">
        <v>200</v>
      </c>
      <c r="K998" s="161">
        <v>200</v>
      </c>
      <c r="L998" s="159">
        <v>200</v>
      </c>
      <c r="M998" s="160">
        <v>200</v>
      </c>
      <c r="N998" s="145"/>
      <c r="O998" s="156" t="s">
        <v>166</v>
      </c>
      <c r="P998" s="144" t="s">
        <v>2478</v>
      </c>
      <c r="Q998" s="147">
        <v>45047</v>
      </c>
      <c r="R998" s="146">
        <v>2073</v>
      </c>
      <c r="S998" s="157"/>
      <c r="T998" s="144" t="s">
        <v>25</v>
      </c>
      <c r="U998" s="150" t="s">
        <v>2479</v>
      </c>
      <c r="V998" s="146">
        <v>1854</v>
      </c>
      <c r="W998" s="148"/>
      <c r="X998" s="149">
        <v>45901</v>
      </c>
      <c r="Y998" s="165" t="s">
        <v>2840</v>
      </c>
    </row>
    <row r="999" spans="1:25">
      <c r="A999" s="163" t="s">
        <v>7</v>
      </c>
      <c r="B999" s="144" t="s">
        <v>2463</v>
      </c>
      <c r="C999" s="164" t="s">
        <v>1088</v>
      </c>
      <c r="D999" s="144" t="s">
        <v>654</v>
      </c>
      <c r="E999" s="150" t="s">
        <v>2491</v>
      </c>
      <c r="F999" s="144" t="s">
        <v>2477</v>
      </c>
      <c r="G999" s="166"/>
      <c r="H999" s="151">
        <v>1</v>
      </c>
      <c r="I999" s="160">
        <v>320</v>
      </c>
      <c r="J999" s="159">
        <v>320</v>
      </c>
      <c r="K999" s="161">
        <v>320</v>
      </c>
      <c r="L999" s="159">
        <v>320</v>
      </c>
      <c r="M999" s="160">
        <v>320</v>
      </c>
      <c r="N999" s="145"/>
      <c r="O999" s="156" t="s">
        <v>28</v>
      </c>
      <c r="P999" s="144" t="s">
        <v>2478</v>
      </c>
      <c r="Q999" s="147">
        <v>47027</v>
      </c>
      <c r="R999" s="146">
        <v>2075</v>
      </c>
      <c r="S999" s="157"/>
      <c r="T999" s="144" t="s">
        <v>28</v>
      </c>
      <c r="U999" s="150" t="s">
        <v>2479</v>
      </c>
      <c r="V999" s="146">
        <v>1854</v>
      </c>
      <c r="W999" s="148"/>
      <c r="X999" s="149">
        <v>45901</v>
      </c>
      <c r="Y999" s="165" t="s">
        <v>2840</v>
      </c>
    </row>
    <row r="1000" spans="1:25">
      <c r="A1000" s="163" t="s">
        <v>7</v>
      </c>
      <c r="B1000" s="144" t="s">
        <v>2463</v>
      </c>
      <c r="C1000" s="164" t="s">
        <v>845</v>
      </c>
      <c r="D1000" s="144" t="s">
        <v>846</v>
      </c>
      <c r="E1000" s="150" t="s">
        <v>2466</v>
      </c>
      <c r="F1000" s="144" t="s">
        <v>2467</v>
      </c>
      <c r="G1000" s="166"/>
      <c r="H1000" s="151">
        <v>1</v>
      </c>
      <c r="I1000" s="160"/>
      <c r="J1000" s="159">
        <v>100</v>
      </c>
      <c r="K1000" s="161"/>
      <c r="L1000" s="159">
        <v>100</v>
      </c>
      <c r="M1000" s="160">
        <v>100</v>
      </c>
      <c r="N1000" s="145">
        <v>200</v>
      </c>
      <c r="O1000" s="156" t="s">
        <v>28</v>
      </c>
      <c r="P1000" s="144" t="s">
        <v>2468</v>
      </c>
      <c r="Q1000" s="147">
        <v>46357</v>
      </c>
      <c r="R1000" s="146">
        <v>2076</v>
      </c>
      <c r="S1000" s="157"/>
      <c r="T1000" s="144" t="s">
        <v>28</v>
      </c>
      <c r="U1000" s="150" t="s">
        <v>20</v>
      </c>
      <c r="V1000" s="146">
        <v>1893</v>
      </c>
      <c r="W1000" s="148" t="s">
        <v>4214</v>
      </c>
      <c r="X1000" s="149">
        <v>45901</v>
      </c>
      <c r="Y1000" s="165" t="s">
        <v>2840</v>
      </c>
    </row>
    <row r="1001" spans="1:25">
      <c r="A1001" s="163" t="s">
        <v>7</v>
      </c>
      <c r="B1001" s="144" t="s">
        <v>2463</v>
      </c>
      <c r="C1001" s="164" t="s">
        <v>845</v>
      </c>
      <c r="D1001" s="144" t="s">
        <v>846</v>
      </c>
      <c r="E1001" s="150" t="s">
        <v>2466</v>
      </c>
      <c r="F1001" s="144" t="s">
        <v>2467</v>
      </c>
      <c r="G1001" s="166"/>
      <c r="H1001" s="151">
        <v>1</v>
      </c>
      <c r="I1001" s="160">
        <v>0</v>
      </c>
      <c r="J1001" s="159">
        <v>100</v>
      </c>
      <c r="K1001" s="161">
        <v>0</v>
      </c>
      <c r="L1001" s="159">
        <v>100</v>
      </c>
      <c r="M1001" s="160">
        <v>100</v>
      </c>
      <c r="N1001" s="145">
        <v>200</v>
      </c>
      <c r="O1001" s="156" t="s">
        <v>28</v>
      </c>
      <c r="P1001" s="144" t="s">
        <v>2468</v>
      </c>
      <c r="Q1001" s="147">
        <v>46357</v>
      </c>
      <c r="R1001" s="146">
        <v>2075</v>
      </c>
      <c r="S1001" s="157"/>
      <c r="T1001" s="144" t="s">
        <v>28</v>
      </c>
      <c r="U1001" s="150" t="s">
        <v>20</v>
      </c>
      <c r="V1001" s="146">
        <v>1893</v>
      </c>
      <c r="W1001" s="148" t="s">
        <v>4214</v>
      </c>
      <c r="X1001" s="149">
        <v>45901</v>
      </c>
      <c r="Y1001" s="165" t="s">
        <v>2840</v>
      </c>
    </row>
    <row r="1002" spans="1:25">
      <c r="A1002" s="163" t="s">
        <v>423</v>
      </c>
      <c r="B1002" s="144" t="s">
        <v>163</v>
      </c>
      <c r="C1002" s="164" t="s">
        <v>1912</v>
      </c>
      <c r="D1002" s="144" t="s">
        <v>1277</v>
      </c>
      <c r="E1002" s="150" t="s">
        <v>2639</v>
      </c>
      <c r="F1002" s="144" t="s">
        <v>2556</v>
      </c>
      <c r="G1002" s="166" t="s">
        <v>4215</v>
      </c>
      <c r="H1002" s="151">
        <v>1</v>
      </c>
      <c r="I1002" s="160"/>
      <c r="J1002" s="159">
        <v>500</v>
      </c>
      <c r="K1002" s="161"/>
      <c r="L1002" s="159">
        <v>500</v>
      </c>
      <c r="M1002" s="160">
        <v>500</v>
      </c>
      <c r="N1002" s="145"/>
      <c r="O1002" s="156" t="s">
        <v>166</v>
      </c>
      <c r="P1002" s="144" t="s">
        <v>2468</v>
      </c>
      <c r="Q1002" s="147"/>
      <c r="R1002" s="146">
        <v>2039</v>
      </c>
      <c r="S1002" s="157"/>
      <c r="T1002" s="144" t="s">
        <v>25</v>
      </c>
      <c r="U1002" s="150" t="s">
        <v>15</v>
      </c>
      <c r="V1002" s="146">
        <v>1150</v>
      </c>
      <c r="W1002" s="148"/>
      <c r="X1002" s="149">
        <v>45689</v>
      </c>
      <c r="Y1002" s="165" t="s">
        <v>2558</v>
      </c>
    </row>
    <row r="1003" spans="1:25">
      <c r="A1003" s="163" t="s">
        <v>423</v>
      </c>
      <c r="B1003" s="144" t="s">
        <v>2463</v>
      </c>
      <c r="C1003" s="164" t="s">
        <v>4216</v>
      </c>
      <c r="D1003" s="144" t="s">
        <v>3930</v>
      </c>
      <c r="E1003" s="150" t="s">
        <v>2466</v>
      </c>
      <c r="F1003" s="144" t="s">
        <v>2467</v>
      </c>
      <c r="G1003" s="166"/>
      <c r="H1003" s="151">
        <v>1</v>
      </c>
      <c r="I1003" s="160">
        <v>250</v>
      </c>
      <c r="J1003" s="159">
        <v>250</v>
      </c>
      <c r="K1003" s="161">
        <v>250</v>
      </c>
      <c r="L1003" s="159">
        <v>250</v>
      </c>
      <c r="M1003" s="160">
        <v>250</v>
      </c>
      <c r="N1003" s="145">
        <v>500</v>
      </c>
      <c r="O1003" s="156" t="s">
        <v>135</v>
      </c>
      <c r="P1003" s="144" t="s">
        <v>2468</v>
      </c>
      <c r="Q1003" s="147"/>
      <c r="R1003" s="146"/>
      <c r="S1003" s="157"/>
      <c r="T1003" s="144" t="s">
        <v>29</v>
      </c>
      <c r="U1003" s="150" t="s">
        <v>20</v>
      </c>
      <c r="V1003" s="146">
        <v>3084</v>
      </c>
      <c r="W1003" s="148"/>
      <c r="X1003" s="149">
        <v>45901</v>
      </c>
      <c r="Y1003" s="165" t="s">
        <v>4217</v>
      </c>
    </row>
    <row r="1004" spans="1:25">
      <c r="A1004" s="163" t="s">
        <v>423</v>
      </c>
      <c r="B1004" s="144" t="s">
        <v>2463</v>
      </c>
      <c r="C1004" s="164" t="s">
        <v>4218</v>
      </c>
      <c r="D1004" s="144" t="s">
        <v>3930</v>
      </c>
      <c r="E1004" s="150" t="s">
        <v>2466</v>
      </c>
      <c r="F1004" s="144" t="s">
        <v>2467</v>
      </c>
      <c r="G1004" s="166"/>
      <c r="H1004" s="151">
        <v>1</v>
      </c>
      <c r="I1004" s="160">
        <v>250</v>
      </c>
      <c r="J1004" s="159">
        <v>250</v>
      </c>
      <c r="K1004" s="161">
        <v>250</v>
      </c>
      <c r="L1004" s="159">
        <v>250</v>
      </c>
      <c r="M1004" s="160">
        <v>250</v>
      </c>
      <c r="N1004" s="145">
        <v>1000</v>
      </c>
      <c r="O1004" s="156" t="s">
        <v>135</v>
      </c>
      <c r="P1004" s="144" t="s">
        <v>2468</v>
      </c>
      <c r="Q1004" s="147"/>
      <c r="R1004" s="146"/>
      <c r="S1004" s="157"/>
      <c r="T1004" s="144" t="s">
        <v>29</v>
      </c>
      <c r="U1004" s="150" t="s">
        <v>20</v>
      </c>
      <c r="V1004" s="146">
        <v>3087</v>
      </c>
      <c r="W1004" s="148"/>
      <c r="X1004" s="149">
        <v>45901</v>
      </c>
      <c r="Y1004" s="165" t="s">
        <v>4217</v>
      </c>
    </row>
    <row r="1005" spans="1:25">
      <c r="A1005" s="163" t="s">
        <v>309</v>
      </c>
      <c r="B1005" s="144" t="s">
        <v>2463</v>
      </c>
      <c r="C1005" s="164" t="s">
        <v>4219</v>
      </c>
      <c r="D1005" s="144" t="s">
        <v>3626</v>
      </c>
      <c r="E1005" s="150" t="s">
        <v>2466</v>
      </c>
      <c r="F1005" s="144" t="s">
        <v>2467</v>
      </c>
      <c r="G1005" s="166"/>
      <c r="H1005" s="151">
        <v>1</v>
      </c>
      <c r="I1005" s="160">
        <v>180</v>
      </c>
      <c r="J1005" s="159">
        <v>180</v>
      </c>
      <c r="K1005" s="161">
        <v>180</v>
      </c>
      <c r="L1005" s="159">
        <v>180</v>
      </c>
      <c r="M1005" s="160">
        <v>180</v>
      </c>
      <c r="N1005" s="145">
        <v>360</v>
      </c>
      <c r="O1005" s="156" t="s">
        <v>135</v>
      </c>
      <c r="P1005" s="144" t="s">
        <v>2468</v>
      </c>
      <c r="Q1005" s="147">
        <v>46905</v>
      </c>
      <c r="R1005" s="146"/>
      <c r="S1005" s="157"/>
      <c r="T1005" s="144" t="s">
        <v>29</v>
      </c>
      <c r="U1005" s="150" t="s">
        <v>20</v>
      </c>
      <c r="V1005" s="146">
        <v>2827</v>
      </c>
      <c r="W1005" s="148" t="s">
        <v>4220</v>
      </c>
      <c r="X1005" s="149"/>
      <c r="Y1005" s="165" t="s">
        <v>2612</v>
      </c>
    </row>
    <row r="1006" spans="1:25">
      <c r="A1006" s="163" t="s">
        <v>7</v>
      </c>
      <c r="B1006" s="144" t="s">
        <v>2463</v>
      </c>
      <c r="C1006" s="164" t="s">
        <v>4221</v>
      </c>
      <c r="D1006" s="144" t="s">
        <v>236</v>
      </c>
      <c r="E1006" s="150" t="s">
        <v>2485</v>
      </c>
      <c r="F1006" s="144" t="s">
        <v>2486</v>
      </c>
      <c r="G1006" s="166"/>
      <c r="H1006" s="151">
        <v>1</v>
      </c>
      <c r="I1006" s="160">
        <v>1015</v>
      </c>
      <c r="J1006" s="159">
        <v>1015</v>
      </c>
      <c r="K1006" s="161">
        <v>1015</v>
      </c>
      <c r="L1006" s="159">
        <v>1015</v>
      </c>
      <c r="M1006" s="160">
        <v>1015</v>
      </c>
      <c r="N1006" s="145"/>
      <c r="O1006" s="156" t="s">
        <v>135</v>
      </c>
      <c r="P1006" s="144" t="s">
        <v>2478</v>
      </c>
      <c r="Q1006" s="147"/>
      <c r="R1006" s="146"/>
      <c r="S1006" s="157"/>
      <c r="T1006" s="144" t="s">
        <v>29</v>
      </c>
      <c r="U1006" s="150" t="s">
        <v>17</v>
      </c>
      <c r="V1006" s="146">
        <v>2650</v>
      </c>
      <c r="W1006" s="148" t="s">
        <v>4222</v>
      </c>
      <c r="X1006" s="149">
        <v>45901</v>
      </c>
      <c r="Y1006" s="165" t="s">
        <v>2671</v>
      </c>
    </row>
    <row r="1007" spans="1:25">
      <c r="A1007" s="163" t="s">
        <v>423</v>
      </c>
      <c r="B1007" s="144" t="s">
        <v>2463</v>
      </c>
      <c r="C1007" s="164" t="s">
        <v>4223</v>
      </c>
      <c r="D1007" s="144" t="s">
        <v>4224</v>
      </c>
      <c r="E1007" s="150" t="s">
        <v>2485</v>
      </c>
      <c r="F1007" s="144" t="s">
        <v>2486</v>
      </c>
      <c r="G1007" s="166"/>
      <c r="H1007" s="151">
        <v>1</v>
      </c>
      <c r="I1007" s="160">
        <v>120</v>
      </c>
      <c r="J1007" s="159">
        <v>120</v>
      </c>
      <c r="K1007" s="161">
        <v>120</v>
      </c>
      <c r="L1007" s="159">
        <v>120</v>
      </c>
      <c r="M1007" s="160">
        <v>120</v>
      </c>
      <c r="N1007" s="145"/>
      <c r="O1007" s="156" t="s">
        <v>135</v>
      </c>
      <c r="P1007" s="144" t="s">
        <v>2478</v>
      </c>
      <c r="Q1007" s="147"/>
      <c r="R1007" s="146"/>
      <c r="S1007" s="157"/>
      <c r="T1007" s="144" t="s">
        <v>29</v>
      </c>
      <c r="U1007" s="150" t="s">
        <v>17</v>
      </c>
      <c r="V1007" s="146">
        <v>2842</v>
      </c>
      <c r="W1007" s="148" t="s">
        <v>4225</v>
      </c>
      <c r="X1007" s="149">
        <v>45901</v>
      </c>
      <c r="Y1007" s="165" t="s">
        <v>2524</v>
      </c>
    </row>
    <row r="1008" spans="1:25">
      <c r="A1008" s="163" t="s">
        <v>309</v>
      </c>
      <c r="B1008" s="144" t="s">
        <v>2463</v>
      </c>
      <c r="C1008" s="164" t="s">
        <v>4226</v>
      </c>
      <c r="D1008" s="144" t="s">
        <v>616</v>
      </c>
      <c r="E1008" s="150" t="s">
        <v>2466</v>
      </c>
      <c r="F1008" s="144" t="s">
        <v>2467</v>
      </c>
      <c r="G1008" s="166"/>
      <c r="H1008" s="151">
        <v>1</v>
      </c>
      <c r="I1008" s="160">
        <v>700</v>
      </c>
      <c r="J1008" s="159">
        <v>700</v>
      </c>
      <c r="K1008" s="161">
        <v>700</v>
      </c>
      <c r="L1008" s="159">
        <v>700</v>
      </c>
      <c r="M1008" s="160">
        <v>700</v>
      </c>
      <c r="N1008" s="145">
        <v>2800</v>
      </c>
      <c r="O1008" s="156" t="s">
        <v>135</v>
      </c>
      <c r="P1008" s="144" t="s">
        <v>2468</v>
      </c>
      <c r="Q1008" s="147"/>
      <c r="R1008" s="146"/>
      <c r="S1008" s="157"/>
      <c r="T1008" s="144" t="s">
        <v>29</v>
      </c>
      <c r="U1008" s="150" t="s">
        <v>20</v>
      </c>
      <c r="V1008" s="146">
        <v>2673</v>
      </c>
      <c r="W1008" s="148" t="s">
        <v>4227</v>
      </c>
      <c r="X1008" s="149">
        <v>45689</v>
      </c>
      <c r="Y1008" s="165" t="s">
        <v>2474</v>
      </c>
    </row>
    <row r="1009" spans="1:25">
      <c r="A1009" s="163" t="s">
        <v>309</v>
      </c>
      <c r="B1009" s="144" t="s">
        <v>2463</v>
      </c>
      <c r="C1009" s="164" t="s">
        <v>4228</v>
      </c>
      <c r="D1009" s="144" t="s">
        <v>616</v>
      </c>
      <c r="E1009" s="150" t="s">
        <v>2476</v>
      </c>
      <c r="F1009" s="144" t="s">
        <v>2477</v>
      </c>
      <c r="G1009" s="166"/>
      <c r="H1009" s="151">
        <v>1</v>
      </c>
      <c r="I1009" s="160">
        <v>700</v>
      </c>
      <c r="J1009" s="159">
        <v>700</v>
      </c>
      <c r="K1009" s="161">
        <v>700</v>
      </c>
      <c r="L1009" s="159">
        <v>700</v>
      </c>
      <c r="M1009" s="160">
        <v>700</v>
      </c>
      <c r="N1009" s="145"/>
      <c r="O1009" s="156" t="s">
        <v>135</v>
      </c>
      <c r="P1009" s="144" t="s">
        <v>2478</v>
      </c>
      <c r="Q1009" s="147"/>
      <c r="R1009" s="146"/>
      <c r="S1009" s="157"/>
      <c r="T1009" s="144" t="s">
        <v>29</v>
      </c>
      <c r="U1009" s="150" t="s">
        <v>2479</v>
      </c>
      <c r="V1009" s="146">
        <v>2672</v>
      </c>
      <c r="W1009" s="148" t="s">
        <v>4227</v>
      </c>
      <c r="X1009" s="149">
        <v>45689</v>
      </c>
      <c r="Y1009" s="165" t="s">
        <v>2474</v>
      </c>
    </row>
    <row r="1010" spans="1:25">
      <c r="A1010" s="163" t="s">
        <v>565</v>
      </c>
      <c r="B1010" s="144" t="s">
        <v>2463</v>
      </c>
      <c r="C1010" s="164" t="s">
        <v>4229</v>
      </c>
      <c r="D1010" s="144" t="s">
        <v>4230</v>
      </c>
      <c r="E1010" s="150" t="s">
        <v>2485</v>
      </c>
      <c r="F1010" s="144" t="s">
        <v>2486</v>
      </c>
      <c r="G1010" s="166"/>
      <c r="H1010" s="151">
        <v>1</v>
      </c>
      <c r="I1010" s="160">
        <v>7.2</v>
      </c>
      <c r="J1010" s="159">
        <v>7.2</v>
      </c>
      <c r="K1010" s="161">
        <v>7.2</v>
      </c>
      <c r="L1010" s="159">
        <v>7.2</v>
      </c>
      <c r="M1010" s="160">
        <v>7.2</v>
      </c>
      <c r="N1010" s="145"/>
      <c r="O1010" s="156" t="s">
        <v>135</v>
      </c>
      <c r="P1010" s="144" t="s">
        <v>2478</v>
      </c>
      <c r="Q1010" s="147"/>
      <c r="R1010" s="146"/>
      <c r="S1010" s="157"/>
      <c r="T1010" s="144" t="s">
        <v>29</v>
      </c>
      <c r="U1010" s="150" t="s">
        <v>17</v>
      </c>
      <c r="V1010" s="146">
        <v>2390</v>
      </c>
      <c r="W1010" s="148" t="s">
        <v>4231</v>
      </c>
      <c r="X1010" s="149">
        <v>45778</v>
      </c>
      <c r="Y1010" s="165"/>
    </row>
    <row r="1011" spans="1:25">
      <c r="A1011" s="163" t="s">
        <v>423</v>
      </c>
      <c r="B1011" s="144" t="s">
        <v>2463</v>
      </c>
      <c r="C1011" s="164" t="s">
        <v>4232</v>
      </c>
      <c r="D1011" s="144" t="s">
        <v>861</v>
      </c>
      <c r="E1011" s="150" t="s">
        <v>2466</v>
      </c>
      <c r="F1011" s="144" t="s">
        <v>2467</v>
      </c>
      <c r="G1011" s="166"/>
      <c r="H1011" s="151">
        <v>1</v>
      </c>
      <c r="I1011" s="160">
        <v>210</v>
      </c>
      <c r="J1011" s="159">
        <v>210</v>
      </c>
      <c r="K1011" s="161">
        <v>210</v>
      </c>
      <c r="L1011" s="159">
        <v>210</v>
      </c>
      <c r="M1011" s="160">
        <v>210</v>
      </c>
      <c r="N1011" s="145">
        <v>840</v>
      </c>
      <c r="O1011" s="156" t="s">
        <v>135</v>
      </c>
      <c r="P1011" s="144" t="s">
        <v>2468</v>
      </c>
      <c r="Q1011" s="147">
        <v>47270</v>
      </c>
      <c r="R1011" s="146"/>
      <c r="S1011" s="157"/>
      <c r="T1011" s="144" t="s">
        <v>29</v>
      </c>
      <c r="U1011" s="150" t="s">
        <v>20</v>
      </c>
      <c r="V1011" s="146">
        <v>2845</v>
      </c>
      <c r="W1011" s="148" t="s">
        <v>4233</v>
      </c>
      <c r="X1011" s="149"/>
      <c r="Y1011" s="165" t="s">
        <v>2612</v>
      </c>
    </row>
    <row r="1012" spans="1:25">
      <c r="A1012" s="163" t="s">
        <v>565</v>
      </c>
      <c r="B1012" s="144" t="s">
        <v>2463</v>
      </c>
      <c r="C1012" s="164" t="s">
        <v>4234</v>
      </c>
      <c r="D1012" s="144" t="s">
        <v>4235</v>
      </c>
      <c r="E1012" s="150" t="s">
        <v>2491</v>
      </c>
      <c r="F1012" s="144" t="s">
        <v>2477</v>
      </c>
      <c r="G1012" s="166"/>
      <c r="H1012" s="151">
        <v>41</v>
      </c>
      <c r="I1012" s="160">
        <v>3.5</v>
      </c>
      <c r="J1012" s="159">
        <v>4.4000000000000004</v>
      </c>
      <c r="K1012" s="161">
        <v>143.5</v>
      </c>
      <c r="L1012" s="159">
        <v>180.4</v>
      </c>
      <c r="M1012" s="160" t="s">
        <v>4236</v>
      </c>
      <c r="N1012" s="145"/>
      <c r="O1012" s="156" t="s">
        <v>28</v>
      </c>
      <c r="P1012" s="144" t="s">
        <v>2478</v>
      </c>
      <c r="Q1012" s="147">
        <v>46661</v>
      </c>
      <c r="R1012" s="146">
        <v>2057</v>
      </c>
      <c r="S1012" s="157"/>
      <c r="T1012" s="144" t="s">
        <v>28</v>
      </c>
      <c r="U1012" s="150" t="s">
        <v>2479</v>
      </c>
      <c r="V1012" s="146">
        <v>2389</v>
      </c>
      <c r="W1012" s="148" t="s">
        <v>4237</v>
      </c>
      <c r="X1012" s="149">
        <v>45901</v>
      </c>
      <c r="Y1012" s="165" t="s">
        <v>2589</v>
      </c>
    </row>
    <row r="1013" spans="1:25">
      <c r="A1013" s="163" t="s">
        <v>565</v>
      </c>
      <c r="B1013" s="144" t="s">
        <v>2463</v>
      </c>
      <c r="C1013" s="164" t="s">
        <v>4234</v>
      </c>
      <c r="D1013" s="144" t="s">
        <v>4235</v>
      </c>
      <c r="E1013" s="150" t="s">
        <v>2491</v>
      </c>
      <c r="F1013" s="144" t="s">
        <v>2477</v>
      </c>
      <c r="G1013" s="166"/>
      <c r="H1013" s="151">
        <v>41</v>
      </c>
      <c r="I1013" s="160">
        <v>3.78</v>
      </c>
      <c r="J1013" s="159">
        <v>4.4000000000000004</v>
      </c>
      <c r="K1013" s="161">
        <v>154.97999999999999</v>
      </c>
      <c r="L1013" s="159">
        <v>180.4</v>
      </c>
      <c r="M1013" s="160" t="s">
        <v>4238</v>
      </c>
      <c r="N1013" s="145"/>
      <c r="O1013" s="156" t="s">
        <v>28</v>
      </c>
      <c r="P1013" s="144" t="s">
        <v>2478</v>
      </c>
      <c r="Q1013" s="147">
        <v>46661</v>
      </c>
      <c r="R1013" s="146">
        <v>2057</v>
      </c>
      <c r="S1013" s="157"/>
      <c r="T1013" s="144" t="s">
        <v>28</v>
      </c>
      <c r="U1013" s="150" t="s">
        <v>2479</v>
      </c>
      <c r="V1013" s="146">
        <v>2389</v>
      </c>
      <c r="W1013" s="148" t="s">
        <v>4237</v>
      </c>
      <c r="X1013" s="149">
        <v>45901</v>
      </c>
      <c r="Y1013" s="165" t="s">
        <v>2589</v>
      </c>
    </row>
    <row r="1014" spans="1:25">
      <c r="A1014" s="163" t="s">
        <v>7</v>
      </c>
      <c r="B1014" s="144" t="s">
        <v>2463</v>
      </c>
      <c r="C1014" s="164" t="s">
        <v>4239</v>
      </c>
      <c r="D1014" s="144" t="s">
        <v>450</v>
      </c>
      <c r="E1014" s="150" t="s">
        <v>2485</v>
      </c>
      <c r="F1014" s="144" t="s">
        <v>2486</v>
      </c>
      <c r="G1014" s="166"/>
      <c r="H1014" s="151">
        <v>1</v>
      </c>
      <c r="I1014" s="160"/>
      <c r="J1014" s="159">
        <v>8</v>
      </c>
      <c r="K1014" s="161"/>
      <c r="L1014" s="159">
        <v>8</v>
      </c>
      <c r="M1014" s="160">
        <v>8</v>
      </c>
      <c r="N1014" s="145"/>
      <c r="O1014" s="156" t="s">
        <v>135</v>
      </c>
      <c r="P1014" s="144" t="s">
        <v>2478</v>
      </c>
      <c r="Q1014" s="147"/>
      <c r="R1014" s="146"/>
      <c r="S1014" s="157"/>
      <c r="T1014" s="144" t="s">
        <v>29</v>
      </c>
      <c r="U1014" s="150" t="s">
        <v>17</v>
      </c>
      <c r="V1014" s="146">
        <v>2748</v>
      </c>
      <c r="W1014" s="148"/>
      <c r="X1014" s="149">
        <v>45778</v>
      </c>
      <c r="Y1014" s="165" t="s">
        <v>3156</v>
      </c>
    </row>
    <row r="1015" spans="1:25">
      <c r="A1015" s="163" t="s">
        <v>7</v>
      </c>
      <c r="B1015" s="144" t="s">
        <v>2463</v>
      </c>
      <c r="C1015" s="164" t="s">
        <v>4240</v>
      </c>
      <c r="D1015" s="144" t="s">
        <v>4241</v>
      </c>
      <c r="E1015" s="150" t="s">
        <v>2476</v>
      </c>
      <c r="F1015" s="144" t="s">
        <v>2477</v>
      </c>
      <c r="G1015" s="166"/>
      <c r="H1015" s="151">
        <v>1</v>
      </c>
      <c r="I1015" s="160">
        <v>210</v>
      </c>
      <c r="J1015" s="159">
        <v>210</v>
      </c>
      <c r="K1015" s="161">
        <v>210</v>
      </c>
      <c r="L1015" s="159">
        <v>210</v>
      </c>
      <c r="M1015" s="160">
        <v>210</v>
      </c>
      <c r="N1015" s="145"/>
      <c r="O1015" s="156" t="s">
        <v>135</v>
      </c>
      <c r="P1015" s="144" t="s">
        <v>2478</v>
      </c>
      <c r="Q1015" s="147"/>
      <c r="R1015" s="146"/>
      <c r="S1015" s="157"/>
      <c r="T1015" s="144" t="s">
        <v>29</v>
      </c>
      <c r="U1015" s="150" t="s">
        <v>2479</v>
      </c>
      <c r="V1015" s="146">
        <v>2369</v>
      </c>
      <c r="W1015" s="148" t="s">
        <v>4242</v>
      </c>
      <c r="X1015" s="149">
        <v>45901</v>
      </c>
      <c r="Y1015" s="165" t="s">
        <v>2897</v>
      </c>
    </row>
    <row r="1016" spans="1:25">
      <c r="A1016" s="163" t="s">
        <v>7</v>
      </c>
      <c r="B1016" s="144" t="s">
        <v>2463</v>
      </c>
      <c r="C1016" s="164" t="s">
        <v>4243</v>
      </c>
      <c r="D1016" s="144" t="s">
        <v>3275</v>
      </c>
      <c r="E1016" s="150" t="s">
        <v>2630</v>
      </c>
      <c r="F1016" s="144" t="s">
        <v>2486</v>
      </c>
      <c r="G1016" s="166"/>
      <c r="H1016" s="151">
        <v>1</v>
      </c>
      <c r="I1016" s="160"/>
      <c r="J1016" s="159">
        <v>2000</v>
      </c>
      <c r="K1016" s="161"/>
      <c r="L1016" s="159">
        <v>2000</v>
      </c>
      <c r="M1016" s="160">
        <v>2000</v>
      </c>
      <c r="N1016" s="145"/>
      <c r="O1016" s="156" t="s">
        <v>135</v>
      </c>
      <c r="P1016" s="144" t="s">
        <v>2478</v>
      </c>
      <c r="Q1016" s="147">
        <v>47849</v>
      </c>
      <c r="R1016" s="146"/>
      <c r="S1016" s="157"/>
      <c r="T1016" s="144" t="s">
        <v>29</v>
      </c>
      <c r="U1016" s="150" t="s">
        <v>17</v>
      </c>
      <c r="V1016" s="146">
        <v>2023</v>
      </c>
      <c r="W1016" s="148"/>
      <c r="X1016" s="149">
        <v>45901</v>
      </c>
      <c r="Y1016" s="165" t="s">
        <v>3276</v>
      </c>
    </row>
    <row r="1017" spans="1:25">
      <c r="A1017" s="163" t="s">
        <v>423</v>
      </c>
      <c r="B1017" s="144" t="s">
        <v>2463</v>
      </c>
      <c r="C1017" s="164" t="s">
        <v>4244</v>
      </c>
      <c r="D1017" s="144" t="s">
        <v>540</v>
      </c>
      <c r="E1017" s="150" t="s">
        <v>2476</v>
      </c>
      <c r="F1017" s="144" t="s">
        <v>2477</v>
      </c>
      <c r="G1017" s="166"/>
      <c r="H1017" s="151">
        <v>1</v>
      </c>
      <c r="I1017" s="160">
        <v>750</v>
      </c>
      <c r="J1017" s="159">
        <v>750</v>
      </c>
      <c r="K1017" s="161">
        <v>750</v>
      </c>
      <c r="L1017" s="159">
        <v>750</v>
      </c>
      <c r="M1017" s="160">
        <v>750</v>
      </c>
      <c r="N1017" s="145"/>
      <c r="O1017" s="156" t="s">
        <v>135</v>
      </c>
      <c r="P1017" s="144" t="s">
        <v>2478</v>
      </c>
      <c r="Q1017" s="147"/>
      <c r="R1017" s="146"/>
      <c r="S1017" s="157"/>
      <c r="T1017" s="144" t="s">
        <v>29</v>
      </c>
      <c r="U1017" s="150" t="s">
        <v>2479</v>
      </c>
      <c r="V1017" s="146">
        <v>2843</v>
      </c>
      <c r="W1017" s="148" t="s">
        <v>4245</v>
      </c>
      <c r="X1017" s="149">
        <v>45778</v>
      </c>
      <c r="Y1017" s="165"/>
    </row>
    <row r="1018" spans="1:25">
      <c r="A1018" s="163" t="s">
        <v>423</v>
      </c>
      <c r="B1018" s="144" t="s">
        <v>2463</v>
      </c>
      <c r="C1018" s="164" t="s">
        <v>4246</v>
      </c>
      <c r="D1018" s="144" t="s">
        <v>1698</v>
      </c>
      <c r="E1018" s="150" t="s">
        <v>2491</v>
      </c>
      <c r="F1018" s="144" t="s">
        <v>2477</v>
      </c>
      <c r="G1018" s="166"/>
      <c r="H1018" s="151">
        <v>1</v>
      </c>
      <c r="I1018" s="160">
        <v>250</v>
      </c>
      <c r="J1018" s="159">
        <v>250</v>
      </c>
      <c r="K1018" s="161">
        <v>250</v>
      </c>
      <c r="L1018" s="159">
        <v>250</v>
      </c>
      <c r="M1018" s="160">
        <v>250</v>
      </c>
      <c r="N1018" s="145"/>
      <c r="O1018" s="156" t="s">
        <v>135</v>
      </c>
      <c r="P1018" s="144" t="s">
        <v>2478</v>
      </c>
      <c r="Q1018" s="147"/>
      <c r="R1018" s="146"/>
      <c r="S1018" s="157"/>
      <c r="T1018" s="144" t="s">
        <v>29</v>
      </c>
      <c r="U1018" s="150" t="s">
        <v>2479</v>
      </c>
      <c r="V1018" s="146">
        <v>1411</v>
      </c>
      <c r="W1018" s="148"/>
      <c r="X1018" s="149">
        <v>45901</v>
      </c>
      <c r="Y1018" s="165" t="s">
        <v>3772</v>
      </c>
    </row>
    <row r="1019" spans="1:25">
      <c r="A1019" s="163" t="s">
        <v>423</v>
      </c>
      <c r="B1019" s="144" t="s">
        <v>2463</v>
      </c>
      <c r="C1019" s="164" t="s">
        <v>4247</v>
      </c>
      <c r="D1019" s="144" t="s">
        <v>1698</v>
      </c>
      <c r="E1019" s="150" t="s">
        <v>2466</v>
      </c>
      <c r="F1019" s="144" t="s">
        <v>2467</v>
      </c>
      <c r="G1019" s="166"/>
      <c r="H1019" s="151">
        <v>1</v>
      </c>
      <c r="I1019" s="160"/>
      <c r="J1019" s="159">
        <v>80</v>
      </c>
      <c r="K1019" s="161"/>
      <c r="L1019" s="159">
        <v>80</v>
      </c>
      <c r="M1019" s="160">
        <v>80</v>
      </c>
      <c r="N1019" s="145">
        <v>0</v>
      </c>
      <c r="O1019" s="156" t="s">
        <v>135</v>
      </c>
      <c r="P1019" s="144" t="s">
        <v>2468</v>
      </c>
      <c r="Q1019" s="147"/>
      <c r="R1019" s="146"/>
      <c r="S1019" s="157"/>
      <c r="T1019" s="144" t="s">
        <v>29</v>
      </c>
      <c r="U1019" s="150" t="s">
        <v>20</v>
      </c>
      <c r="V1019" s="146">
        <v>2059</v>
      </c>
      <c r="W1019" s="148"/>
      <c r="X1019" s="149">
        <v>45901</v>
      </c>
      <c r="Y1019" s="165" t="s">
        <v>2704</v>
      </c>
    </row>
    <row r="1020" spans="1:25">
      <c r="A1020" s="163" t="s">
        <v>7</v>
      </c>
      <c r="B1020" s="144" t="s">
        <v>2463</v>
      </c>
      <c r="C1020" s="164" t="s">
        <v>4248</v>
      </c>
      <c r="D1020" s="144" t="s">
        <v>1215</v>
      </c>
      <c r="E1020" s="150" t="s">
        <v>2501</v>
      </c>
      <c r="F1020" s="144" t="s">
        <v>2814</v>
      </c>
      <c r="G1020" s="166"/>
      <c r="H1020" s="151">
        <v>1</v>
      </c>
      <c r="I1020" s="160">
        <v>500</v>
      </c>
      <c r="J1020" s="159">
        <v>500</v>
      </c>
      <c r="K1020" s="161">
        <v>500</v>
      </c>
      <c r="L1020" s="159">
        <v>500</v>
      </c>
      <c r="M1020" s="160">
        <v>500</v>
      </c>
      <c r="N1020" s="145"/>
      <c r="O1020" s="156" t="s">
        <v>135</v>
      </c>
      <c r="P1020" s="144" t="s">
        <v>2468</v>
      </c>
      <c r="Q1020" s="147"/>
      <c r="R1020" s="146"/>
      <c r="S1020" s="157"/>
      <c r="T1020" s="144" t="s">
        <v>29</v>
      </c>
      <c r="U1020" s="150" t="s">
        <v>15</v>
      </c>
      <c r="V1020" s="146">
        <v>1617</v>
      </c>
      <c r="W1020" s="148"/>
      <c r="X1020" s="149">
        <v>45689</v>
      </c>
      <c r="Y1020" s="165" t="s">
        <v>2558</v>
      </c>
    </row>
    <row r="1021" spans="1:25">
      <c r="A1021" s="163" t="s">
        <v>423</v>
      </c>
      <c r="B1021" s="144" t="s">
        <v>163</v>
      </c>
      <c r="C1021" s="164" t="s">
        <v>1915</v>
      </c>
      <c r="D1021" s="144" t="s">
        <v>1916</v>
      </c>
      <c r="E1021" s="150" t="s">
        <v>2491</v>
      </c>
      <c r="F1021" s="144" t="s">
        <v>2477</v>
      </c>
      <c r="G1021" s="166" t="s">
        <v>4249</v>
      </c>
      <c r="H1021" s="151">
        <v>56</v>
      </c>
      <c r="I1021" s="160">
        <v>0.02</v>
      </c>
      <c r="J1021" s="159">
        <v>1.81</v>
      </c>
      <c r="K1021" s="161">
        <v>0.95</v>
      </c>
      <c r="L1021" s="159">
        <v>101.08</v>
      </c>
      <c r="M1021" s="160">
        <v>101.08</v>
      </c>
      <c r="N1021" s="145"/>
      <c r="O1021" s="156" t="s">
        <v>166</v>
      </c>
      <c r="P1021" s="144" t="s">
        <v>2478</v>
      </c>
      <c r="Q1021" s="147">
        <v>43678</v>
      </c>
      <c r="R1021" s="146">
        <v>2044</v>
      </c>
      <c r="S1021" s="157"/>
      <c r="T1021" s="144" t="s">
        <v>25</v>
      </c>
      <c r="U1021" s="150" t="s">
        <v>2479</v>
      </c>
      <c r="V1021" s="146">
        <v>1461</v>
      </c>
      <c r="W1021" s="148"/>
      <c r="X1021" s="149">
        <v>45689</v>
      </c>
      <c r="Y1021" s="165" t="s">
        <v>3069</v>
      </c>
    </row>
    <row r="1022" spans="1:25">
      <c r="A1022" s="163" t="s">
        <v>423</v>
      </c>
      <c r="B1022" s="144" t="s">
        <v>2463</v>
      </c>
      <c r="C1022" s="164" t="s">
        <v>4250</v>
      </c>
      <c r="D1022" s="144" t="s">
        <v>742</v>
      </c>
      <c r="E1022" s="150" t="s">
        <v>2485</v>
      </c>
      <c r="F1022" s="144" t="s">
        <v>2486</v>
      </c>
      <c r="G1022" s="166"/>
      <c r="H1022" s="151">
        <v>53</v>
      </c>
      <c r="I1022" s="160"/>
      <c r="J1022" s="159">
        <v>5.7</v>
      </c>
      <c r="K1022" s="161"/>
      <c r="L1022" s="159">
        <v>302.10000000000002</v>
      </c>
      <c r="M1022" s="160">
        <v>302.10000000000002</v>
      </c>
      <c r="N1022" s="145"/>
      <c r="O1022" s="156" t="s">
        <v>135</v>
      </c>
      <c r="P1022" s="144" t="s">
        <v>2478</v>
      </c>
      <c r="Q1022" s="147"/>
      <c r="R1022" s="146"/>
      <c r="S1022" s="157"/>
      <c r="T1022" s="144" t="s">
        <v>29</v>
      </c>
      <c r="U1022" s="150" t="s">
        <v>17</v>
      </c>
      <c r="V1022" s="146">
        <v>2508</v>
      </c>
      <c r="W1022" s="148"/>
      <c r="X1022" s="149">
        <v>45689</v>
      </c>
      <c r="Y1022" s="165" t="s">
        <v>2520</v>
      </c>
    </row>
    <row r="1023" spans="1:25">
      <c r="A1023" s="163" t="s">
        <v>7</v>
      </c>
      <c r="B1023" s="144" t="s">
        <v>163</v>
      </c>
      <c r="C1023" s="164" t="s">
        <v>2264</v>
      </c>
      <c r="D1023" s="144" t="s">
        <v>1388</v>
      </c>
      <c r="E1023" s="150" t="s">
        <v>2476</v>
      </c>
      <c r="F1023" s="144" t="s">
        <v>2477</v>
      </c>
      <c r="G1023" s="166" t="s">
        <v>4251</v>
      </c>
      <c r="H1023" s="151">
        <v>77</v>
      </c>
      <c r="I1023" s="160"/>
      <c r="J1023" s="159">
        <v>1.33</v>
      </c>
      <c r="K1023" s="161"/>
      <c r="L1023" s="159">
        <v>102.03</v>
      </c>
      <c r="M1023" s="160">
        <v>102.03</v>
      </c>
      <c r="N1023" s="145"/>
      <c r="O1023" s="156" t="s">
        <v>166</v>
      </c>
      <c r="P1023" s="144" t="s">
        <v>2478</v>
      </c>
      <c r="Q1023" s="147"/>
      <c r="R1023" s="146">
        <v>2042</v>
      </c>
      <c r="S1023" s="157"/>
      <c r="T1023" s="144" t="s">
        <v>25</v>
      </c>
      <c r="U1023" s="150" t="s">
        <v>2479</v>
      </c>
      <c r="V1023" s="146">
        <v>1323</v>
      </c>
      <c r="W1023" s="148"/>
      <c r="X1023" s="149">
        <v>45689</v>
      </c>
      <c r="Y1023" s="165" t="s">
        <v>2609</v>
      </c>
    </row>
    <row r="1024" spans="1:25">
      <c r="A1024" s="163" t="s">
        <v>309</v>
      </c>
      <c r="B1024" s="144" t="s">
        <v>163</v>
      </c>
      <c r="C1024" s="164" t="s">
        <v>1437</v>
      </c>
      <c r="D1024" s="144" t="s">
        <v>1438</v>
      </c>
      <c r="E1024" s="150" t="s">
        <v>2491</v>
      </c>
      <c r="F1024" s="144" t="s">
        <v>2477</v>
      </c>
      <c r="G1024" s="166" t="s">
        <v>1439</v>
      </c>
      <c r="H1024" s="151">
        <v>26</v>
      </c>
      <c r="I1024" s="160">
        <v>0</v>
      </c>
      <c r="J1024" s="159">
        <v>2.14</v>
      </c>
      <c r="K1024" s="161">
        <v>0</v>
      </c>
      <c r="L1024" s="159">
        <v>55.64</v>
      </c>
      <c r="M1024" s="160">
        <v>55.64</v>
      </c>
      <c r="N1024" s="145"/>
      <c r="O1024" s="156" t="s">
        <v>166</v>
      </c>
      <c r="P1024" s="144" t="s">
        <v>2478</v>
      </c>
      <c r="Q1024" s="147">
        <v>44652</v>
      </c>
      <c r="R1024" s="146">
        <v>2049</v>
      </c>
      <c r="S1024" s="157"/>
      <c r="T1024" s="144" t="s">
        <v>25</v>
      </c>
      <c r="U1024" s="150" t="s">
        <v>2479</v>
      </c>
      <c r="V1024" s="146">
        <v>1591</v>
      </c>
      <c r="W1024" s="148"/>
      <c r="X1024" s="149">
        <v>45689</v>
      </c>
      <c r="Y1024" s="165" t="s">
        <v>2609</v>
      </c>
    </row>
    <row r="1025" spans="1:25">
      <c r="A1025" s="163" t="s">
        <v>309</v>
      </c>
      <c r="B1025" s="144" t="s">
        <v>163</v>
      </c>
      <c r="C1025" s="164" t="s">
        <v>1754</v>
      </c>
      <c r="D1025" s="144" t="s">
        <v>1755</v>
      </c>
      <c r="E1025" s="150" t="s">
        <v>2555</v>
      </c>
      <c r="F1025" s="144" t="s">
        <v>2556</v>
      </c>
      <c r="G1025" s="166" t="s">
        <v>4252</v>
      </c>
      <c r="H1025" s="151">
        <v>1</v>
      </c>
      <c r="I1025" s="160"/>
      <c r="J1025" s="159">
        <v>173</v>
      </c>
      <c r="K1025" s="161"/>
      <c r="L1025" s="159">
        <v>173</v>
      </c>
      <c r="M1025" s="160">
        <v>173</v>
      </c>
      <c r="N1025" s="145"/>
      <c r="O1025" s="156" t="s">
        <v>166</v>
      </c>
      <c r="P1025" s="144" t="s">
        <v>2468</v>
      </c>
      <c r="Q1025" s="147"/>
      <c r="R1025" s="146">
        <v>2050</v>
      </c>
      <c r="S1025" s="157"/>
      <c r="T1025" s="144" t="s">
        <v>25</v>
      </c>
      <c r="U1025" s="150" t="s">
        <v>14</v>
      </c>
      <c r="V1025" s="146">
        <v>1433</v>
      </c>
      <c r="W1025" s="148"/>
      <c r="X1025" s="149">
        <v>45689</v>
      </c>
      <c r="Y1025" s="165" t="s">
        <v>2520</v>
      </c>
    </row>
    <row r="1026" spans="1:25">
      <c r="A1026" s="163" t="s">
        <v>309</v>
      </c>
      <c r="B1026" s="144" t="s">
        <v>163</v>
      </c>
      <c r="C1026" s="164" t="s">
        <v>1754</v>
      </c>
      <c r="D1026" s="144" t="s">
        <v>1755</v>
      </c>
      <c r="E1026" s="150" t="s">
        <v>2555</v>
      </c>
      <c r="F1026" s="144" t="s">
        <v>2556</v>
      </c>
      <c r="G1026" s="166" t="s">
        <v>4253</v>
      </c>
      <c r="H1026" s="151">
        <v>1</v>
      </c>
      <c r="I1026" s="160"/>
      <c r="J1026" s="159">
        <v>173</v>
      </c>
      <c r="K1026" s="161"/>
      <c r="L1026" s="159">
        <v>173</v>
      </c>
      <c r="M1026" s="160">
        <v>173</v>
      </c>
      <c r="N1026" s="145"/>
      <c r="O1026" s="156" t="s">
        <v>166</v>
      </c>
      <c r="P1026" s="144" t="s">
        <v>2468</v>
      </c>
      <c r="Q1026" s="147"/>
      <c r="R1026" s="146">
        <v>2050</v>
      </c>
      <c r="S1026" s="157"/>
      <c r="T1026" s="144" t="s">
        <v>25</v>
      </c>
      <c r="U1026" s="150" t="s">
        <v>14</v>
      </c>
      <c r="V1026" s="146">
        <v>1433</v>
      </c>
      <c r="W1026" s="148"/>
      <c r="X1026" s="149">
        <v>45689</v>
      </c>
      <c r="Y1026" s="165" t="s">
        <v>2520</v>
      </c>
    </row>
    <row r="1027" spans="1:25">
      <c r="A1027" s="163" t="s">
        <v>309</v>
      </c>
      <c r="B1027" s="144" t="s">
        <v>163</v>
      </c>
      <c r="C1027" s="164" t="s">
        <v>4254</v>
      </c>
      <c r="D1027" s="144" t="s">
        <v>4255</v>
      </c>
      <c r="E1027" s="150" t="s">
        <v>2476</v>
      </c>
      <c r="F1027" s="144" t="s">
        <v>2477</v>
      </c>
      <c r="G1027" s="166" t="s">
        <v>4256</v>
      </c>
      <c r="H1027" s="151">
        <v>1</v>
      </c>
      <c r="I1027" s="160">
        <v>25</v>
      </c>
      <c r="J1027" s="159">
        <v>25</v>
      </c>
      <c r="K1027" s="161">
        <v>25</v>
      </c>
      <c r="L1027" s="159">
        <v>25</v>
      </c>
      <c r="M1027" s="160">
        <v>25</v>
      </c>
      <c r="N1027" s="145"/>
      <c r="O1027" s="156" t="s">
        <v>166</v>
      </c>
      <c r="P1027" s="144" t="s">
        <v>2478</v>
      </c>
      <c r="Q1027" s="147">
        <v>43678</v>
      </c>
      <c r="R1027" s="146">
        <v>2043</v>
      </c>
      <c r="S1027" s="157"/>
      <c r="T1027" s="144" t="s">
        <v>25</v>
      </c>
      <c r="U1027" s="150" t="s">
        <v>2479</v>
      </c>
      <c r="V1027" s="146">
        <v>1386</v>
      </c>
      <c r="W1027" s="148"/>
      <c r="X1027" s="149">
        <v>45689</v>
      </c>
      <c r="Y1027" s="165" t="s">
        <v>2609</v>
      </c>
    </row>
    <row r="1028" spans="1:25">
      <c r="A1028" s="163" t="s">
        <v>423</v>
      </c>
      <c r="B1028" s="144" t="s">
        <v>163</v>
      </c>
      <c r="C1028" s="164" t="s">
        <v>4257</v>
      </c>
      <c r="D1028" s="144" t="s">
        <v>4258</v>
      </c>
      <c r="E1028" s="150" t="s">
        <v>2485</v>
      </c>
      <c r="F1028" s="144" t="s">
        <v>2486</v>
      </c>
      <c r="G1028" s="166" t="s">
        <v>4259</v>
      </c>
      <c r="H1028" s="151">
        <v>32</v>
      </c>
      <c r="I1028" s="160"/>
      <c r="J1028" s="159">
        <v>2.1</v>
      </c>
      <c r="K1028" s="161"/>
      <c r="L1028" s="159">
        <v>67.2</v>
      </c>
      <c r="M1028" s="160">
        <v>67.2</v>
      </c>
      <c r="N1028" s="145"/>
      <c r="O1028" s="156" t="s">
        <v>166</v>
      </c>
      <c r="P1028" s="144" t="s">
        <v>2478</v>
      </c>
      <c r="Q1028" s="147"/>
      <c r="R1028" s="146">
        <v>2037</v>
      </c>
      <c r="S1028" s="157"/>
      <c r="T1028" s="144" t="s">
        <v>25</v>
      </c>
      <c r="U1028" s="150" t="s">
        <v>17</v>
      </c>
      <c r="V1028" s="146">
        <v>1152</v>
      </c>
      <c r="W1028" s="148"/>
      <c r="X1028" s="149">
        <v>45689</v>
      </c>
      <c r="Y1028" s="165" t="s">
        <v>2558</v>
      </c>
    </row>
    <row r="1029" spans="1:25">
      <c r="A1029" s="163" t="s">
        <v>309</v>
      </c>
      <c r="B1029" s="144" t="s">
        <v>163</v>
      </c>
      <c r="C1029" s="164" t="s">
        <v>349</v>
      </c>
      <c r="D1029" s="144" t="s">
        <v>350</v>
      </c>
      <c r="E1029" s="150" t="s">
        <v>2506</v>
      </c>
      <c r="F1029" s="144" t="s">
        <v>2507</v>
      </c>
      <c r="G1029" s="166" t="s">
        <v>351</v>
      </c>
      <c r="H1029" s="151">
        <v>2</v>
      </c>
      <c r="I1029" s="160"/>
      <c r="J1029" s="159">
        <v>3.04</v>
      </c>
      <c r="K1029" s="161"/>
      <c r="L1029" s="159">
        <v>6.09</v>
      </c>
      <c r="M1029" s="160">
        <v>6.09</v>
      </c>
      <c r="N1029" s="145"/>
      <c r="O1029" s="156" t="s">
        <v>1650</v>
      </c>
      <c r="P1029" s="144" t="s">
        <v>2480</v>
      </c>
      <c r="Q1029" s="147"/>
      <c r="R1029" s="146">
        <v>2025</v>
      </c>
      <c r="S1029" s="157"/>
      <c r="T1029" s="144" t="s">
        <v>30</v>
      </c>
      <c r="U1029" s="150" t="s">
        <v>15</v>
      </c>
      <c r="V1029" s="146">
        <v>1359</v>
      </c>
      <c r="W1029" s="148"/>
      <c r="X1029" s="149">
        <v>45566</v>
      </c>
      <c r="Y1029" s="165" t="s">
        <v>2836</v>
      </c>
    </row>
    <row r="1030" spans="1:25">
      <c r="A1030" s="163" t="s">
        <v>309</v>
      </c>
      <c r="B1030" s="144" t="s">
        <v>163</v>
      </c>
      <c r="C1030" s="164" t="s">
        <v>349</v>
      </c>
      <c r="D1030" s="144" t="s">
        <v>350</v>
      </c>
      <c r="E1030" s="150" t="s">
        <v>2506</v>
      </c>
      <c r="F1030" s="144" t="s">
        <v>2507</v>
      </c>
      <c r="G1030" s="166" t="s">
        <v>351</v>
      </c>
      <c r="H1030" s="151">
        <v>14</v>
      </c>
      <c r="I1030" s="160"/>
      <c r="J1030" s="159">
        <v>1.07</v>
      </c>
      <c r="K1030" s="161"/>
      <c r="L1030" s="159">
        <v>14.91</v>
      </c>
      <c r="M1030" s="160">
        <v>14.91</v>
      </c>
      <c r="N1030" s="145"/>
      <c r="O1030" s="156" t="s">
        <v>1650</v>
      </c>
      <c r="P1030" s="144" t="s">
        <v>2480</v>
      </c>
      <c r="Q1030" s="147"/>
      <c r="R1030" s="146">
        <v>2025</v>
      </c>
      <c r="S1030" s="157"/>
      <c r="T1030" s="144" t="s">
        <v>30</v>
      </c>
      <c r="U1030" s="150" t="s">
        <v>15</v>
      </c>
      <c r="V1030" s="146">
        <v>1359</v>
      </c>
      <c r="W1030" s="148"/>
      <c r="X1030" s="149">
        <v>45566</v>
      </c>
      <c r="Y1030" s="165" t="s">
        <v>2836</v>
      </c>
    </row>
    <row r="1031" spans="1:25">
      <c r="A1031" s="163" t="s">
        <v>309</v>
      </c>
      <c r="B1031" s="144" t="s">
        <v>163</v>
      </c>
      <c r="C1031" s="164" t="s">
        <v>353</v>
      </c>
      <c r="D1031" s="144" t="s">
        <v>354</v>
      </c>
      <c r="E1031" s="150" t="s">
        <v>2506</v>
      </c>
      <c r="F1031" s="144" t="s">
        <v>2507</v>
      </c>
      <c r="G1031" s="166" t="s">
        <v>355</v>
      </c>
      <c r="H1031" s="151">
        <v>5</v>
      </c>
      <c r="I1031" s="160"/>
      <c r="J1031" s="159">
        <v>3</v>
      </c>
      <c r="K1031" s="161"/>
      <c r="L1031" s="159">
        <v>15</v>
      </c>
      <c r="M1031" s="160">
        <v>15</v>
      </c>
      <c r="N1031" s="145"/>
      <c r="O1031" s="156" t="s">
        <v>1650</v>
      </c>
      <c r="P1031" s="144" t="s">
        <v>2480</v>
      </c>
      <c r="Q1031" s="147"/>
      <c r="R1031" s="146">
        <v>2025</v>
      </c>
      <c r="S1031" s="157"/>
      <c r="T1031" s="144" t="s">
        <v>30</v>
      </c>
      <c r="U1031" s="150" t="s">
        <v>15</v>
      </c>
      <c r="V1031" s="146">
        <v>1379</v>
      </c>
      <c r="W1031" s="148"/>
      <c r="X1031" s="149">
        <v>45566</v>
      </c>
      <c r="Y1031" s="165" t="s">
        <v>2836</v>
      </c>
    </row>
    <row r="1032" spans="1:25">
      <c r="A1032" s="163" t="s">
        <v>7</v>
      </c>
      <c r="B1032" s="144" t="s">
        <v>2463</v>
      </c>
      <c r="C1032" s="164" t="s">
        <v>210</v>
      </c>
      <c r="D1032" s="144" t="s">
        <v>211</v>
      </c>
      <c r="E1032" s="150" t="s">
        <v>2466</v>
      </c>
      <c r="F1032" s="144" t="s">
        <v>2467</v>
      </c>
      <c r="G1032" s="166"/>
      <c r="H1032" s="151">
        <v>448</v>
      </c>
      <c r="I1032" s="160">
        <v>0</v>
      </c>
      <c r="J1032" s="159">
        <v>0.93</v>
      </c>
      <c r="K1032" s="161">
        <v>0</v>
      </c>
      <c r="L1032" s="159">
        <v>414.85</v>
      </c>
      <c r="M1032" s="160">
        <v>414.85</v>
      </c>
      <c r="N1032" s="145">
        <v>1660</v>
      </c>
      <c r="O1032" s="156" t="s">
        <v>27</v>
      </c>
      <c r="P1032" s="144" t="s">
        <v>2468</v>
      </c>
      <c r="Q1032" s="147">
        <v>46174</v>
      </c>
      <c r="R1032" s="146">
        <v>2066</v>
      </c>
      <c r="S1032" s="157"/>
      <c r="T1032" s="144" t="s">
        <v>27</v>
      </c>
      <c r="U1032" s="150" t="s">
        <v>20</v>
      </c>
      <c r="V1032" s="146">
        <v>2015</v>
      </c>
      <c r="W1032" s="148" t="s">
        <v>4260</v>
      </c>
      <c r="X1032" s="149">
        <v>45901</v>
      </c>
      <c r="Y1032" s="165" t="s">
        <v>2578</v>
      </c>
    </row>
    <row r="1033" spans="1:25">
      <c r="A1033" s="163" t="s">
        <v>7</v>
      </c>
      <c r="B1033" s="144" t="s">
        <v>2463</v>
      </c>
      <c r="C1033" s="164" t="s">
        <v>4261</v>
      </c>
      <c r="D1033" s="144" t="s">
        <v>4262</v>
      </c>
      <c r="E1033" s="150" t="s">
        <v>2491</v>
      </c>
      <c r="F1033" s="144" t="s">
        <v>2477</v>
      </c>
      <c r="G1033" s="166"/>
      <c r="H1033" s="151">
        <v>1</v>
      </c>
      <c r="I1033" s="160">
        <v>80</v>
      </c>
      <c r="J1033" s="159">
        <v>80</v>
      </c>
      <c r="K1033" s="161">
        <v>80</v>
      </c>
      <c r="L1033" s="159">
        <v>80</v>
      </c>
      <c r="M1033" s="160">
        <v>80</v>
      </c>
      <c r="N1033" s="145"/>
      <c r="O1033" s="156" t="s">
        <v>135</v>
      </c>
      <c r="P1033" s="144" t="s">
        <v>2478</v>
      </c>
      <c r="Q1033" s="147"/>
      <c r="R1033" s="146"/>
      <c r="S1033" s="157"/>
      <c r="T1033" s="144" t="s">
        <v>29</v>
      </c>
      <c r="U1033" s="150" t="s">
        <v>2479</v>
      </c>
      <c r="V1033" s="146">
        <v>1540</v>
      </c>
      <c r="W1033" s="148" t="s">
        <v>4263</v>
      </c>
      <c r="X1033" s="149">
        <v>45689</v>
      </c>
      <c r="Y1033" s="165" t="s">
        <v>3037</v>
      </c>
    </row>
    <row r="1034" spans="1:25">
      <c r="A1034" s="163" t="s">
        <v>423</v>
      </c>
      <c r="B1034" s="144" t="s">
        <v>2463</v>
      </c>
      <c r="C1034" s="164" t="s">
        <v>4264</v>
      </c>
      <c r="D1034" s="144" t="s">
        <v>4265</v>
      </c>
      <c r="E1034" s="150" t="s">
        <v>2630</v>
      </c>
      <c r="F1034" s="144" t="s">
        <v>2486</v>
      </c>
      <c r="G1034" s="166"/>
      <c r="H1034" s="151">
        <v>192</v>
      </c>
      <c r="I1034" s="160"/>
      <c r="J1034" s="159">
        <v>14.69</v>
      </c>
      <c r="K1034" s="161"/>
      <c r="L1034" s="159">
        <v>2819.9</v>
      </c>
      <c r="M1034" s="160">
        <v>2819.9</v>
      </c>
      <c r="N1034" s="145"/>
      <c r="O1034" s="156" t="s">
        <v>135</v>
      </c>
      <c r="P1034" s="144" t="s">
        <v>2478</v>
      </c>
      <c r="Q1034" s="147"/>
      <c r="R1034" s="146"/>
      <c r="S1034" s="157"/>
      <c r="T1034" s="144" t="s">
        <v>29</v>
      </c>
      <c r="U1034" s="150" t="s">
        <v>17</v>
      </c>
      <c r="V1034" s="146">
        <v>2625</v>
      </c>
      <c r="W1034" s="148"/>
      <c r="X1034" s="149"/>
      <c r="Y1034" s="165" t="s">
        <v>4266</v>
      </c>
    </row>
    <row r="1035" spans="1:25">
      <c r="A1035" s="163" t="s">
        <v>423</v>
      </c>
      <c r="B1035" s="144" t="s">
        <v>2463</v>
      </c>
      <c r="C1035" s="164" t="s">
        <v>4267</v>
      </c>
      <c r="D1035" s="144" t="s">
        <v>4265</v>
      </c>
      <c r="E1035" s="150" t="s">
        <v>2630</v>
      </c>
      <c r="F1035" s="144" t="s">
        <v>2486</v>
      </c>
      <c r="G1035" s="166"/>
      <c r="H1035" s="151">
        <v>192</v>
      </c>
      <c r="I1035" s="160"/>
      <c r="J1035" s="159">
        <v>14.69</v>
      </c>
      <c r="K1035" s="161"/>
      <c r="L1035" s="159">
        <v>2819.9</v>
      </c>
      <c r="M1035" s="160">
        <v>2819.9</v>
      </c>
      <c r="N1035" s="145"/>
      <c r="O1035" s="156" t="s">
        <v>135</v>
      </c>
      <c r="P1035" s="144" t="s">
        <v>2478</v>
      </c>
      <c r="Q1035" s="147"/>
      <c r="R1035" s="146"/>
      <c r="S1035" s="157"/>
      <c r="T1035" s="144" t="s">
        <v>29</v>
      </c>
      <c r="U1035" s="150" t="s">
        <v>17</v>
      </c>
      <c r="V1035" s="146">
        <v>2629</v>
      </c>
      <c r="W1035" s="148"/>
      <c r="X1035" s="149"/>
      <c r="Y1035" s="165" t="s">
        <v>4266</v>
      </c>
    </row>
    <row r="1036" spans="1:25" ht="20.6">
      <c r="A1036" s="163" t="s">
        <v>380</v>
      </c>
      <c r="B1036" s="144" t="s">
        <v>163</v>
      </c>
      <c r="C1036" s="164" t="s">
        <v>752</v>
      </c>
      <c r="D1036" s="144" t="s">
        <v>753</v>
      </c>
      <c r="E1036" s="150" t="s">
        <v>3100</v>
      </c>
      <c r="F1036" s="144" t="s">
        <v>2556</v>
      </c>
      <c r="G1036" s="166" t="s">
        <v>754</v>
      </c>
      <c r="H1036" s="151">
        <v>1</v>
      </c>
      <c r="I1036" s="160"/>
      <c r="J1036" s="159">
        <v>62</v>
      </c>
      <c r="K1036" s="161"/>
      <c r="L1036" s="159">
        <v>62</v>
      </c>
      <c r="M1036" s="160">
        <v>62</v>
      </c>
      <c r="N1036" s="145"/>
      <c r="O1036" s="156" t="s">
        <v>3313</v>
      </c>
      <c r="P1036" s="144" t="s">
        <v>2468</v>
      </c>
      <c r="Q1036" s="147"/>
      <c r="R1036" s="146">
        <v>2027</v>
      </c>
      <c r="S1036" s="157">
        <v>46752</v>
      </c>
      <c r="T1036" s="144" t="s">
        <v>24</v>
      </c>
      <c r="U1036" s="150" t="s">
        <v>13</v>
      </c>
      <c r="V1036" s="146">
        <v>1154</v>
      </c>
      <c r="W1036" s="148"/>
      <c r="X1036" s="149">
        <v>45689</v>
      </c>
      <c r="Y1036" s="165" t="s">
        <v>2500</v>
      </c>
    </row>
    <row r="1037" spans="1:25" ht="20.6">
      <c r="A1037" s="163" t="s">
        <v>380</v>
      </c>
      <c r="B1037" s="144" t="s">
        <v>163</v>
      </c>
      <c r="C1037" s="164" t="s">
        <v>752</v>
      </c>
      <c r="D1037" s="144" t="s">
        <v>753</v>
      </c>
      <c r="E1037" s="150" t="s">
        <v>3100</v>
      </c>
      <c r="F1037" s="144" t="s">
        <v>2556</v>
      </c>
      <c r="G1037" s="166" t="s">
        <v>754</v>
      </c>
      <c r="H1037" s="151">
        <v>1</v>
      </c>
      <c r="I1037" s="160"/>
      <c r="J1037" s="159">
        <v>118</v>
      </c>
      <c r="K1037" s="161"/>
      <c r="L1037" s="159">
        <v>118</v>
      </c>
      <c r="M1037" s="160">
        <v>118</v>
      </c>
      <c r="N1037" s="145"/>
      <c r="O1037" s="156" t="s">
        <v>3313</v>
      </c>
      <c r="P1037" s="144" t="s">
        <v>2468</v>
      </c>
      <c r="Q1037" s="147"/>
      <c r="R1037" s="146">
        <v>2027</v>
      </c>
      <c r="S1037" s="157">
        <v>46752</v>
      </c>
      <c r="T1037" s="144" t="s">
        <v>24</v>
      </c>
      <c r="U1037" s="150" t="s">
        <v>13</v>
      </c>
      <c r="V1037" s="146">
        <v>1154</v>
      </c>
      <c r="W1037" s="148"/>
      <c r="X1037" s="149">
        <v>45689</v>
      </c>
      <c r="Y1037" s="165" t="s">
        <v>2500</v>
      </c>
    </row>
    <row r="1038" spans="1:25">
      <c r="A1038" s="163" t="s">
        <v>380</v>
      </c>
      <c r="B1038" s="144" t="s">
        <v>2463</v>
      </c>
      <c r="C1038" s="164" t="s">
        <v>4268</v>
      </c>
      <c r="D1038" s="144" t="s">
        <v>4269</v>
      </c>
      <c r="E1038" s="150" t="s">
        <v>2466</v>
      </c>
      <c r="F1038" s="144" t="s">
        <v>2467</v>
      </c>
      <c r="G1038" s="166"/>
      <c r="H1038" s="151">
        <v>1</v>
      </c>
      <c r="I1038" s="160">
        <v>120</v>
      </c>
      <c r="J1038" s="159">
        <v>300</v>
      </c>
      <c r="K1038" s="161">
        <v>120</v>
      </c>
      <c r="L1038" s="159">
        <v>300</v>
      </c>
      <c r="M1038" s="160" t="s">
        <v>4270</v>
      </c>
      <c r="N1038" s="145">
        <v>0</v>
      </c>
      <c r="O1038" s="156" t="s">
        <v>135</v>
      </c>
      <c r="P1038" s="144" t="s">
        <v>2468</v>
      </c>
      <c r="Q1038" s="147"/>
      <c r="R1038" s="146"/>
      <c r="S1038" s="157"/>
      <c r="T1038" s="144" t="s">
        <v>29</v>
      </c>
      <c r="U1038" s="150" t="s">
        <v>20</v>
      </c>
      <c r="V1038" s="146">
        <v>2651</v>
      </c>
      <c r="W1038" s="148" t="s">
        <v>4271</v>
      </c>
      <c r="X1038" s="149">
        <v>45901</v>
      </c>
      <c r="Y1038" s="165" t="s">
        <v>4272</v>
      </c>
    </row>
    <row r="1039" spans="1:25">
      <c r="A1039" s="163" t="s">
        <v>7</v>
      </c>
      <c r="B1039" s="144" t="s">
        <v>2463</v>
      </c>
      <c r="C1039" s="164" t="s">
        <v>4273</v>
      </c>
      <c r="D1039" s="144" t="s">
        <v>4273</v>
      </c>
      <c r="E1039" s="150" t="s">
        <v>2636</v>
      </c>
      <c r="F1039" s="144" t="s">
        <v>2482</v>
      </c>
      <c r="G1039" s="166"/>
      <c r="H1039" s="151">
        <v>1</v>
      </c>
      <c r="I1039" s="160">
        <v>900</v>
      </c>
      <c r="J1039" s="159">
        <v>900</v>
      </c>
      <c r="K1039" s="161">
        <v>900</v>
      </c>
      <c r="L1039" s="159">
        <v>900</v>
      </c>
      <c r="M1039" s="160">
        <v>900</v>
      </c>
      <c r="N1039" s="145">
        <v>7200</v>
      </c>
      <c r="O1039" s="156" t="s">
        <v>135</v>
      </c>
      <c r="P1039" s="144" t="s">
        <v>2468</v>
      </c>
      <c r="Q1039" s="147"/>
      <c r="R1039" s="146"/>
      <c r="S1039" s="157"/>
      <c r="T1039" s="144" t="s">
        <v>29</v>
      </c>
      <c r="U1039" s="150" t="s">
        <v>18</v>
      </c>
      <c r="V1039" s="146">
        <v>1751</v>
      </c>
      <c r="W1039" s="148" t="s">
        <v>4274</v>
      </c>
      <c r="X1039" s="149">
        <v>45689</v>
      </c>
      <c r="Y1039" s="165" t="s">
        <v>2590</v>
      </c>
    </row>
    <row r="1040" spans="1:25">
      <c r="A1040" s="163" t="s">
        <v>7</v>
      </c>
      <c r="B1040" s="144" t="s">
        <v>2463</v>
      </c>
      <c r="C1040" s="164" t="s">
        <v>4275</v>
      </c>
      <c r="D1040" s="144" t="s">
        <v>4276</v>
      </c>
      <c r="E1040" s="150" t="s">
        <v>2476</v>
      </c>
      <c r="F1040" s="144" t="s">
        <v>2477</v>
      </c>
      <c r="G1040" s="166"/>
      <c r="H1040" s="151">
        <v>1</v>
      </c>
      <c r="I1040" s="160"/>
      <c r="J1040" s="159">
        <v>300</v>
      </c>
      <c r="K1040" s="161"/>
      <c r="L1040" s="159">
        <v>300</v>
      </c>
      <c r="M1040" s="160">
        <v>300</v>
      </c>
      <c r="N1040" s="145"/>
      <c r="O1040" s="156" t="s">
        <v>135</v>
      </c>
      <c r="P1040" s="144" t="s">
        <v>2478</v>
      </c>
      <c r="Q1040" s="147"/>
      <c r="R1040" s="146"/>
      <c r="S1040" s="157"/>
      <c r="T1040" s="144" t="s">
        <v>29</v>
      </c>
      <c r="U1040" s="150" t="s">
        <v>2479</v>
      </c>
      <c r="V1040" s="146">
        <v>2064</v>
      </c>
      <c r="W1040" s="148" t="s">
        <v>4277</v>
      </c>
      <c r="X1040" s="149">
        <v>45901</v>
      </c>
      <c r="Y1040" s="165" t="s">
        <v>3028</v>
      </c>
    </row>
    <row r="1041" spans="1:25">
      <c r="A1041" s="163" t="s">
        <v>380</v>
      </c>
      <c r="B1041" s="144" t="s">
        <v>2463</v>
      </c>
      <c r="C1041" s="164" t="s">
        <v>4278</v>
      </c>
      <c r="D1041" s="144" t="s">
        <v>4279</v>
      </c>
      <c r="E1041" s="150" t="s">
        <v>2466</v>
      </c>
      <c r="F1041" s="144" t="s">
        <v>2467</v>
      </c>
      <c r="G1041" s="166"/>
      <c r="H1041" s="151">
        <v>1</v>
      </c>
      <c r="I1041" s="160">
        <v>250</v>
      </c>
      <c r="J1041" s="159">
        <v>250</v>
      </c>
      <c r="K1041" s="161">
        <v>250</v>
      </c>
      <c r="L1041" s="159">
        <v>250</v>
      </c>
      <c r="M1041" s="160">
        <v>250</v>
      </c>
      <c r="N1041" s="145">
        <v>500</v>
      </c>
      <c r="O1041" s="156" t="s">
        <v>135</v>
      </c>
      <c r="P1041" s="144" t="s">
        <v>2468</v>
      </c>
      <c r="Q1041" s="147"/>
      <c r="R1041" s="146"/>
      <c r="S1041" s="157"/>
      <c r="T1041" s="144" t="s">
        <v>29</v>
      </c>
      <c r="U1041" s="150" t="s">
        <v>20</v>
      </c>
      <c r="V1041" s="146">
        <v>2522</v>
      </c>
      <c r="W1041" s="148" t="s">
        <v>4280</v>
      </c>
      <c r="X1041" s="149">
        <v>45778</v>
      </c>
      <c r="Y1041" s="165" t="s">
        <v>3352</v>
      </c>
    </row>
    <row r="1042" spans="1:25">
      <c r="A1042" s="163" t="s">
        <v>380</v>
      </c>
      <c r="B1042" s="144" t="s">
        <v>2463</v>
      </c>
      <c r="C1042" s="164" t="s">
        <v>4281</v>
      </c>
      <c r="D1042" s="144" t="s">
        <v>4279</v>
      </c>
      <c r="E1042" s="150" t="s">
        <v>2466</v>
      </c>
      <c r="F1042" s="144" t="s">
        <v>2467</v>
      </c>
      <c r="G1042" s="166"/>
      <c r="H1042" s="151">
        <v>80</v>
      </c>
      <c r="I1042" s="160">
        <v>4.2</v>
      </c>
      <c r="J1042" s="159">
        <v>4.2</v>
      </c>
      <c r="K1042" s="161">
        <v>336</v>
      </c>
      <c r="L1042" s="159">
        <v>336</v>
      </c>
      <c r="M1042" s="160">
        <v>336</v>
      </c>
      <c r="N1042" s="145">
        <v>500</v>
      </c>
      <c r="O1042" s="156" t="s">
        <v>135</v>
      </c>
      <c r="P1042" s="144" t="s">
        <v>2468</v>
      </c>
      <c r="Q1042" s="147"/>
      <c r="R1042" s="146"/>
      <c r="S1042" s="157"/>
      <c r="T1042" s="144" t="s">
        <v>29</v>
      </c>
      <c r="U1042" s="150" t="s">
        <v>20</v>
      </c>
      <c r="V1042" s="146">
        <v>2523</v>
      </c>
      <c r="W1042" s="148" t="s">
        <v>4282</v>
      </c>
      <c r="X1042" s="149">
        <v>45901</v>
      </c>
      <c r="Y1042" s="165" t="s">
        <v>3973</v>
      </c>
    </row>
    <row r="1043" spans="1:25">
      <c r="A1043" s="163" t="s">
        <v>423</v>
      </c>
      <c r="B1043" s="144" t="s">
        <v>2463</v>
      </c>
      <c r="C1043" s="164" t="s">
        <v>4283</v>
      </c>
      <c r="D1043" s="144" t="s">
        <v>4284</v>
      </c>
      <c r="E1043" s="150" t="s">
        <v>2466</v>
      </c>
      <c r="F1043" s="144" t="s">
        <v>2467</v>
      </c>
      <c r="G1043" s="166"/>
      <c r="H1043" s="151">
        <v>160</v>
      </c>
      <c r="I1043" s="160">
        <v>6</v>
      </c>
      <c r="J1043" s="159">
        <v>6</v>
      </c>
      <c r="K1043" s="161">
        <v>960</v>
      </c>
      <c r="L1043" s="159">
        <v>960</v>
      </c>
      <c r="M1043" s="160">
        <v>960</v>
      </c>
      <c r="N1043" s="145">
        <v>500</v>
      </c>
      <c r="O1043" s="156" t="s">
        <v>135</v>
      </c>
      <c r="P1043" s="144" t="s">
        <v>2468</v>
      </c>
      <c r="Q1043" s="147"/>
      <c r="R1043" s="146"/>
      <c r="S1043" s="157"/>
      <c r="T1043" s="144" t="s">
        <v>29</v>
      </c>
      <c r="U1043" s="150" t="s">
        <v>20</v>
      </c>
      <c r="V1043" s="146">
        <v>2524</v>
      </c>
      <c r="W1043" s="148"/>
      <c r="X1043" s="149">
        <v>45778</v>
      </c>
      <c r="Y1043" s="165" t="s">
        <v>4161</v>
      </c>
    </row>
    <row r="1044" spans="1:25">
      <c r="A1044" s="163" t="s">
        <v>423</v>
      </c>
      <c r="B1044" s="144" t="s">
        <v>2463</v>
      </c>
      <c r="C1044" s="164" t="s">
        <v>4285</v>
      </c>
      <c r="D1044" s="144" t="s">
        <v>4286</v>
      </c>
      <c r="E1044" s="150" t="s">
        <v>2466</v>
      </c>
      <c r="F1044" s="144" t="s">
        <v>2467</v>
      </c>
      <c r="G1044" s="166"/>
      <c r="H1044" s="151">
        <v>1</v>
      </c>
      <c r="I1044" s="160">
        <v>1000</v>
      </c>
      <c r="J1044" s="159">
        <v>1000</v>
      </c>
      <c r="K1044" s="161">
        <v>1000</v>
      </c>
      <c r="L1044" s="159">
        <v>1000</v>
      </c>
      <c r="M1044" s="160">
        <v>1000</v>
      </c>
      <c r="N1044" s="145">
        <v>1000</v>
      </c>
      <c r="O1044" s="156" t="s">
        <v>135</v>
      </c>
      <c r="P1044" s="144" t="s">
        <v>2468</v>
      </c>
      <c r="Q1044" s="147"/>
      <c r="R1044" s="146"/>
      <c r="S1044" s="157"/>
      <c r="T1044" s="144" t="s">
        <v>29</v>
      </c>
      <c r="U1044" s="150" t="s">
        <v>20</v>
      </c>
      <c r="V1044" s="146">
        <v>2611</v>
      </c>
      <c r="W1044" s="148" t="s">
        <v>4287</v>
      </c>
      <c r="X1044" s="149">
        <v>45689</v>
      </c>
      <c r="Y1044" s="165" t="s">
        <v>2500</v>
      </c>
    </row>
    <row r="1045" spans="1:25">
      <c r="A1045" s="163" t="s">
        <v>7</v>
      </c>
      <c r="B1045" s="144" t="s">
        <v>2463</v>
      </c>
      <c r="C1045" s="164" t="s">
        <v>4288</v>
      </c>
      <c r="D1045" s="144" t="s">
        <v>4289</v>
      </c>
      <c r="E1045" s="150" t="s">
        <v>2485</v>
      </c>
      <c r="F1045" s="144" t="s">
        <v>2486</v>
      </c>
      <c r="G1045" s="166"/>
      <c r="H1045" s="151">
        <v>47</v>
      </c>
      <c r="I1045" s="160"/>
      <c r="J1045" s="159">
        <v>6.1</v>
      </c>
      <c r="K1045" s="161"/>
      <c r="L1045" s="159">
        <v>286.7</v>
      </c>
      <c r="M1045" s="160">
        <v>286.7</v>
      </c>
      <c r="N1045" s="145"/>
      <c r="O1045" s="156" t="s">
        <v>135</v>
      </c>
      <c r="P1045" s="144" t="s">
        <v>2478</v>
      </c>
      <c r="Q1045" s="147"/>
      <c r="R1045" s="146"/>
      <c r="S1045" s="157"/>
      <c r="T1045" s="144" t="s">
        <v>29</v>
      </c>
      <c r="U1045" s="150" t="s">
        <v>17</v>
      </c>
      <c r="V1045" s="146">
        <v>1155</v>
      </c>
      <c r="W1045" s="148" t="s">
        <v>4290</v>
      </c>
      <c r="X1045" s="149">
        <v>45689</v>
      </c>
      <c r="Y1045" s="165" t="s">
        <v>3888</v>
      </c>
    </row>
    <row r="1046" spans="1:25">
      <c r="A1046" s="163" t="s">
        <v>380</v>
      </c>
      <c r="B1046" s="144" t="s">
        <v>2463</v>
      </c>
      <c r="C1046" s="164" t="s">
        <v>2391</v>
      </c>
      <c r="D1046" s="144" t="s">
        <v>236</v>
      </c>
      <c r="E1046" s="150" t="s">
        <v>2485</v>
      </c>
      <c r="F1046" s="144" t="s">
        <v>2486</v>
      </c>
      <c r="G1046" s="166"/>
      <c r="H1046" s="151">
        <v>40</v>
      </c>
      <c r="I1046" s="160">
        <v>6</v>
      </c>
      <c r="J1046" s="159">
        <v>6.85</v>
      </c>
      <c r="K1046" s="161">
        <v>240</v>
      </c>
      <c r="L1046" s="159">
        <v>274</v>
      </c>
      <c r="M1046" s="160" t="s">
        <v>4291</v>
      </c>
      <c r="N1046" s="145"/>
      <c r="O1046" s="156" t="s">
        <v>135</v>
      </c>
      <c r="P1046" s="144" t="s">
        <v>2478</v>
      </c>
      <c r="Q1046" s="147"/>
      <c r="R1046" s="146"/>
      <c r="S1046" s="157"/>
      <c r="T1046" s="144" t="s">
        <v>29</v>
      </c>
      <c r="U1046" s="150" t="s">
        <v>17</v>
      </c>
      <c r="V1046" s="146">
        <v>1337</v>
      </c>
      <c r="W1046" s="148" t="s">
        <v>4292</v>
      </c>
      <c r="X1046" s="149">
        <v>45901</v>
      </c>
      <c r="Y1046" s="165" t="s">
        <v>2490</v>
      </c>
    </row>
    <row r="1047" spans="1:25">
      <c r="A1047" s="163" t="s">
        <v>565</v>
      </c>
      <c r="B1047" s="144" t="s">
        <v>2463</v>
      </c>
      <c r="C1047" s="164" t="s">
        <v>4293</v>
      </c>
      <c r="D1047" s="144" t="s">
        <v>4294</v>
      </c>
      <c r="E1047" s="150" t="s">
        <v>2466</v>
      </c>
      <c r="F1047" s="144" t="s">
        <v>2467</v>
      </c>
      <c r="G1047" s="166"/>
      <c r="H1047" s="151">
        <v>23</v>
      </c>
      <c r="I1047" s="160">
        <v>0</v>
      </c>
      <c r="J1047" s="159">
        <v>4.3499999999999996</v>
      </c>
      <c r="K1047" s="161">
        <v>0</v>
      </c>
      <c r="L1047" s="159">
        <v>100.05</v>
      </c>
      <c r="M1047" s="160">
        <v>100.05</v>
      </c>
      <c r="N1047" s="145">
        <v>200</v>
      </c>
      <c r="O1047" s="156" t="s">
        <v>135</v>
      </c>
      <c r="P1047" s="144" t="s">
        <v>2468</v>
      </c>
      <c r="Q1047" s="147"/>
      <c r="R1047" s="146"/>
      <c r="S1047" s="157"/>
      <c r="T1047" s="144" t="s">
        <v>29</v>
      </c>
      <c r="U1047" s="150" t="s">
        <v>20</v>
      </c>
      <c r="V1047" s="146">
        <v>2234</v>
      </c>
      <c r="W1047" s="148" t="s">
        <v>4295</v>
      </c>
      <c r="X1047" s="149">
        <v>45689</v>
      </c>
      <c r="Y1047" s="165" t="s">
        <v>2474</v>
      </c>
    </row>
    <row r="1048" spans="1:25">
      <c r="A1048" s="163" t="s">
        <v>565</v>
      </c>
      <c r="B1048" s="144" t="s">
        <v>163</v>
      </c>
      <c r="C1048" s="164" t="s">
        <v>4296</v>
      </c>
      <c r="D1048" s="144" t="s">
        <v>1137</v>
      </c>
      <c r="E1048" s="150" t="s">
        <v>2593</v>
      </c>
      <c r="F1048" s="144" t="s">
        <v>2482</v>
      </c>
      <c r="G1048" s="166" t="s">
        <v>4297</v>
      </c>
      <c r="H1048" s="151">
        <v>1</v>
      </c>
      <c r="I1048" s="160">
        <v>28</v>
      </c>
      <c r="J1048" s="159">
        <v>28</v>
      </c>
      <c r="K1048" s="161">
        <v>28</v>
      </c>
      <c r="L1048" s="159">
        <v>28</v>
      </c>
      <c r="M1048" s="160">
        <v>28</v>
      </c>
      <c r="N1048" s="145"/>
      <c r="O1048" s="156" t="s">
        <v>166</v>
      </c>
      <c r="P1048" s="144" t="s">
        <v>2480</v>
      </c>
      <c r="Q1048" s="147"/>
      <c r="R1048" s="146">
        <v>2100</v>
      </c>
      <c r="S1048" s="157"/>
      <c r="T1048" s="144" t="s">
        <v>25</v>
      </c>
      <c r="U1048" s="150" t="s">
        <v>18</v>
      </c>
      <c r="V1048" s="146">
        <v>1156</v>
      </c>
      <c r="W1048" s="148"/>
      <c r="X1048" s="149">
        <v>45566</v>
      </c>
      <c r="Y1048" s="165" t="s">
        <v>2913</v>
      </c>
    </row>
    <row r="1049" spans="1:25">
      <c r="A1049" s="163" t="s">
        <v>7</v>
      </c>
      <c r="B1049" s="144" t="s">
        <v>2463</v>
      </c>
      <c r="C1049" s="164" t="s">
        <v>4298</v>
      </c>
      <c r="D1049" s="144" t="s">
        <v>4299</v>
      </c>
      <c r="E1049" s="150" t="s">
        <v>2466</v>
      </c>
      <c r="F1049" s="144" t="s">
        <v>2467</v>
      </c>
      <c r="G1049" s="166"/>
      <c r="H1049" s="151">
        <v>1</v>
      </c>
      <c r="I1049" s="160">
        <v>100</v>
      </c>
      <c r="J1049" s="159">
        <v>100</v>
      </c>
      <c r="K1049" s="161">
        <v>100</v>
      </c>
      <c r="L1049" s="159">
        <v>100</v>
      </c>
      <c r="M1049" s="160">
        <v>100</v>
      </c>
      <c r="N1049" s="145">
        <v>0</v>
      </c>
      <c r="O1049" s="156" t="s">
        <v>135</v>
      </c>
      <c r="P1049" s="144" t="s">
        <v>2468</v>
      </c>
      <c r="Q1049" s="147"/>
      <c r="R1049" s="146"/>
      <c r="S1049" s="157"/>
      <c r="T1049" s="144" t="s">
        <v>29</v>
      </c>
      <c r="U1049" s="150" t="s">
        <v>20</v>
      </c>
      <c r="V1049" s="146">
        <v>2222</v>
      </c>
      <c r="W1049" s="148" t="s">
        <v>4300</v>
      </c>
      <c r="X1049" s="149">
        <v>45901</v>
      </c>
      <c r="Y1049" s="165" t="s">
        <v>3028</v>
      </c>
    </row>
    <row r="1050" spans="1:25">
      <c r="A1050" s="163" t="s">
        <v>380</v>
      </c>
      <c r="B1050" s="144" t="s">
        <v>2463</v>
      </c>
      <c r="C1050" s="164" t="s">
        <v>756</v>
      </c>
      <c r="D1050" s="144" t="s">
        <v>616</v>
      </c>
      <c r="E1050" s="150" t="s">
        <v>2466</v>
      </c>
      <c r="F1050" s="144" t="s">
        <v>2467</v>
      </c>
      <c r="G1050" s="166"/>
      <c r="H1050" s="151">
        <v>1</v>
      </c>
      <c r="I1050" s="160">
        <v>300</v>
      </c>
      <c r="J1050" s="159">
        <v>300</v>
      </c>
      <c r="K1050" s="161">
        <v>300</v>
      </c>
      <c r="L1050" s="159">
        <v>300</v>
      </c>
      <c r="M1050" s="160">
        <v>300</v>
      </c>
      <c r="N1050" s="145">
        <v>300</v>
      </c>
      <c r="O1050" s="156" t="s">
        <v>135</v>
      </c>
      <c r="P1050" s="144" t="s">
        <v>2468</v>
      </c>
      <c r="Q1050" s="147"/>
      <c r="R1050" s="146"/>
      <c r="S1050" s="157"/>
      <c r="T1050" s="144" t="s">
        <v>29</v>
      </c>
      <c r="U1050" s="150" t="s">
        <v>20</v>
      </c>
      <c r="V1050" s="146">
        <v>2903</v>
      </c>
      <c r="W1050" s="148" t="s">
        <v>4301</v>
      </c>
      <c r="X1050" s="149"/>
      <c r="Y1050" s="165"/>
    </row>
    <row r="1051" spans="1:25">
      <c r="A1051" s="163" t="s">
        <v>7</v>
      </c>
      <c r="B1051" s="144" t="s">
        <v>163</v>
      </c>
      <c r="C1051" s="164" t="s">
        <v>2173</v>
      </c>
      <c r="D1051" s="144" t="s">
        <v>4302</v>
      </c>
      <c r="E1051" s="150" t="s">
        <v>2491</v>
      </c>
      <c r="F1051" s="144" t="s">
        <v>2477</v>
      </c>
      <c r="G1051" s="166" t="s">
        <v>4303</v>
      </c>
      <c r="H1051" s="151">
        <v>22</v>
      </c>
      <c r="I1051" s="160">
        <v>0</v>
      </c>
      <c r="J1051" s="159">
        <v>2.25</v>
      </c>
      <c r="K1051" s="161">
        <v>0</v>
      </c>
      <c r="L1051" s="159">
        <v>49.5</v>
      </c>
      <c r="M1051" s="160">
        <v>49.5</v>
      </c>
      <c r="N1051" s="145"/>
      <c r="O1051" s="156" t="s">
        <v>166</v>
      </c>
      <c r="P1051" s="144" t="s">
        <v>2478</v>
      </c>
      <c r="Q1051" s="147"/>
      <c r="R1051" s="146">
        <v>2042</v>
      </c>
      <c r="S1051" s="157"/>
      <c r="T1051" s="144" t="s">
        <v>25</v>
      </c>
      <c r="U1051" s="150" t="s">
        <v>2479</v>
      </c>
      <c r="V1051" s="146">
        <v>1402</v>
      </c>
      <c r="W1051" s="148"/>
      <c r="X1051" s="149">
        <v>45689</v>
      </c>
      <c r="Y1051" s="165" t="s">
        <v>3067</v>
      </c>
    </row>
    <row r="1052" spans="1:25">
      <c r="A1052" s="163" t="s">
        <v>7</v>
      </c>
      <c r="B1052" s="144" t="s">
        <v>2463</v>
      </c>
      <c r="C1052" s="164" t="s">
        <v>4304</v>
      </c>
      <c r="D1052" s="144" t="s">
        <v>4057</v>
      </c>
      <c r="E1052" s="150" t="s">
        <v>2466</v>
      </c>
      <c r="F1052" s="144" t="s">
        <v>2467</v>
      </c>
      <c r="G1052" s="166"/>
      <c r="H1052" s="151">
        <v>175</v>
      </c>
      <c r="I1052" s="160">
        <v>2.57</v>
      </c>
      <c r="J1052" s="159">
        <v>2.57</v>
      </c>
      <c r="K1052" s="161">
        <v>449.75</v>
      </c>
      <c r="L1052" s="159">
        <v>449.75</v>
      </c>
      <c r="M1052" s="160">
        <v>449.75</v>
      </c>
      <c r="N1052" s="145">
        <v>900</v>
      </c>
      <c r="O1052" s="156" t="s">
        <v>135</v>
      </c>
      <c r="P1052" s="144" t="s">
        <v>2468</v>
      </c>
      <c r="Q1052" s="147"/>
      <c r="R1052" s="146"/>
      <c r="S1052" s="157"/>
      <c r="T1052" s="144" t="s">
        <v>29</v>
      </c>
      <c r="U1052" s="150" t="s">
        <v>20</v>
      </c>
      <c r="V1052" s="146">
        <v>2919</v>
      </c>
      <c r="W1052" s="148" t="s">
        <v>4305</v>
      </c>
      <c r="X1052" s="149"/>
      <c r="Y1052" s="165"/>
    </row>
    <row r="1053" spans="1:25">
      <c r="A1053" s="163" t="s">
        <v>7</v>
      </c>
      <c r="B1053" s="144" t="s">
        <v>2463</v>
      </c>
      <c r="C1053" s="164" t="s">
        <v>4306</v>
      </c>
      <c r="D1053" s="144" t="s">
        <v>4057</v>
      </c>
      <c r="E1053" s="150" t="s">
        <v>2476</v>
      </c>
      <c r="F1053" s="144" t="s">
        <v>2477</v>
      </c>
      <c r="G1053" s="166"/>
      <c r="H1053" s="151">
        <v>1</v>
      </c>
      <c r="I1053" s="160">
        <v>150</v>
      </c>
      <c r="J1053" s="159">
        <v>150</v>
      </c>
      <c r="K1053" s="161">
        <v>150</v>
      </c>
      <c r="L1053" s="159">
        <v>150</v>
      </c>
      <c r="M1053" s="160">
        <v>150</v>
      </c>
      <c r="N1053" s="145"/>
      <c r="O1053" s="156" t="s">
        <v>135</v>
      </c>
      <c r="P1053" s="144" t="s">
        <v>2478</v>
      </c>
      <c r="Q1053" s="147"/>
      <c r="R1053" s="146"/>
      <c r="S1053" s="157"/>
      <c r="T1053" s="144" t="s">
        <v>29</v>
      </c>
      <c r="U1053" s="150" t="s">
        <v>2479</v>
      </c>
      <c r="V1053" s="146">
        <v>2918</v>
      </c>
      <c r="W1053" s="148" t="s">
        <v>4305</v>
      </c>
      <c r="X1053" s="149"/>
      <c r="Y1053" s="165"/>
    </row>
    <row r="1054" spans="1:25">
      <c r="A1054" s="163" t="s">
        <v>380</v>
      </c>
      <c r="B1054" s="144" t="s">
        <v>163</v>
      </c>
      <c r="C1054" s="164" t="s">
        <v>1961</v>
      </c>
      <c r="D1054" s="144" t="s">
        <v>4307</v>
      </c>
      <c r="E1054" s="150" t="s">
        <v>3100</v>
      </c>
      <c r="F1054" s="144" t="s">
        <v>2556</v>
      </c>
      <c r="G1054" s="166" t="s">
        <v>4308</v>
      </c>
      <c r="H1054" s="151">
        <v>1</v>
      </c>
      <c r="I1054" s="160">
        <v>0</v>
      </c>
      <c r="J1054" s="159">
        <v>171</v>
      </c>
      <c r="K1054" s="161">
        <v>0</v>
      </c>
      <c r="L1054" s="159">
        <v>171</v>
      </c>
      <c r="M1054" s="160">
        <v>171</v>
      </c>
      <c r="N1054" s="145"/>
      <c r="O1054" s="156" t="s">
        <v>166</v>
      </c>
      <c r="P1054" s="144" t="s">
        <v>2468</v>
      </c>
      <c r="Q1054" s="147"/>
      <c r="R1054" s="146">
        <v>2037</v>
      </c>
      <c r="S1054" s="157"/>
      <c r="T1054" s="144" t="s">
        <v>25</v>
      </c>
      <c r="U1054" s="150" t="s">
        <v>13</v>
      </c>
      <c r="V1054" s="146">
        <v>1158</v>
      </c>
      <c r="W1054" s="148"/>
      <c r="X1054" s="149">
        <v>45689</v>
      </c>
      <c r="Y1054" s="165" t="s">
        <v>2740</v>
      </c>
    </row>
    <row r="1055" spans="1:25">
      <c r="A1055" s="163" t="s">
        <v>380</v>
      </c>
      <c r="B1055" s="144" t="s">
        <v>163</v>
      </c>
      <c r="C1055" s="164" t="s">
        <v>1961</v>
      </c>
      <c r="D1055" s="144" t="s">
        <v>4307</v>
      </c>
      <c r="E1055" s="150" t="s">
        <v>3100</v>
      </c>
      <c r="F1055" s="144" t="s">
        <v>2556</v>
      </c>
      <c r="G1055" s="166" t="s">
        <v>4308</v>
      </c>
      <c r="H1055" s="151">
        <v>2</v>
      </c>
      <c r="I1055" s="160"/>
      <c r="J1055" s="159">
        <v>179</v>
      </c>
      <c r="K1055" s="161"/>
      <c r="L1055" s="159">
        <v>358</v>
      </c>
      <c r="M1055" s="160">
        <v>358</v>
      </c>
      <c r="N1055" s="145"/>
      <c r="O1055" s="156" t="s">
        <v>166</v>
      </c>
      <c r="P1055" s="144" t="s">
        <v>2468</v>
      </c>
      <c r="Q1055" s="147"/>
      <c r="R1055" s="146">
        <v>2037</v>
      </c>
      <c r="S1055" s="157"/>
      <c r="T1055" s="144" t="s">
        <v>25</v>
      </c>
      <c r="U1055" s="150" t="s">
        <v>13</v>
      </c>
      <c r="V1055" s="146">
        <v>1158</v>
      </c>
      <c r="W1055" s="148"/>
      <c r="X1055" s="149">
        <v>45689</v>
      </c>
      <c r="Y1055" s="165" t="s">
        <v>2740</v>
      </c>
    </row>
    <row r="1056" spans="1:25">
      <c r="A1056" s="163" t="s">
        <v>380</v>
      </c>
      <c r="B1056" s="144" t="s">
        <v>2463</v>
      </c>
      <c r="C1056" s="164" t="s">
        <v>4309</v>
      </c>
      <c r="D1056" s="144" t="s">
        <v>254</v>
      </c>
      <c r="E1056" s="150" t="s">
        <v>2466</v>
      </c>
      <c r="F1056" s="144" t="s">
        <v>2467</v>
      </c>
      <c r="G1056" s="166"/>
      <c r="H1056" s="151">
        <v>1</v>
      </c>
      <c r="I1056" s="160">
        <v>200</v>
      </c>
      <c r="J1056" s="159">
        <v>200</v>
      </c>
      <c r="K1056" s="161">
        <v>200</v>
      </c>
      <c r="L1056" s="159">
        <v>200</v>
      </c>
      <c r="M1056" s="160">
        <v>200</v>
      </c>
      <c r="N1056" s="145">
        <v>400</v>
      </c>
      <c r="O1056" s="156" t="s">
        <v>135</v>
      </c>
      <c r="P1056" s="144" t="s">
        <v>2468</v>
      </c>
      <c r="Q1056" s="147"/>
      <c r="R1056" s="146"/>
      <c r="S1056" s="157"/>
      <c r="T1056" s="144" t="s">
        <v>29</v>
      </c>
      <c r="U1056" s="150" t="s">
        <v>20</v>
      </c>
      <c r="V1056" s="146">
        <v>3008</v>
      </c>
      <c r="W1056" s="148" t="s">
        <v>4310</v>
      </c>
      <c r="X1056" s="149">
        <v>45901</v>
      </c>
      <c r="Y1056" s="165" t="s">
        <v>2490</v>
      </c>
    </row>
    <row r="1057" spans="1:25">
      <c r="A1057" s="163" t="s">
        <v>380</v>
      </c>
      <c r="B1057" s="144" t="s">
        <v>2463</v>
      </c>
      <c r="C1057" s="164" t="s">
        <v>4311</v>
      </c>
      <c r="D1057" s="144" t="s">
        <v>4312</v>
      </c>
      <c r="E1057" s="150" t="s">
        <v>2466</v>
      </c>
      <c r="F1057" s="144" t="s">
        <v>2467</v>
      </c>
      <c r="G1057" s="166"/>
      <c r="H1057" s="151">
        <v>1</v>
      </c>
      <c r="I1057" s="160">
        <v>20</v>
      </c>
      <c r="J1057" s="159">
        <v>20</v>
      </c>
      <c r="K1057" s="161">
        <v>20</v>
      </c>
      <c r="L1057" s="159">
        <v>20</v>
      </c>
      <c r="M1057" s="160">
        <v>20</v>
      </c>
      <c r="N1057" s="145">
        <v>40</v>
      </c>
      <c r="O1057" s="156" t="s">
        <v>135</v>
      </c>
      <c r="P1057" s="144" t="s">
        <v>2468</v>
      </c>
      <c r="Q1057" s="147"/>
      <c r="R1057" s="146">
        <v>2037</v>
      </c>
      <c r="S1057" s="157"/>
      <c r="T1057" s="144" t="s">
        <v>29</v>
      </c>
      <c r="U1057" s="150" t="s">
        <v>20</v>
      </c>
      <c r="V1057" s="146">
        <v>1930</v>
      </c>
      <c r="W1057" s="148"/>
      <c r="X1057" s="149">
        <v>45689</v>
      </c>
      <c r="Y1057" s="165" t="s">
        <v>2538</v>
      </c>
    </row>
    <row r="1058" spans="1:25">
      <c r="A1058" s="163" t="s">
        <v>7</v>
      </c>
      <c r="B1058" s="144" t="s">
        <v>2463</v>
      </c>
      <c r="C1058" s="164" t="s">
        <v>4313</v>
      </c>
      <c r="D1058" s="144" t="s">
        <v>540</v>
      </c>
      <c r="E1058" s="150" t="s">
        <v>2491</v>
      </c>
      <c r="F1058" s="144" t="s">
        <v>2477</v>
      </c>
      <c r="G1058" s="166"/>
      <c r="H1058" s="151">
        <v>1</v>
      </c>
      <c r="I1058" s="160">
        <v>80</v>
      </c>
      <c r="J1058" s="159">
        <v>80</v>
      </c>
      <c r="K1058" s="161">
        <v>80</v>
      </c>
      <c r="L1058" s="159">
        <v>80</v>
      </c>
      <c r="M1058" s="160">
        <v>80</v>
      </c>
      <c r="N1058" s="145"/>
      <c r="O1058" s="156" t="s">
        <v>135</v>
      </c>
      <c r="P1058" s="144" t="s">
        <v>2478</v>
      </c>
      <c r="Q1058" s="147"/>
      <c r="R1058" s="146"/>
      <c r="S1058" s="157"/>
      <c r="T1058" s="144" t="s">
        <v>29</v>
      </c>
      <c r="U1058" s="150" t="s">
        <v>2479</v>
      </c>
      <c r="V1058" s="146">
        <v>2518</v>
      </c>
      <c r="W1058" s="148" t="s">
        <v>4314</v>
      </c>
      <c r="X1058" s="149"/>
      <c r="Y1058" s="165" t="s">
        <v>2538</v>
      </c>
    </row>
    <row r="1059" spans="1:25">
      <c r="A1059" s="163" t="s">
        <v>7</v>
      </c>
      <c r="B1059" s="144" t="s">
        <v>2463</v>
      </c>
      <c r="C1059" s="164" t="s">
        <v>4313</v>
      </c>
      <c r="D1059" s="144" t="s">
        <v>540</v>
      </c>
      <c r="E1059" s="150" t="s">
        <v>2466</v>
      </c>
      <c r="F1059" s="144" t="s">
        <v>2467</v>
      </c>
      <c r="G1059" s="166"/>
      <c r="H1059" s="151">
        <v>1</v>
      </c>
      <c r="I1059" s="160">
        <v>80</v>
      </c>
      <c r="J1059" s="159">
        <v>80</v>
      </c>
      <c r="K1059" s="161">
        <v>80</v>
      </c>
      <c r="L1059" s="159">
        <v>80</v>
      </c>
      <c r="M1059" s="160">
        <v>80</v>
      </c>
      <c r="N1059" s="145">
        <v>160</v>
      </c>
      <c r="O1059" s="156" t="s">
        <v>135</v>
      </c>
      <c r="P1059" s="144" t="s">
        <v>2468</v>
      </c>
      <c r="Q1059" s="147"/>
      <c r="R1059" s="146"/>
      <c r="S1059" s="157"/>
      <c r="T1059" s="144" t="s">
        <v>29</v>
      </c>
      <c r="U1059" s="150" t="s">
        <v>20</v>
      </c>
      <c r="V1059" s="146">
        <v>2518</v>
      </c>
      <c r="W1059" s="148" t="s">
        <v>4314</v>
      </c>
      <c r="X1059" s="149"/>
      <c r="Y1059" s="165" t="s">
        <v>2538</v>
      </c>
    </row>
    <row r="1060" spans="1:25">
      <c r="A1060" s="163" t="s">
        <v>423</v>
      </c>
      <c r="B1060" s="144" t="s">
        <v>163</v>
      </c>
      <c r="C1060" s="164" t="s">
        <v>1342</v>
      </c>
      <c r="D1060" s="144" t="s">
        <v>1291</v>
      </c>
      <c r="E1060" s="150" t="s">
        <v>2466</v>
      </c>
      <c r="F1060" s="144" t="s">
        <v>2467</v>
      </c>
      <c r="G1060" s="166" t="s">
        <v>4315</v>
      </c>
      <c r="H1060" s="151">
        <v>1</v>
      </c>
      <c r="I1060" s="160">
        <v>5</v>
      </c>
      <c r="J1060" s="159">
        <v>5</v>
      </c>
      <c r="K1060" s="161">
        <v>5</v>
      </c>
      <c r="L1060" s="159">
        <v>5</v>
      </c>
      <c r="M1060" s="160">
        <v>5</v>
      </c>
      <c r="N1060" s="145">
        <v>10</v>
      </c>
      <c r="O1060" s="156" t="s">
        <v>166</v>
      </c>
      <c r="P1060" s="144" t="s">
        <v>2468</v>
      </c>
      <c r="Q1060" s="147">
        <v>45047</v>
      </c>
      <c r="R1060" s="146">
        <v>2038</v>
      </c>
      <c r="S1060" s="157"/>
      <c r="T1060" s="144" t="s">
        <v>25</v>
      </c>
      <c r="U1060" s="150" t="s">
        <v>20</v>
      </c>
      <c r="V1060" s="146">
        <v>2425</v>
      </c>
      <c r="W1060" s="148"/>
      <c r="X1060" s="149">
        <v>45689</v>
      </c>
      <c r="Y1060" s="165" t="s">
        <v>2590</v>
      </c>
    </row>
    <row r="1061" spans="1:25">
      <c r="A1061" s="163" t="s">
        <v>7</v>
      </c>
      <c r="B1061" s="144" t="s">
        <v>2463</v>
      </c>
      <c r="C1061" s="164" t="s">
        <v>4316</v>
      </c>
      <c r="D1061" s="144" t="s">
        <v>4317</v>
      </c>
      <c r="E1061" s="150" t="s">
        <v>2636</v>
      </c>
      <c r="F1061" s="144" t="s">
        <v>2482</v>
      </c>
      <c r="G1061" s="166"/>
      <c r="H1061" s="151">
        <v>3</v>
      </c>
      <c r="I1061" s="160">
        <v>270</v>
      </c>
      <c r="J1061" s="159">
        <v>270</v>
      </c>
      <c r="K1061" s="161">
        <v>810</v>
      </c>
      <c r="L1061" s="159">
        <v>810</v>
      </c>
      <c r="M1061" s="160">
        <v>810</v>
      </c>
      <c r="N1061" s="145">
        <v>9720</v>
      </c>
      <c r="O1061" s="156" t="s">
        <v>135</v>
      </c>
      <c r="P1061" s="144" t="s">
        <v>2468</v>
      </c>
      <c r="Q1061" s="147">
        <v>47178</v>
      </c>
      <c r="R1061" s="146"/>
      <c r="S1061" s="157"/>
      <c r="T1061" s="144" t="s">
        <v>29</v>
      </c>
      <c r="U1061" s="150" t="s">
        <v>18</v>
      </c>
      <c r="V1061" s="146">
        <v>2534</v>
      </c>
      <c r="W1061" s="148" t="s">
        <v>4318</v>
      </c>
      <c r="X1061" s="149">
        <v>45901</v>
      </c>
      <c r="Y1061" s="165" t="s">
        <v>2840</v>
      </c>
    </row>
    <row r="1062" spans="1:25">
      <c r="A1062" s="163" t="s">
        <v>7</v>
      </c>
      <c r="B1062" s="144" t="s">
        <v>2463</v>
      </c>
      <c r="C1062" s="164" t="s">
        <v>1360</v>
      </c>
      <c r="D1062" s="144" t="s">
        <v>4319</v>
      </c>
      <c r="E1062" s="150" t="s">
        <v>2485</v>
      </c>
      <c r="F1062" s="144" t="s">
        <v>2486</v>
      </c>
      <c r="G1062" s="166"/>
      <c r="H1062" s="151">
        <v>93</v>
      </c>
      <c r="I1062" s="160">
        <v>6.8</v>
      </c>
      <c r="J1062" s="159">
        <v>6.8</v>
      </c>
      <c r="K1062" s="161">
        <v>632.4</v>
      </c>
      <c r="L1062" s="159">
        <v>632.4</v>
      </c>
      <c r="M1062" s="160">
        <v>632.4</v>
      </c>
      <c r="N1062" s="145"/>
      <c r="O1062" s="156" t="s">
        <v>135</v>
      </c>
      <c r="P1062" s="144" t="s">
        <v>2478</v>
      </c>
      <c r="Q1062" s="147">
        <v>47088</v>
      </c>
      <c r="R1062" s="146"/>
      <c r="S1062" s="157"/>
      <c r="T1062" s="144" t="s">
        <v>29</v>
      </c>
      <c r="U1062" s="150" t="s">
        <v>17</v>
      </c>
      <c r="V1062" s="146">
        <v>2219</v>
      </c>
      <c r="W1062" s="148" t="s">
        <v>4320</v>
      </c>
      <c r="X1062" s="149">
        <v>45689</v>
      </c>
      <c r="Y1062" s="165" t="s">
        <v>4321</v>
      </c>
    </row>
    <row r="1063" spans="1:25">
      <c r="A1063" s="163" t="s">
        <v>309</v>
      </c>
      <c r="B1063" s="144" t="s">
        <v>2463</v>
      </c>
      <c r="C1063" s="164" t="s">
        <v>4322</v>
      </c>
      <c r="D1063" s="144" t="s">
        <v>3430</v>
      </c>
      <c r="E1063" s="150" t="s">
        <v>2485</v>
      </c>
      <c r="F1063" s="144" t="s">
        <v>2486</v>
      </c>
      <c r="G1063" s="166"/>
      <c r="H1063" s="151">
        <v>250</v>
      </c>
      <c r="I1063" s="160">
        <v>0</v>
      </c>
      <c r="J1063" s="159">
        <v>6</v>
      </c>
      <c r="K1063" s="161">
        <v>0</v>
      </c>
      <c r="L1063" s="159">
        <v>1500</v>
      </c>
      <c r="M1063" s="160">
        <v>1500</v>
      </c>
      <c r="N1063" s="145"/>
      <c r="O1063" s="156" t="s">
        <v>135</v>
      </c>
      <c r="P1063" s="144" t="s">
        <v>2478</v>
      </c>
      <c r="Q1063" s="147"/>
      <c r="R1063" s="146"/>
      <c r="S1063" s="157"/>
      <c r="T1063" s="144" t="s">
        <v>29</v>
      </c>
      <c r="U1063" s="150" t="s">
        <v>17</v>
      </c>
      <c r="V1063" s="146">
        <v>2835</v>
      </c>
      <c r="W1063" s="148" t="s">
        <v>4323</v>
      </c>
      <c r="X1063" s="149"/>
      <c r="Y1063" s="165" t="s">
        <v>2500</v>
      </c>
    </row>
    <row r="1064" spans="1:25">
      <c r="A1064" s="163" t="s">
        <v>7</v>
      </c>
      <c r="B1064" s="144" t="s">
        <v>163</v>
      </c>
      <c r="C1064" s="164" t="s">
        <v>4324</v>
      </c>
      <c r="D1064" s="144" t="s">
        <v>1511</v>
      </c>
      <c r="E1064" s="150" t="s">
        <v>2593</v>
      </c>
      <c r="F1064" s="144" t="s">
        <v>2482</v>
      </c>
      <c r="G1064" s="166" t="s">
        <v>4325</v>
      </c>
      <c r="H1064" s="151">
        <v>1</v>
      </c>
      <c r="I1064" s="160">
        <v>5.7</v>
      </c>
      <c r="J1064" s="159">
        <v>5.77</v>
      </c>
      <c r="K1064" s="161">
        <v>5.7</v>
      </c>
      <c r="L1064" s="159">
        <v>5.77</v>
      </c>
      <c r="M1064" s="160">
        <v>5.77</v>
      </c>
      <c r="N1064" s="145"/>
      <c r="O1064" s="156" t="s">
        <v>166</v>
      </c>
      <c r="P1064" s="144" t="s">
        <v>2480</v>
      </c>
      <c r="Q1064" s="147"/>
      <c r="R1064" s="146"/>
      <c r="S1064" s="157"/>
      <c r="T1064" s="144" t="s">
        <v>25</v>
      </c>
      <c r="U1064" s="150" t="s">
        <v>18</v>
      </c>
      <c r="V1064" s="146">
        <v>1159</v>
      </c>
      <c r="W1064" s="148"/>
      <c r="X1064" s="149">
        <v>45566</v>
      </c>
      <c r="Y1064" s="165" t="s">
        <v>2558</v>
      </c>
    </row>
    <row r="1065" spans="1:25">
      <c r="A1065" s="163" t="s">
        <v>423</v>
      </c>
      <c r="B1065" s="144" t="s">
        <v>2463</v>
      </c>
      <c r="C1065" s="164" t="s">
        <v>4326</v>
      </c>
      <c r="D1065" s="144" t="s">
        <v>473</v>
      </c>
      <c r="E1065" s="150" t="s">
        <v>2466</v>
      </c>
      <c r="F1065" s="144" t="s">
        <v>2467</v>
      </c>
      <c r="G1065" s="166"/>
      <c r="H1065" s="151">
        <v>126</v>
      </c>
      <c r="I1065" s="160">
        <v>3.6</v>
      </c>
      <c r="J1065" s="159">
        <v>3.6</v>
      </c>
      <c r="K1065" s="161">
        <v>453.6</v>
      </c>
      <c r="L1065" s="159">
        <v>453.6</v>
      </c>
      <c r="M1065" s="160">
        <v>453.6</v>
      </c>
      <c r="N1065" s="145">
        <v>700</v>
      </c>
      <c r="O1065" s="156" t="s">
        <v>135</v>
      </c>
      <c r="P1065" s="144" t="s">
        <v>2468</v>
      </c>
      <c r="Q1065" s="147"/>
      <c r="R1065" s="146"/>
      <c r="S1065" s="157"/>
      <c r="T1065" s="144" t="s">
        <v>29</v>
      </c>
      <c r="U1065" s="150" t="s">
        <v>20</v>
      </c>
      <c r="V1065" s="146">
        <v>2740</v>
      </c>
      <c r="W1065" s="148" t="s">
        <v>4327</v>
      </c>
      <c r="X1065" s="149">
        <v>45689</v>
      </c>
      <c r="Y1065" s="165" t="s">
        <v>2500</v>
      </c>
    </row>
    <row r="1066" spans="1:25">
      <c r="A1066" s="163" t="s">
        <v>423</v>
      </c>
      <c r="B1066" s="144" t="s">
        <v>2463</v>
      </c>
      <c r="C1066" s="164" t="s">
        <v>583</v>
      </c>
      <c r="D1066" s="144" t="s">
        <v>584</v>
      </c>
      <c r="E1066" s="150" t="s">
        <v>2466</v>
      </c>
      <c r="F1066" s="144" t="s">
        <v>2467</v>
      </c>
      <c r="G1066" s="166"/>
      <c r="H1066" s="151">
        <v>1</v>
      </c>
      <c r="I1066" s="160"/>
      <c r="J1066" s="159">
        <v>250</v>
      </c>
      <c r="K1066" s="161"/>
      <c r="L1066" s="159">
        <v>250</v>
      </c>
      <c r="M1066" s="160">
        <v>250</v>
      </c>
      <c r="N1066" s="145">
        <v>550</v>
      </c>
      <c r="O1066" s="156" t="s">
        <v>28</v>
      </c>
      <c r="P1066" s="144" t="s">
        <v>2468</v>
      </c>
      <c r="Q1066" s="147">
        <v>46296</v>
      </c>
      <c r="R1066" s="146">
        <v>2046</v>
      </c>
      <c r="S1066" s="157"/>
      <c r="T1066" s="144" t="s">
        <v>28</v>
      </c>
      <c r="U1066" s="150" t="s">
        <v>20</v>
      </c>
      <c r="V1066" s="146">
        <v>1997</v>
      </c>
      <c r="W1066" s="148" t="s">
        <v>4328</v>
      </c>
      <c r="X1066" s="149">
        <v>45901</v>
      </c>
      <c r="Y1066" s="165" t="s">
        <v>2490</v>
      </c>
    </row>
    <row r="1067" spans="1:25">
      <c r="A1067" s="163" t="s">
        <v>309</v>
      </c>
      <c r="B1067" s="144" t="s">
        <v>2463</v>
      </c>
      <c r="C1067" s="164" t="s">
        <v>4329</v>
      </c>
      <c r="D1067" s="144" t="s">
        <v>3205</v>
      </c>
      <c r="E1067" s="150" t="s">
        <v>2466</v>
      </c>
      <c r="F1067" s="144" t="s">
        <v>2467</v>
      </c>
      <c r="G1067" s="166"/>
      <c r="H1067" s="151">
        <v>1</v>
      </c>
      <c r="I1067" s="160">
        <v>400</v>
      </c>
      <c r="J1067" s="159">
        <v>400</v>
      </c>
      <c r="K1067" s="161">
        <v>400</v>
      </c>
      <c r="L1067" s="159">
        <v>400</v>
      </c>
      <c r="M1067" s="160">
        <v>400</v>
      </c>
      <c r="N1067" s="145">
        <v>0</v>
      </c>
      <c r="O1067" s="156" t="s">
        <v>135</v>
      </c>
      <c r="P1067" s="144" t="s">
        <v>2468</v>
      </c>
      <c r="Q1067" s="147"/>
      <c r="R1067" s="146"/>
      <c r="S1067" s="157"/>
      <c r="T1067" s="144" t="s">
        <v>29</v>
      </c>
      <c r="U1067" s="150" t="s">
        <v>20</v>
      </c>
      <c r="V1067" s="146">
        <v>2381</v>
      </c>
      <c r="W1067" s="148" t="s">
        <v>4330</v>
      </c>
      <c r="X1067" s="149">
        <v>45689</v>
      </c>
      <c r="Y1067" s="165" t="s">
        <v>3207</v>
      </c>
    </row>
    <row r="1068" spans="1:25">
      <c r="A1068" s="163" t="s">
        <v>7</v>
      </c>
      <c r="B1068" s="144" t="s">
        <v>2463</v>
      </c>
      <c r="C1068" s="164" t="s">
        <v>4331</v>
      </c>
      <c r="D1068" s="144" t="s">
        <v>738</v>
      </c>
      <c r="E1068" s="150" t="s">
        <v>2466</v>
      </c>
      <c r="F1068" s="144" t="s">
        <v>2467</v>
      </c>
      <c r="G1068" s="166"/>
      <c r="H1068" s="151">
        <v>106</v>
      </c>
      <c r="I1068" s="160">
        <v>4</v>
      </c>
      <c r="J1068" s="159">
        <v>4</v>
      </c>
      <c r="K1068" s="161">
        <v>424</v>
      </c>
      <c r="L1068" s="159">
        <v>424</v>
      </c>
      <c r="M1068" s="160">
        <v>424</v>
      </c>
      <c r="N1068" s="145">
        <v>1260</v>
      </c>
      <c r="O1068" s="156" t="s">
        <v>135</v>
      </c>
      <c r="P1068" s="144" t="s">
        <v>2468</v>
      </c>
      <c r="Q1068" s="147"/>
      <c r="R1068" s="146"/>
      <c r="S1068" s="157"/>
      <c r="T1068" s="144" t="s">
        <v>29</v>
      </c>
      <c r="U1068" s="150" t="s">
        <v>20</v>
      </c>
      <c r="V1068" s="146">
        <v>2586</v>
      </c>
      <c r="W1068" s="148" t="s">
        <v>4332</v>
      </c>
      <c r="X1068" s="149">
        <v>45689</v>
      </c>
      <c r="Y1068" s="165" t="s">
        <v>2609</v>
      </c>
    </row>
    <row r="1069" spans="1:25">
      <c r="A1069" s="163" t="s">
        <v>309</v>
      </c>
      <c r="B1069" s="144" t="s">
        <v>2463</v>
      </c>
      <c r="C1069" s="164" t="s">
        <v>4333</v>
      </c>
      <c r="D1069" s="144" t="s">
        <v>540</v>
      </c>
      <c r="E1069" s="150" t="s">
        <v>2466</v>
      </c>
      <c r="F1069" s="144" t="s">
        <v>2467</v>
      </c>
      <c r="G1069" s="166"/>
      <c r="H1069" s="151">
        <v>1</v>
      </c>
      <c r="I1069" s="160">
        <v>200</v>
      </c>
      <c r="J1069" s="159">
        <v>200</v>
      </c>
      <c r="K1069" s="161">
        <v>200</v>
      </c>
      <c r="L1069" s="159">
        <v>200</v>
      </c>
      <c r="M1069" s="160">
        <v>200</v>
      </c>
      <c r="N1069" s="145">
        <v>200</v>
      </c>
      <c r="O1069" s="156" t="s">
        <v>135</v>
      </c>
      <c r="P1069" s="144" t="s">
        <v>2468</v>
      </c>
      <c r="Q1069" s="147"/>
      <c r="R1069" s="146"/>
      <c r="S1069" s="157"/>
      <c r="T1069" s="144" t="s">
        <v>29</v>
      </c>
      <c r="U1069" s="150" t="s">
        <v>20</v>
      </c>
      <c r="V1069" s="146">
        <v>2704</v>
      </c>
      <c r="W1069" s="148" t="s">
        <v>4334</v>
      </c>
      <c r="X1069" s="149">
        <v>45689</v>
      </c>
      <c r="Y1069" s="165" t="s">
        <v>2500</v>
      </c>
    </row>
    <row r="1070" spans="1:25">
      <c r="A1070" s="163" t="s">
        <v>309</v>
      </c>
      <c r="B1070" s="144" t="s">
        <v>163</v>
      </c>
      <c r="C1070" s="164" t="s">
        <v>4335</v>
      </c>
      <c r="D1070" s="144" t="s">
        <v>4336</v>
      </c>
      <c r="E1070" s="150" t="s">
        <v>2639</v>
      </c>
      <c r="F1070" s="144" t="s">
        <v>3104</v>
      </c>
      <c r="G1070" s="166"/>
      <c r="H1070" s="151">
        <v>1</v>
      </c>
      <c r="I1070" s="160"/>
      <c r="J1070" s="159">
        <v>30.9</v>
      </c>
      <c r="K1070" s="161"/>
      <c r="L1070" s="159">
        <v>30.9</v>
      </c>
      <c r="M1070" s="160">
        <v>30.9</v>
      </c>
      <c r="N1070" s="145"/>
      <c r="O1070" s="156" t="s">
        <v>166</v>
      </c>
      <c r="P1070" s="144" t="s">
        <v>2480</v>
      </c>
      <c r="Q1070" s="147"/>
      <c r="R1070" s="146">
        <v>2035</v>
      </c>
      <c r="S1070" s="157"/>
      <c r="T1070" s="144" t="s">
        <v>25</v>
      </c>
      <c r="U1070" s="150" t="s">
        <v>19</v>
      </c>
      <c r="V1070" s="146">
        <v>1160</v>
      </c>
      <c r="W1070" s="148"/>
      <c r="X1070" s="149">
        <v>45778</v>
      </c>
      <c r="Y1070" s="165" t="s">
        <v>3678</v>
      </c>
    </row>
    <row r="1071" spans="1:25">
      <c r="A1071" s="163" t="s">
        <v>309</v>
      </c>
      <c r="B1071" s="144" t="s">
        <v>163</v>
      </c>
      <c r="C1071" s="164" t="s">
        <v>4335</v>
      </c>
      <c r="D1071" s="144" t="s">
        <v>4336</v>
      </c>
      <c r="E1071" s="150" t="s">
        <v>2639</v>
      </c>
      <c r="F1071" s="144" t="s">
        <v>3104</v>
      </c>
      <c r="G1071" s="166"/>
      <c r="H1071" s="151">
        <v>1</v>
      </c>
      <c r="I1071" s="160"/>
      <c r="J1071" s="159">
        <v>36.9</v>
      </c>
      <c r="K1071" s="161"/>
      <c r="L1071" s="159">
        <v>36.9</v>
      </c>
      <c r="M1071" s="160">
        <v>36.9</v>
      </c>
      <c r="N1071" s="145"/>
      <c r="O1071" s="156" t="s">
        <v>166</v>
      </c>
      <c r="P1071" s="144" t="s">
        <v>2480</v>
      </c>
      <c r="Q1071" s="147"/>
      <c r="R1071" s="146">
        <v>2035</v>
      </c>
      <c r="S1071" s="157"/>
      <c r="T1071" s="144" t="s">
        <v>25</v>
      </c>
      <c r="U1071" s="150" t="s">
        <v>19</v>
      </c>
      <c r="V1071" s="146">
        <v>1160</v>
      </c>
      <c r="W1071" s="148"/>
      <c r="X1071" s="149">
        <v>45778</v>
      </c>
      <c r="Y1071" s="165" t="s">
        <v>3678</v>
      </c>
    </row>
    <row r="1072" spans="1:25">
      <c r="A1072" s="163" t="s">
        <v>380</v>
      </c>
      <c r="B1072" s="144" t="s">
        <v>2463</v>
      </c>
      <c r="C1072" s="164" t="s">
        <v>4337</v>
      </c>
      <c r="D1072" s="144" t="s">
        <v>4338</v>
      </c>
      <c r="E1072" s="150" t="s">
        <v>2466</v>
      </c>
      <c r="F1072" s="144" t="s">
        <v>2467</v>
      </c>
      <c r="G1072" s="166"/>
      <c r="H1072" s="151">
        <v>1</v>
      </c>
      <c r="I1072" s="160">
        <v>100</v>
      </c>
      <c r="J1072" s="159">
        <v>100</v>
      </c>
      <c r="K1072" s="161">
        <v>100</v>
      </c>
      <c r="L1072" s="159">
        <v>100</v>
      </c>
      <c r="M1072" s="160">
        <v>100</v>
      </c>
      <c r="N1072" s="145">
        <v>100</v>
      </c>
      <c r="O1072" s="156" t="s">
        <v>135</v>
      </c>
      <c r="P1072" s="144" t="s">
        <v>2468</v>
      </c>
      <c r="Q1072" s="147"/>
      <c r="R1072" s="146"/>
      <c r="S1072" s="157"/>
      <c r="T1072" s="144" t="s">
        <v>29</v>
      </c>
      <c r="U1072" s="150" t="s">
        <v>20</v>
      </c>
      <c r="V1072" s="146">
        <v>2419</v>
      </c>
      <c r="W1072" s="148"/>
      <c r="X1072" s="149">
        <v>45901</v>
      </c>
      <c r="Y1072" s="165" t="s">
        <v>3795</v>
      </c>
    </row>
    <row r="1073" spans="1:25">
      <c r="A1073" s="163" t="s">
        <v>309</v>
      </c>
      <c r="B1073" s="144" t="s">
        <v>2463</v>
      </c>
      <c r="C1073" s="164" t="s">
        <v>4339</v>
      </c>
      <c r="D1073" s="144" t="s">
        <v>4340</v>
      </c>
      <c r="E1073" s="150" t="s">
        <v>2491</v>
      </c>
      <c r="F1073" s="144" t="s">
        <v>2477</v>
      </c>
      <c r="G1073" s="166"/>
      <c r="H1073" s="151">
        <v>28</v>
      </c>
      <c r="I1073" s="160">
        <v>2.86</v>
      </c>
      <c r="J1073" s="159">
        <v>2.86</v>
      </c>
      <c r="K1073" s="161">
        <v>80</v>
      </c>
      <c r="L1073" s="159">
        <v>80</v>
      </c>
      <c r="M1073" s="160">
        <v>80</v>
      </c>
      <c r="N1073" s="145"/>
      <c r="O1073" s="156" t="s">
        <v>135</v>
      </c>
      <c r="P1073" s="144" t="s">
        <v>2478</v>
      </c>
      <c r="Q1073" s="147">
        <v>47119</v>
      </c>
      <c r="R1073" s="146"/>
      <c r="S1073" s="157"/>
      <c r="T1073" s="144" t="s">
        <v>29</v>
      </c>
      <c r="U1073" s="150" t="s">
        <v>2479</v>
      </c>
      <c r="V1073" s="146">
        <v>2728</v>
      </c>
      <c r="W1073" s="148" t="s">
        <v>4341</v>
      </c>
      <c r="X1073" s="149">
        <v>45689</v>
      </c>
      <c r="Y1073" s="165" t="s">
        <v>2474</v>
      </c>
    </row>
    <row r="1074" spans="1:25">
      <c r="A1074" s="163" t="s">
        <v>309</v>
      </c>
      <c r="B1074" s="144" t="s">
        <v>2463</v>
      </c>
      <c r="C1074" s="164" t="s">
        <v>4342</v>
      </c>
      <c r="D1074" s="144" t="s">
        <v>4343</v>
      </c>
      <c r="E1074" s="150" t="s">
        <v>2466</v>
      </c>
      <c r="F1074" s="144" t="s">
        <v>2467</v>
      </c>
      <c r="G1074" s="166"/>
      <c r="H1074" s="151">
        <v>1</v>
      </c>
      <c r="I1074" s="160">
        <v>200</v>
      </c>
      <c r="J1074" s="159">
        <v>200</v>
      </c>
      <c r="K1074" s="161">
        <v>200</v>
      </c>
      <c r="L1074" s="159">
        <v>200</v>
      </c>
      <c r="M1074" s="160">
        <v>200</v>
      </c>
      <c r="N1074" s="145">
        <v>800</v>
      </c>
      <c r="O1074" s="156" t="s">
        <v>135</v>
      </c>
      <c r="P1074" s="144" t="s">
        <v>2468</v>
      </c>
      <c r="Q1074" s="147"/>
      <c r="R1074" s="146"/>
      <c r="S1074" s="157"/>
      <c r="T1074" s="144" t="s">
        <v>29</v>
      </c>
      <c r="U1074" s="150" t="s">
        <v>20</v>
      </c>
      <c r="V1074" s="146">
        <v>2806</v>
      </c>
      <c r="W1074" s="148"/>
      <c r="X1074" s="149"/>
      <c r="Y1074" s="165" t="s">
        <v>2541</v>
      </c>
    </row>
    <row r="1075" spans="1:25">
      <c r="A1075" s="163" t="s">
        <v>309</v>
      </c>
      <c r="B1075" s="144" t="s">
        <v>2463</v>
      </c>
      <c r="C1075" s="164" t="s">
        <v>4344</v>
      </c>
      <c r="D1075" s="144" t="s">
        <v>4345</v>
      </c>
      <c r="E1075" s="150" t="s">
        <v>2466</v>
      </c>
      <c r="F1075" s="144" t="s">
        <v>2467</v>
      </c>
      <c r="G1075" s="166"/>
      <c r="H1075" s="151">
        <v>1</v>
      </c>
      <c r="I1075" s="160">
        <v>200</v>
      </c>
      <c r="J1075" s="159">
        <v>200</v>
      </c>
      <c r="K1075" s="161">
        <v>200</v>
      </c>
      <c r="L1075" s="159">
        <v>200</v>
      </c>
      <c r="M1075" s="160">
        <v>200</v>
      </c>
      <c r="N1075" s="145">
        <v>0</v>
      </c>
      <c r="O1075" s="156" t="s">
        <v>135</v>
      </c>
      <c r="P1075" s="144" t="s">
        <v>2468</v>
      </c>
      <c r="Q1075" s="147"/>
      <c r="R1075" s="146"/>
      <c r="S1075" s="157"/>
      <c r="T1075" s="144" t="s">
        <v>29</v>
      </c>
      <c r="U1075" s="150" t="s">
        <v>20</v>
      </c>
      <c r="V1075" s="146">
        <v>2836</v>
      </c>
      <c r="W1075" s="148" t="s">
        <v>4346</v>
      </c>
      <c r="X1075" s="149">
        <v>45901</v>
      </c>
      <c r="Y1075" s="165" t="s">
        <v>3003</v>
      </c>
    </row>
    <row r="1076" spans="1:25">
      <c r="A1076" s="163" t="s">
        <v>565</v>
      </c>
      <c r="B1076" s="144" t="s">
        <v>163</v>
      </c>
      <c r="C1076" s="164" t="s">
        <v>4347</v>
      </c>
      <c r="D1076" s="144" t="s">
        <v>1137</v>
      </c>
      <c r="E1076" s="150" t="s">
        <v>2593</v>
      </c>
      <c r="F1076" s="144" t="s">
        <v>2482</v>
      </c>
      <c r="G1076" s="166" t="s">
        <v>4348</v>
      </c>
      <c r="H1076" s="151">
        <v>2</v>
      </c>
      <c r="I1076" s="160">
        <v>50</v>
      </c>
      <c r="J1076" s="159">
        <v>50</v>
      </c>
      <c r="K1076" s="161">
        <v>100</v>
      </c>
      <c r="L1076" s="159">
        <v>100</v>
      </c>
      <c r="M1076" s="160">
        <v>100</v>
      </c>
      <c r="N1076" s="145"/>
      <c r="O1076" s="156" t="s">
        <v>166</v>
      </c>
      <c r="P1076" s="144" t="s">
        <v>2468</v>
      </c>
      <c r="Q1076" s="147"/>
      <c r="R1076" s="146">
        <v>2100</v>
      </c>
      <c r="S1076" s="157"/>
      <c r="T1076" s="144" t="s">
        <v>25</v>
      </c>
      <c r="U1076" s="150" t="s">
        <v>18</v>
      </c>
      <c r="V1076" s="146">
        <v>1162</v>
      </c>
      <c r="W1076" s="148"/>
      <c r="X1076" s="149">
        <v>45689</v>
      </c>
      <c r="Y1076" s="165" t="s">
        <v>2541</v>
      </c>
    </row>
    <row r="1077" spans="1:25">
      <c r="A1077" s="163" t="s">
        <v>565</v>
      </c>
      <c r="B1077" s="144" t="s">
        <v>163</v>
      </c>
      <c r="C1077" s="164" t="s">
        <v>4347</v>
      </c>
      <c r="D1077" s="144" t="s">
        <v>1137</v>
      </c>
      <c r="E1077" s="150" t="s">
        <v>2593</v>
      </c>
      <c r="F1077" s="144" t="s">
        <v>2482</v>
      </c>
      <c r="G1077" s="166" t="s">
        <v>4349</v>
      </c>
      <c r="H1077" s="151">
        <v>4</v>
      </c>
      <c r="I1077" s="160">
        <v>50</v>
      </c>
      <c r="J1077" s="159">
        <v>50</v>
      </c>
      <c r="K1077" s="161">
        <v>200</v>
      </c>
      <c r="L1077" s="159">
        <v>200</v>
      </c>
      <c r="M1077" s="160">
        <v>200</v>
      </c>
      <c r="N1077" s="145"/>
      <c r="O1077" s="156" t="s">
        <v>166</v>
      </c>
      <c r="P1077" s="144" t="s">
        <v>2468</v>
      </c>
      <c r="Q1077" s="147"/>
      <c r="R1077" s="146">
        <v>2100</v>
      </c>
      <c r="S1077" s="157"/>
      <c r="T1077" s="144" t="s">
        <v>25</v>
      </c>
      <c r="U1077" s="150" t="s">
        <v>18</v>
      </c>
      <c r="V1077" s="146">
        <v>1162</v>
      </c>
      <c r="W1077" s="148"/>
      <c r="X1077" s="149">
        <v>45689</v>
      </c>
      <c r="Y1077" s="165" t="s">
        <v>2541</v>
      </c>
    </row>
    <row r="1078" spans="1:25">
      <c r="A1078" s="163" t="s">
        <v>380</v>
      </c>
      <c r="B1078" s="144" t="s">
        <v>163</v>
      </c>
      <c r="C1078" s="164" t="s">
        <v>1327</v>
      </c>
      <c r="D1078" s="144" t="s">
        <v>1328</v>
      </c>
      <c r="E1078" s="150" t="s">
        <v>2476</v>
      </c>
      <c r="F1078" s="144" t="s">
        <v>2477</v>
      </c>
      <c r="G1078" s="166" t="s">
        <v>4350</v>
      </c>
      <c r="H1078" s="151">
        <v>36</v>
      </c>
      <c r="I1078" s="160"/>
      <c r="J1078" s="159">
        <v>2.75</v>
      </c>
      <c r="K1078" s="161"/>
      <c r="L1078" s="159">
        <v>99</v>
      </c>
      <c r="M1078" s="160">
        <v>99</v>
      </c>
      <c r="N1078" s="145"/>
      <c r="O1078" s="156" t="s">
        <v>166</v>
      </c>
      <c r="P1078" s="144" t="s">
        <v>2478</v>
      </c>
      <c r="Q1078" s="147">
        <v>44927</v>
      </c>
      <c r="R1078" s="146">
        <v>2047</v>
      </c>
      <c r="S1078" s="157"/>
      <c r="T1078" s="144" t="s">
        <v>25</v>
      </c>
      <c r="U1078" s="150" t="s">
        <v>2479</v>
      </c>
      <c r="V1078" s="146">
        <v>1392</v>
      </c>
      <c r="W1078" s="148" t="s">
        <v>4351</v>
      </c>
      <c r="X1078" s="149">
        <v>45689</v>
      </c>
      <c r="Y1078" s="165" t="s">
        <v>2538</v>
      </c>
    </row>
    <row r="1079" spans="1:25">
      <c r="A1079" s="163" t="s">
        <v>380</v>
      </c>
      <c r="B1079" s="144" t="s">
        <v>163</v>
      </c>
      <c r="C1079" s="164" t="s">
        <v>1448</v>
      </c>
      <c r="D1079" s="144" t="s">
        <v>1328</v>
      </c>
      <c r="E1079" s="150" t="s">
        <v>2485</v>
      </c>
      <c r="F1079" s="144" t="s">
        <v>2486</v>
      </c>
      <c r="G1079" s="166" t="s">
        <v>4352</v>
      </c>
      <c r="H1079" s="151">
        <v>50</v>
      </c>
      <c r="I1079" s="160"/>
      <c r="J1079" s="159">
        <v>4.0199999999999996</v>
      </c>
      <c r="K1079" s="161"/>
      <c r="L1079" s="159">
        <v>201</v>
      </c>
      <c r="M1079" s="160">
        <v>201</v>
      </c>
      <c r="N1079" s="145"/>
      <c r="O1079" s="156" t="s">
        <v>166</v>
      </c>
      <c r="P1079" s="144" t="s">
        <v>2478</v>
      </c>
      <c r="Q1079" s="147"/>
      <c r="R1079" s="146">
        <v>2052</v>
      </c>
      <c r="S1079" s="157"/>
      <c r="T1079" s="144" t="s">
        <v>25</v>
      </c>
      <c r="U1079" s="150" t="s">
        <v>17</v>
      </c>
      <c r="V1079" s="146">
        <v>1375</v>
      </c>
      <c r="W1079" s="148"/>
      <c r="X1079" s="149">
        <v>45689</v>
      </c>
      <c r="Y1079" s="165" t="s">
        <v>2538</v>
      </c>
    </row>
    <row r="1080" spans="1:25">
      <c r="A1080" s="163" t="s">
        <v>380</v>
      </c>
      <c r="B1080" s="144" t="s">
        <v>2463</v>
      </c>
      <c r="C1080" s="164" t="s">
        <v>4353</v>
      </c>
      <c r="D1080" s="144" t="s">
        <v>540</v>
      </c>
      <c r="E1080" s="150" t="s">
        <v>2476</v>
      </c>
      <c r="F1080" s="144" t="s">
        <v>2477</v>
      </c>
      <c r="G1080" s="166"/>
      <c r="H1080" s="151">
        <v>1</v>
      </c>
      <c r="I1080" s="160">
        <v>300</v>
      </c>
      <c r="J1080" s="159">
        <v>300</v>
      </c>
      <c r="K1080" s="161">
        <v>300</v>
      </c>
      <c r="L1080" s="159">
        <v>300</v>
      </c>
      <c r="M1080" s="160">
        <v>300</v>
      </c>
      <c r="N1080" s="145"/>
      <c r="O1080" s="156" t="s">
        <v>135</v>
      </c>
      <c r="P1080" s="144" t="s">
        <v>2478</v>
      </c>
      <c r="Q1080" s="147"/>
      <c r="R1080" s="146"/>
      <c r="S1080" s="157"/>
      <c r="T1080" s="144" t="s">
        <v>29</v>
      </c>
      <c r="U1080" s="150" t="s">
        <v>2479</v>
      </c>
      <c r="V1080" s="146">
        <v>2839</v>
      </c>
      <c r="W1080" s="148" t="s">
        <v>4354</v>
      </c>
      <c r="X1080" s="149">
        <v>45778</v>
      </c>
      <c r="Y1080" s="165"/>
    </row>
    <row r="1081" spans="1:25">
      <c r="A1081" s="163" t="s">
        <v>7</v>
      </c>
      <c r="B1081" s="144" t="s">
        <v>2463</v>
      </c>
      <c r="C1081" s="164" t="s">
        <v>4355</v>
      </c>
      <c r="D1081" s="144" t="s">
        <v>4356</v>
      </c>
      <c r="E1081" s="150" t="s">
        <v>2467</v>
      </c>
      <c r="F1081" s="144" t="s">
        <v>2467</v>
      </c>
      <c r="G1081" s="166"/>
      <c r="H1081" s="151">
        <v>1</v>
      </c>
      <c r="I1081" s="160">
        <v>660</v>
      </c>
      <c r="J1081" s="159">
        <v>660</v>
      </c>
      <c r="K1081" s="161">
        <v>660</v>
      </c>
      <c r="L1081" s="159">
        <v>660</v>
      </c>
      <c r="M1081" s="160">
        <v>660</v>
      </c>
      <c r="N1081" s="145"/>
      <c r="O1081" s="156" t="s">
        <v>135</v>
      </c>
      <c r="P1081" s="144" t="s">
        <v>2468</v>
      </c>
      <c r="Q1081" s="147"/>
      <c r="R1081" s="146"/>
      <c r="S1081" s="157"/>
      <c r="T1081" s="144" t="s">
        <v>29</v>
      </c>
      <c r="U1081" s="150" t="s">
        <v>21</v>
      </c>
      <c r="V1081" s="146">
        <v>2180</v>
      </c>
      <c r="W1081" s="148" t="s">
        <v>4357</v>
      </c>
      <c r="X1081" s="149">
        <v>45901</v>
      </c>
      <c r="Y1081" s="165" t="s">
        <v>4083</v>
      </c>
    </row>
    <row r="1082" spans="1:25">
      <c r="A1082" s="163" t="s">
        <v>565</v>
      </c>
      <c r="B1082" s="144" t="s">
        <v>2463</v>
      </c>
      <c r="C1082" s="164" t="s">
        <v>772</v>
      </c>
      <c r="D1082" s="144" t="s">
        <v>773</v>
      </c>
      <c r="E1082" s="150" t="s">
        <v>2485</v>
      </c>
      <c r="F1082" s="144" t="s">
        <v>2486</v>
      </c>
      <c r="G1082" s="166"/>
      <c r="H1082" s="151">
        <v>5</v>
      </c>
      <c r="I1082" s="160"/>
      <c r="J1082" s="159">
        <v>4.2</v>
      </c>
      <c r="K1082" s="161"/>
      <c r="L1082" s="159">
        <v>21</v>
      </c>
      <c r="M1082" s="160">
        <v>21</v>
      </c>
      <c r="N1082" s="145"/>
      <c r="O1082" s="156" t="s">
        <v>28</v>
      </c>
      <c r="P1082" s="144" t="s">
        <v>2478</v>
      </c>
      <c r="Q1082" s="147">
        <v>46905</v>
      </c>
      <c r="R1082" s="146">
        <v>2058</v>
      </c>
      <c r="S1082" s="157"/>
      <c r="T1082" s="144" t="s">
        <v>28</v>
      </c>
      <c r="U1082" s="150" t="s">
        <v>17</v>
      </c>
      <c r="V1082" s="146">
        <v>2227</v>
      </c>
      <c r="W1082" s="148" t="s">
        <v>4358</v>
      </c>
      <c r="X1082" s="149">
        <v>45901</v>
      </c>
      <c r="Y1082" s="165" t="s">
        <v>2712</v>
      </c>
    </row>
    <row r="1083" spans="1:25" ht="20.6">
      <c r="A1083" s="163" t="s">
        <v>380</v>
      </c>
      <c r="B1083" s="144" t="s">
        <v>163</v>
      </c>
      <c r="C1083" s="164" t="s">
        <v>1114</v>
      </c>
      <c r="D1083" s="144" t="s">
        <v>1045</v>
      </c>
      <c r="E1083" s="150" t="s">
        <v>2555</v>
      </c>
      <c r="F1083" s="144" t="s">
        <v>2502</v>
      </c>
      <c r="G1083" s="166" t="s">
        <v>1115</v>
      </c>
      <c r="H1083" s="151">
        <v>2</v>
      </c>
      <c r="I1083" s="160"/>
      <c r="J1083" s="159">
        <v>25</v>
      </c>
      <c r="K1083" s="161"/>
      <c r="L1083" s="159">
        <v>50</v>
      </c>
      <c r="M1083" s="160">
        <v>50</v>
      </c>
      <c r="N1083" s="145"/>
      <c r="O1083" s="156" t="s">
        <v>3313</v>
      </c>
      <c r="P1083" s="144" t="s">
        <v>2468</v>
      </c>
      <c r="Q1083" s="147"/>
      <c r="R1083" s="146">
        <v>2028</v>
      </c>
      <c r="S1083" s="157">
        <v>46753</v>
      </c>
      <c r="T1083" s="144" t="s">
        <v>24</v>
      </c>
      <c r="U1083" s="150" t="s">
        <v>14</v>
      </c>
      <c r="V1083" s="146">
        <v>1163</v>
      </c>
      <c r="W1083" s="148"/>
      <c r="X1083" s="149">
        <v>45689</v>
      </c>
      <c r="Y1083" s="165" t="s">
        <v>2740</v>
      </c>
    </row>
    <row r="1084" spans="1:25" ht="20.6">
      <c r="A1084" s="163" t="s">
        <v>380</v>
      </c>
      <c r="B1084" s="144" t="s">
        <v>163</v>
      </c>
      <c r="C1084" s="164" t="s">
        <v>1114</v>
      </c>
      <c r="D1084" s="144" t="s">
        <v>1045</v>
      </c>
      <c r="E1084" s="150" t="s">
        <v>2555</v>
      </c>
      <c r="F1084" s="144" t="s">
        <v>2502</v>
      </c>
      <c r="G1084" s="166" t="s">
        <v>1117</v>
      </c>
      <c r="H1084" s="151">
        <v>1</v>
      </c>
      <c r="I1084" s="160"/>
      <c r="J1084" s="159">
        <v>23.5</v>
      </c>
      <c r="K1084" s="161"/>
      <c r="L1084" s="159">
        <v>23.5</v>
      </c>
      <c r="M1084" s="160">
        <v>23.5</v>
      </c>
      <c r="N1084" s="145"/>
      <c r="O1084" s="156" t="s">
        <v>3313</v>
      </c>
      <c r="P1084" s="144" t="s">
        <v>2468</v>
      </c>
      <c r="Q1084" s="147"/>
      <c r="R1084" s="146">
        <v>2028</v>
      </c>
      <c r="S1084" s="157">
        <v>46753</v>
      </c>
      <c r="T1084" s="144" t="s">
        <v>24</v>
      </c>
      <c r="U1084" s="150" t="s">
        <v>14</v>
      </c>
      <c r="V1084" s="146">
        <v>1163</v>
      </c>
      <c r="W1084" s="148"/>
      <c r="X1084" s="149">
        <v>45689</v>
      </c>
      <c r="Y1084" s="165" t="s">
        <v>2740</v>
      </c>
    </row>
    <row r="1085" spans="1:25">
      <c r="A1085" s="163" t="s">
        <v>380</v>
      </c>
      <c r="B1085" s="144" t="s">
        <v>2463</v>
      </c>
      <c r="C1085" s="164" t="s">
        <v>4359</v>
      </c>
      <c r="D1085" s="144" t="s">
        <v>4360</v>
      </c>
      <c r="E1085" s="150" t="s">
        <v>2466</v>
      </c>
      <c r="F1085" s="144" t="s">
        <v>2467</v>
      </c>
      <c r="G1085" s="166"/>
      <c r="H1085" s="151">
        <v>1</v>
      </c>
      <c r="I1085" s="160"/>
      <c r="J1085" s="159">
        <v>286</v>
      </c>
      <c r="K1085" s="161"/>
      <c r="L1085" s="159">
        <v>286</v>
      </c>
      <c r="M1085" s="160">
        <v>286</v>
      </c>
      <c r="N1085" s="145">
        <v>1144</v>
      </c>
      <c r="O1085" s="156" t="s">
        <v>135</v>
      </c>
      <c r="P1085" s="144" t="s">
        <v>2468</v>
      </c>
      <c r="Q1085" s="147"/>
      <c r="R1085" s="146"/>
      <c r="S1085" s="157"/>
      <c r="T1085" s="144" t="s">
        <v>29</v>
      </c>
      <c r="U1085" s="150" t="s">
        <v>20</v>
      </c>
      <c r="V1085" s="146">
        <v>2999</v>
      </c>
      <c r="W1085" s="148" t="s">
        <v>4361</v>
      </c>
      <c r="X1085" s="149">
        <v>45901</v>
      </c>
      <c r="Y1085" s="165" t="s">
        <v>3620</v>
      </c>
    </row>
    <row r="1086" spans="1:25">
      <c r="A1086" s="163" t="s">
        <v>380</v>
      </c>
      <c r="B1086" s="144" t="s">
        <v>2463</v>
      </c>
      <c r="C1086" s="164" t="s">
        <v>4362</v>
      </c>
      <c r="D1086" s="144" t="s">
        <v>4363</v>
      </c>
      <c r="E1086" s="150" t="s">
        <v>2476</v>
      </c>
      <c r="F1086" s="144" t="s">
        <v>2477</v>
      </c>
      <c r="G1086" s="166"/>
      <c r="H1086" s="151">
        <v>1</v>
      </c>
      <c r="I1086" s="160">
        <v>300</v>
      </c>
      <c r="J1086" s="159">
        <v>300</v>
      </c>
      <c r="K1086" s="161">
        <v>300</v>
      </c>
      <c r="L1086" s="159">
        <v>300</v>
      </c>
      <c r="M1086" s="160">
        <v>300</v>
      </c>
      <c r="N1086" s="145"/>
      <c r="O1086" s="156" t="s">
        <v>135</v>
      </c>
      <c r="P1086" s="144" t="s">
        <v>2478</v>
      </c>
      <c r="Q1086" s="147"/>
      <c r="R1086" s="146"/>
      <c r="S1086" s="157"/>
      <c r="T1086" s="144" t="s">
        <v>29</v>
      </c>
      <c r="U1086" s="150" t="s">
        <v>2479</v>
      </c>
      <c r="V1086" s="146">
        <v>2309</v>
      </c>
      <c r="W1086" s="148" t="s">
        <v>4364</v>
      </c>
      <c r="X1086" s="149">
        <v>45901</v>
      </c>
      <c r="Y1086" s="165" t="s">
        <v>4083</v>
      </c>
    </row>
    <row r="1087" spans="1:25">
      <c r="A1087" s="163" t="s">
        <v>380</v>
      </c>
      <c r="B1087" s="144" t="s">
        <v>163</v>
      </c>
      <c r="C1087" s="164" t="s">
        <v>4365</v>
      </c>
      <c r="D1087" s="144" t="s">
        <v>218</v>
      </c>
      <c r="E1087" s="150" t="s">
        <v>2501</v>
      </c>
      <c r="F1087" s="144" t="s">
        <v>2502</v>
      </c>
      <c r="G1087" s="166" t="s">
        <v>4366</v>
      </c>
      <c r="H1087" s="151">
        <v>36</v>
      </c>
      <c r="I1087" s="160"/>
      <c r="J1087" s="159">
        <v>1.57</v>
      </c>
      <c r="K1087" s="161"/>
      <c r="L1087" s="159">
        <v>56.52</v>
      </c>
      <c r="M1087" s="160">
        <v>56.52</v>
      </c>
      <c r="N1087" s="145"/>
      <c r="O1087" s="156" t="s">
        <v>166</v>
      </c>
      <c r="P1087" s="144" t="s">
        <v>2468</v>
      </c>
      <c r="Q1087" s="147"/>
      <c r="R1087" s="146">
        <v>2070</v>
      </c>
      <c r="S1087" s="157"/>
      <c r="T1087" s="144" t="s">
        <v>25</v>
      </c>
      <c r="U1087" s="150" t="s">
        <v>21</v>
      </c>
      <c r="V1087" s="146">
        <v>1391</v>
      </c>
      <c r="W1087" s="148"/>
      <c r="X1087" s="149">
        <v>45689</v>
      </c>
      <c r="Y1087" s="165" t="s">
        <v>2500</v>
      </c>
    </row>
    <row r="1088" spans="1:25">
      <c r="A1088" s="163" t="s">
        <v>423</v>
      </c>
      <c r="B1088" s="144" t="s">
        <v>2463</v>
      </c>
      <c r="C1088" s="164" t="s">
        <v>4367</v>
      </c>
      <c r="D1088" s="144" t="s">
        <v>4368</v>
      </c>
      <c r="E1088" s="150" t="s">
        <v>2466</v>
      </c>
      <c r="F1088" s="144" t="s">
        <v>2467</v>
      </c>
      <c r="G1088" s="166"/>
      <c r="H1088" s="151">
        <v>1</v>
      </c>
      <c r="I1088" s="160"/>
      <c r="J1088" s="159">
        <v>0</v>
      </c>
      <c r="K1088" s="161"/>
      <c r="L1088" s="159">
        <v>0</v>
      </c>
      <c r="M1088" s="160" t="s">
        <v>3040</v>
      </c>
      <c r="N1088" s="145">
        <v>0</v>
      </c>
      <c r="O1088" s="156" t="s">
        <v>135</v>
      </c>
      <c r="P1088" s="144" t="s">
        <v>2468</v>
      </c>
      <c r="Q1088" s="147"/>
      <c r="R1088" s="146"/>
      <c r="S1088" s="157"/>
      <c r="T1088" s="144" t="s">
        <v>29</v>
      </c>
      <c r="U1088" s="150" t="s">
        <v>20</v>
      </c>
      <c r="V1088" s="146">
        <v>2710</v>
      </c>
      <c r="W1088" s="148" t="s">
        <v>4369</v>
      </c>
      <c r="X1088" s="149">
        <v>45901</v>
      </c>
      <c r="Y1088" s="165" t="s">
        <v>4002</v>
      </c>
    </row>
    <row r="1089" spans="1:25">
      <c r="A1089" s="163" t="s">
        <v>423</v>
      </c>
      <c r="B1089" s="144" t="s">
        <v>163</v>
      </c>
      <c r="C1089" s="164" t="s">
        <v>4370</v>
      </c>
      <c r="D1089" s="144" t="s">
        <v>4371</v>
      </c>
      <c r="E1089" s="150" t="s">
        <v>2485</v>
      </c>
      <c r="F1089" s="144" t="s">
        <v>2486</v>
      </c>
      <c r="G1089" s="166" t="s">
        <v>4372</v>
      </c>
      <c r="H1089" s="151">
        <v>74</v>
      </c>
      <c r="I1089" s="160"/>
      <c r="J1089" s="159">
        <v>2.0499999999999998</v>
      </c>
      <c r="K1089" s="161"/>
      <c r="L1089" s="159">
        <v>151.69999999999999</v>
      </c>
      <c r="M1089" s="160">
        <v>151.69999999999999</v>
      </c>
      <c r="N1089" s="145"/>
      <c r="O1089" s="156" t="s">
        <v>166</v>
      </c>
      <c r="P1089" s="144" t="s">
        <v>2480</v>
      </c>
      <c r="Q1089" s="147"/>
      <c r="R1089" s="146">
        <v>2040</v>
      </c>
      <c r="S1089" s="157"/>
      <c r="T1089" s="144" t="s">
        <v>25</v>
      </c>
      <c r="U1089" s="150" t="s">
        <v>17</v>
      </c>
      <c r="V1089" s="146">
        <v>1165</v>
      </c>
      <c r="W1089" s="148"/>
      <c r="X1089" s="149">
        <v>45901</v>
      </c>
      <c r="Y1089" s="165" t="s">
        <v>2660</v>
      </c>
    </row>
    <row r="1090" spans="1:25">
      <c r="A1090" s="163" t="s">
        <v>423</v>
      </c>
      <c r="B1090" s="144" t="s">
        <v>2463</v>
      </c>
      <c r="C1090" s="164" t="s">
        <v>4373</v>
      </c>
      <c r="D1090" s="144" t="s">
        <v>4374</v>
      </c>
      <c r="E1090" s="150" t="s">
        <v>2485</v>
      </c>
      <c r="F1090" s="144" t="s">
        <v>2486</v>
      </c>
      <c r="G1090" s="166"/>
      <c r="H1090" s="151">
        <v>1</v>
      </c>
      <c r="I1090" s="160">
        <v>495</v>
      </c>
      <c r="J1090" s="159">
        <v>495</v>
      </c>
      <c r="K1090" s="161">
        <v>495</v>
      </c>
      <c r="L1090" s="159">
        <v>495</v>
      </c>
      <c r="M1090" s="160">
        <v>495</v>
      </c>
      <c r="N1090" s="145"/>
      <c r="O1090" s="156" t="s">
        <v>135</v>
      </c>
      <c r="P1090" s="144" t="s">
        <v>2478</v>
      </c>
      <c r="Q1090" s="147"/>
      <c r="R1090" s="146"/>
      <c r="S1090" s="157"/>
      <c r="T1090" s="144" t="s">
        <v>29</v>
      </c>
      <c r="U1090" s="150" t="s">
        <v>17</v>
      </c>
      <c r="V1090" s="146">
        <v>2346</v>
      </c>
      <c r="W1090" s="148" t="s">
        <v>4375</v>
      </c>
      <c r="X1090" s="149">
        <v>45901</v>
      </c>
      <c r="Y1090" s="165" t="s">
        <v>4083</v>
      </c>
    </row>
    <row r="1091" spans="1:25">
      <c r="A1091" s="163" t="s">
        <v>7</v>
      </c>
      <c r="B1091" s="144" t="s">
        <v>2463</v>
      </c>
      <c r="C1091" s="164" t="s">
        <v>4376</v>
      </c>
      <c r="D1091" s="144" t="s">
        <v>4377</v>
      </c>
      <c r="E1091" s="150" t="s">
        <v>2466</v>
      </c>
      <c r="F1091" s="144" t="s">
        <v>2467</v>
      </c>
      <c r="G1091" s="166"/>
      <c r="H1091" s="151">
        <v>255</v>
      </c>
      <c r="I1091" s="160">
        <v>1.96</v>
      </c>
      <c r="J1091" s="159">
        <v>1.96</v>
      </c>
      <c r="K1091" s="161">
        <v>499.8</v>
      </c>
      <c r="L1091" s="159">
        <v>499.8</v>
      </c>
      <c r="M1091" s="160">
        <v>499.8</v>
      </c>
      <c r="N1091" s="145">
        <v>0</v>
      </c>
      <c r="O1091" s="156" t="s">
        <v>135</v>
      </c>
      <c r="P1091" s="144" t="s">
        <v>2468</v>
      </c>
      <c r="Q1091" s="147"/>
      <c r="R1091" s="146"/>
      <c r="S1091" s="157"/>
      <c r="T1091" s="144" t="s">
        <v>29</v>
      </c>
      <c r="U1091" s="150" t="s">
        <v>20</v>
      </c>
      <c r="V1091" s="146">
        <v>2718</v>
      </c>
      <c r="W1091" s="148" t="s">
        <v>4378</v>
      </c>
      <c r="X1091" s="149">
        <v>45901</v>
      </c>
      <c r="Y1091" s="165" t="s">
        <v>2708</v>
      </c>
    </row>
    <row r="1092" spans="1:25">
      <c r="A1092" s="163" t="s">
        <v>7</v>
      </c>
      <c r="B1092" s="144" t="s">
        <v>2463</v>
      </c>
      <c r="C1092" s="164" t="s">
        <v>4379</v>
      </c>
      <c r="D1092" s="144" t="s">
        <v>4377</v>
      </c>
      <c r="E1092" s="150" t="s">
        <v>2476</v>
      </c>
      <c r="F1092" s="144" t="s">
        <v>2477</v>
      </c>
      <c r="G1092" s="166"/>
      <c r="H1092" s="151">
        <v>128</v>
      </c>
      <c r="I1092" s="160">
        <v>2.34</v>
      </c>
      <c r="J1092" s="159">
        <v>2.34</v>
      </c>
      <c r="K1092" s="161">
        <v>299.52</v>
      </c>
      <c r="L1092" s="159">
        <v>299.52</v>
      </c>
      <c r="M1092" s="160">
        <v>299.52</v>
      </c>
      <c r="N1092" s="145"/>
      <c r="O1092" s="156" t="s">
        <v>135</v>
      </c>
      <c r="P1092" s="144" t="s">
        <v>2478</v>
      </c>
      <c r="Q1092" s="147"/>
      <c r="R1092" s="146"/>
      <c r="S1092" s="157"/>
      <c r="T1092" s="144" t="s">
        <v>29</v>
      </c>
      <c r="U1092" s="150" t="s">
        <v>2479</v>
      </c>
      <c r="V1092" s="146">
        <v>2717</v>
      </c>
      <c r="W1092" s="148" t="s">
        <v>4378</v>
      </c>
      <c r="X1092" s="149">
        <v>45901</v>
      </c>
      <c r="Y1092" s="165" t="s">
        <v>2708</v>
      </c>
    </row>
    <row r="1093" spans="1:25">
      <c r="A1093" s="163" t="s">
        <v>7</v>
      </c>
      <c r="B1093" s="144" t="s">
        <v>2463</v>
      </c>
      <c r="C1093" s="164" t="s">
        <v>4380</v>
      </c>
      <c r="D1093" s="144" t="s">
        <v>4377</v>
      </c>
      <c r="E1093" s="150" t="s">
        <v>2485</v>
      </c>
      <c r="F1093" s="144" t="s">
        <v>2486</v>
      </c>
      <c r="G1093" s="166"/>
      <c r="H1093" s="151">
        <v>250</v>
      </c>
      <c r="I1093" s="160">
        <v>5.2</v>
      </c>
      <c r="J1093" s="159">
        <v>5.2</v>
      </c>
      <c r="K1093" s="161">
        <v>1300</v>
      </c>
      <c r="L1093" s="159">
        <v>1300</v>
      </c>
      <c r="M1093" s="160">
        <v>1300</v>
      </c>
      <c r="N1093" s="145"/>
      <c r="O1093" s="156" t="s">
        <v>135</v>
      </c>
      <c r="P1093" s="144" t="s">
        <v>2478</v>
      </c>
      <c r="Q1093" s="147"/>
      <c r="R1093" s="146"/>
      <c r="S1093" s="157"/>
      <c r="T1093" s="144" t="s">
        <v>29</v>
      </c>
      <c r="U1093" s="150" t="s">
        <v>17</v>
      </c>
      <c r="V1093" s="146">
        <v>2716</v>
      </c>
      <c r="W1093" s="148" t="s">
        <v>4378</v>
      </c>
      <c r="X1093" s="149">
        <v>45901</v>
      </c>
      <c r="Y1093" s="165" t="s">
        <v>2708</v>
      </c>
    </row>
    <row r="1094" spans="1:25">
      <c r="A1094" s="163" t="s">
        <v>423</v>
      </c>
      <c r="B1094" s="144" t="s">
        <v>2463</v>
      </c>
      <c r="C1094" s="164" t="s">
        <v>4381</v>
      </c>
      <c r="D1094" s="144" t="s">
        <v>3174</v>
      </c>
      <c r="E1094" s="150" t="s">
        <v>2491</v>
      </c>
      <c r="F1094" s="144" t="s">
        <v>2477</v>
      </c>
      <c r="G1094" s="166"/>
      <c r="H1094" s="151">
        <v>1</v>
      </c>
      <c r="I1094" s="160"/>
      <c r="J1094" s="159">
        <v>250</v>
      </c>
      <c r="K1094" s="161"/>
      <c r="L1094" s="159">
        <v>250</v>
      </c>
      <c r="M1094" s="160">
        <v>250</v>
      </c>
      <c r="N1094" s="145"/>
      <c r="O1094" s="156" t="s">
        <v>135</v>
      </c>
      <c r="P1094" s="144" t="s">
        <v>2478</v>
      </c>
      <c r="Q1094" s="147">
        <v>46661</v>
      </c>
      <c r="R1094" s="146"/>
      <c r="S1094" s="157"/>
      <c r="T1094" s="144" t="s">
        <v>29</v>
      </c>
      <c r="U1094" s="150" t="s">
        <v>2479</v>
      </c>
      <c r="V1094" s="146">
        <v>1569</v>
      </c>
      <c r="W1094" s="148"/>
      <c r="X1094" s="149">
        <v>45689</v>
      </c>
      <c r="Y1094" s="165" t="s">
        <v>2474</v>
      </c>
    </row>
    <row r="1095" spans="1:25">
      <c r="A1095" s="163" t="s">
        <v>309</v>
      </c>
      <c r="B1095" s="144" t="s">
        <v>2463</v>
      </c>
      <c r="C1095" s="164" t="s">
        <v>4382</v>
      </c>
      <c r="D1095" s="144" t="s">
        <v>4383</v>
      </c>
      <c r="E1095" s="150" t="s">
        <v>2485</v>
      </c>
      <c r="F1095" s="144" t="s">
        <v>2486</v>
      </c>
      <c r="G1095" s="166"/>
      <c r="H1095" s="151">
        <v>100</v>
      </c>
      <c r="I1095" s="160">
        <v>7</v>
      </c>
      <c r="J1095" s="159">
        <v>8</v>
      </c>
      <c r="K1095" s="161">
        <v>700</v>
      </c>
      <c r="L1095" s="159">
        <v>800</v>
      </c>
      <c r="M1095" s="160" t="s">
        <v>4384</v>
      </c>
      <c r="N1095" s="145"/>
      <c r="O1095" s="156" t="s">
        <v>135</v>
      </c>
      <c r="P1095" s="144" t="s">
        <v>2478</v>
      </c>
      <c r="Q1095" s="147">
        <v>46722</v>
      </c>
      <c r="R1095" s="146"/>
      <c r="S1095" s="157"/>
      <c r="T1095" s="144" t="s">
        <v>29</v>
      </c>
      <c r="U1095" s="150" t="s">
        <v>17</v>
      </c>
      <c r="V1095" s="146">
        <v>1606</v>
      </c>
      <c r="W1095" s="148"/>
      <c r="X1095" s="149">
        <v>45689</v>
      </c>
      <c r="Y1095" s="165" t="s">
        <v>2470</v>
      </c>
    </row>
    <row r="1096" spans="1:25">
      <c r="A1096" s="163" t="s">
        <v>309</v>
      </c>
      <c r="B1096" s="144" t="s">
        <v>2463</v>
      </c>
      <c r="C1096" s="164" t="s">
        <v>4382</v>
      </c>
      <c r="D1096" s="144" t="s">
        <v>4383</v>
      </c>
      <c r="E1096" s="150" t="s">
        <v>2485</v>
      </c>
      <c r="F1096" s="144" t="s">
        <v>2486</v>
      </c>
      <c r="G1096" s="166"/>
      <c r="H1096" s="151">
        <v>150</v>
      </c>
      <c r="I1096" s="160">
        <v>7</v>
      </c>
      <c r="J1096" s="159">
        <v>8</v>
      </c>
      <c r="K1096" s="161">
        <v>1050</v>
      </c>
      <c r="L1096" s="159">
        <v>1200</v>
      </c>
      <c r="M1096" s="160" t="s">
        <v>4385</v>
      </c>
      <c r="N1096" s="145"/>
      <c r="O1096" s="156" t="s">
        <v>135</v>
      </c>
      <c r="P1096" s="144" t="s">
        <v>2478</v>
      </c>
      <c r="Q1096" s="147">
        <v>46722</v>
      </c>
      <c r="R1096" s="146"/>
      <c r="S1096" s="157"/>
      <c r="T1096" s="144" t="s">
        <v>29</v>
      </c>
      <c r="U1096" s="150" t="s">
        <v>17</v>
      </c>
      <c r="V1096" s="146">
        <v>1606</v>
      </c>
      <c r="W1096" s="148"/>
      <c r="X1096" s="149">
        <v>45689</v>
      </c>
      <c r="Y1096" s="165" t="s">
        <v>2470</v>
      </c>
    </row>
    <row r="1097" spans="1:25">
      <c r="A1097" s="163" t="s">
        <v>7</v>
      </c>
      <c r="B1097" s="144" t="s">
        <v>2463</v>
      </c>
      <c r="C1097" s="164" t="s">
        <v>4386</v>
      </c>
      <c r="D1097" s="144" t="s">
        <v>4387</v>
      </c>
      <c r="E1097" s="150" t="s">
        <v>2466</v>
      </c>
      <c r="F1097" s="144" t="s">
        <v>2467</v>
      </c>
      <c r="G1097" s="166"/>
      <c r="H1097" s="151">
        <v>13</v>
      </c>
      <c r="I1097" s="160">
        <v>6.9</v>
      </c>
      <c r="J1097" s="159">
        <v>6.9</v>
      </c>
      <c r="K1097" s="161">
        <v>89.7</v>
      </c>
      <c r="L1097" s="159">
        <v>89.7</v>
      </c>
      <c r="M1097" s="160">
        <v>89.7</v>
      </c>
      <c r="N1097" s="145">
        <v>0</v>
      </c>
      <c r="O1097" s="156" t="s">
        <v>135</v>
      </c>
      <c r="P1097" s="144" t="s">
        <v>2468</v>
      </c>
      <c r="Q1097" s="147"/>
      <c r="R1097" s="146"/>
      <c r="S1097" s="157"/>
      <c r="T1097" s="144" t="s">
        <v>29</v>
      </c>
      <c r="U1097" s="150" t="s">
        <v>20</v>
      </c>
      <c r="V1097" s="146">
        <v>3055</v>
      </c>
      <c r="W1097" s="148" t="s">
        <v>4388</v>
      </c>
      <c r="X1097" s="149">
        <v>45901</v>
      </c>
      <c r="Y1097" s="165" t="s">
        <v>2683</v>
      </c>
    </row>
    <row r="1098" spans="1:25">
      <c r="A1098" s="163" t="s">
        <v>7</v>
      </c>
      <c r="B1098" s="144" t="s">
        <v>2463</v>
      </c>
      <c r="C1098" s="164" t="s">
        <v>4386</v>
      </c>
      <c r="D1098" s="144" t="s">
        <v>4387</v>
      </c>
      <c r="E1098" s="150" t="s">
        <v>2466</v>
      </c>
      <c r="F1098" s="144" t="s">
        <v>2467</v>
      </c>
      <c r="G1098" s="166"/>
      <c r="H1098" s="151">
        <v>14</v>
      </c>
      <c r="I1098" s="160">
        <v>6.9</v>
      </c>
      <c r="J1098" s="159">
        <v>6.9</v>
      </c>
      <c r="K1098" s="161">
        <v>96.6</v>
      </c>
      <c r="L1098" s="159">
        <v>96.6</v>
      </c>
      <c r="M1098" s="160">
        <v>96.6</v>
      </c>
      <c r="N1098" s="145">
        <v>0</v>
      </c>
      <c r="O1098" s="156" t="s">
        <v>135</v>
      </c>
      <c r="P1098" s="144" t="s">
        <v>2468</v>
      </c>
      <c r="Q1098" s="147"/>
      <c r="R1098" s="146"/>
      <c r="S1098" s="157"/>
      <c r="T1098" s="144" t="s">
        <v>29</v>
      </c>
      <c r="U1098" s="150" t="s">
        <v>20</v>
      </c>
      <c r="V1098" s="146">
        <v>3055</v>
      </c>
      <c r="W1098" s="148" t="s">
        <v>4388</v>
      </c>
      <c r="X1098" s="149">
        <v>45901</v>
      </c>
      <c r="Y1098" s="165" t="s">
        <v>2683</v>
      </c>
    </row>
    <row r="1099" spans="1:25">
      <c r="A1099" s="163" t="s">
        <v>380</v>
      </c>
      <c r="B1099" s="144" t="s">
        <v>2463</v>
      </c>
      <c r="C1099" s="164" t="s">
        <v>4389</v>
      </c>
      <c r="D1099" s="144" t="s">
        <v>4390</v>
      </c>
      <c r="E1099" s="150" t="s">
        <v>2476</v>
      </c>
      <c r="F1099" s="144" t="s">
        <v>2477</v>
      </c>
      <c r="G1099" s="166"/>
      <c r="H1099" s="151">
        <v>1</v>
      </c>
      <c r="I1099" s="160">
        <v>375</v>
      </c>
      <c r="J1099" s="159">
        <v>375</v>
      </c>
      <c r="K1099" s="161">
        <v>375</v>
      </c>
      <c r="L1099" s="159">
        <v>375</v>
      </c>
      <c r="M1099" s="160">
        <v>375</v>
      </c>
      <c r="N1099" s="145"/>
      <c r="O1099" s="156" t="s">
        <v>135</v>
      </c>
      <c r="P1099" s="144" t="s">
        <v>2478</v>
      </c>
      <c r="Q1099" s="147"/>
      <c r="R1099" s="146"/>
      <c r="S1099" s="157"/>
      <c r="T1099" s="144" t="s">
        <v>29</v>
      </c>
      <c r="U1099" s="150" t="s">
        <v>2479</v>
      </c>
      <c r="V1099" s="146">
        <v>2736</v>
      </c>
      <c r="W1099" s="148" t="s">
        <v>4391</v>
      </c>
      <c r="X1099" s="149">
        <v>45901</v>
      </c>
      <c r="Y1099" s="165" t="s">
        <v>2708</v>
      </c>
    </row>
    <row r="1100" spans="1:25">
      <c r="A1100" s="163" t="s">
        <v>380</v>
      </c>
      <c r="B1100" s="144" t="s">
        <v>2463</v>
      </c>
      <c r="C1100" s="164" t="s">
        <v>4392</v>
      </c>
      <c r="D1100" s="144" t="s">
        <v>4390</v>
      </c>
      <c r="E1100" s="150" t="s">
        <v>2466</v>
      </c>
      <c r="F1100" s="144" t="s">
        <v>2467</v>
      </c>
      <c r="G1100" s="166"/>
      <c r="H1100" s="151">
        <v>1</v>
      </c>
      <c r="I1100" s="160">
        <v>125</v>
      </c>
      <c r="J1100" s="159">
        <v>125</v>
      </c>
      <c r="K1100" s="161">
        <v>125</v>
      </c>
      <c r="L1100" s="159">
        <v>125</v>
      </c>
      <c r="M1100" s="160">
        <v>125</v>
      </c>
      <c r="N1100" s="145">
        <v>0</v>
      </c>
      <c r="O1100" s="156" t="s">
        <v>135</v>
      </c>
      <c r="P1100" s="144" t="s">
        <v>2468</v>
      </c>
      <c r="Q1100" s="147"/>
      <c r="R1100" s="146"/>
      <c r="S1100" s="157"/>
      <c r="T1100" s="144" t="s">
        <v>29</v>
      </c>
      <c r="U1100" s="150" t="s">
        <v>20</v>
      </c>
      <c r="V1100" s="146">
        <v>2737</v>
      </c>
      <c r="W1100" s="148" t="s">
        <v>4391</v>
      </c>
      <c r="X1100" s="149">
        <v>45901</v>
      </c>
      <c r="Y1100" s="165" t="s">
        <v>2708</v>
      </c>
    </row>
    <row r="1101" spans="1:25">
      <c r="A1101" s="163" t="s">
        <v>309</v>
      </c>
      <c r="B1101" s="144" t="s">
        <v>2463</v>
      </c>
      <c r="C1101" s="164" t="s">
        <v>4393</v>
      </c>
      <c r="D1101" s="144" t="s">
        <v>4394</v>
      </c>
      <c r="E1101" s="150" t="s">
        <v>2485</v>
      </c>
      <c r="F1101" s="144" t="s">
        <v>2486</v>
      </c>
      <c r="G1101" s="166"/>
      <c r="H1101" s="151">
        <v>1</v>
      </c>
      <c r="I1101" s="160"/>
      <c r="J1101" s="159">
        <v>1360</v>
      </c>
      <c r="K1101" s="161"/>
      <c r="L1101" s="159">
        <v>1360</v>
      </c>
      <c r="M1101" s="160">
        <v>1360</v>
      </c>
      <c r="N1101" s="145"/>
      <c r="O1101" s="156" t="s">
        <v>135</v>
      </c>
      <c r="P1101" s="144" t="s">
        <v>2478</v>
      </c>
      <c r="Q1101" s="147"/>
      <c r="R1101" s="146"/>
      <c r="S1101" s="157"/>
      <c r="T1101" s="144" t="s">
        <v>29</v>
      </c>
      <c r="U1101" s="150" t="s">
        <v>17</v>
      </c>
      <c r="V1101" s="146">
        <v>2777</v>
      </c>
      <c r="W1101" s="148" t="s">
        <v>4395</v>
      </c>
      <c r="X1101" s="149">
        <v>45901</v>
      </c>
      <c r="Y1101" s="165" t="s">
        <v>4396</v>
      </c>
    </row>
    <row r="1102" spans="1:25">
      <c r="A1102" s="163" t="s">
        <v>309</v>
      </c>
      <c r="B1102" s="144" t="s">
        <v>2463</v>
      </c>
      <c r="C1102" s="164" t="s">
        <v>4397</v>
      </c>
      <c r="D1102" s="144" t="s">
        <v>4398</v>
      </c>
      <c r="E1102" s="150" t="s">
        <v>2466</v>
      </c>
      <c r="F1102" s="144" t="s">
        <v>2477</v>
      </c>
      <c r="G1102" s="166"/>
      <c r="H1102" s="151">
        <v>1</v>
      </c>
      <c r="I1102" s="160">
        <v>400</v>
      </c>
      <c r="J1102" s="159">
        <v>400</v>
      </c>
      <c r="K1102" s="161">
        <v>400</v>
      </c>
      <c r="L1102" s="159">
        <v>400</v>
      </c>
      <c r="M1102" s="160">
        <v>400</v>
      </c>
      <c r="N1102" s="145">
        <v>1600</v>
      </c>
      <c r="O1102" s="156" t="s">
        <v>135</v>
      </c>
      <c r="P1102" s="144" t="s">
        <v>2468</v>
      </c>
      <c r="Q1102" s="147"/>
      <c r="R1102" s="146"/>
      <c r="S1102" s="157"/>
      <c r="T1102" s="144" t="s">
        <v>29</v>
      </c>
      <c r="U1102" s="150" t="s">
        <v>20</v>
      </c>
      <c r="V1102" s="146">
        <v>2875</v>
      </c>
      <c r="W1102" s="148" t="s">
        <v>4399</v>
      </c>
      <c r="X1102" s="149">
        <v>45901</v>
      </c>
      <c r="Y1102" s="165" t="s">
        <v>3867</v>
      </c>
    </row>
    <row r="1103" spans="1:25">
      <c r="A1103" s="163" t="s">
        <v>309</v>
      </c>
      <c r="B1103" s="144" t="s">
        <v>2463</v>
      </c>
      <c r="C1103" s="164" t="s">
        <v>4397</v>
      </c>
      <c r="D1103" s="144" t="s">
        <v>4398</v>
      </c>
      <c r="E1103" s="150" t="s">
        <v>2466</v>
      </c>
      <c r="F1103" s="144" t="s">
        <v>2477</v>
      </c>
      <c r="G1103" s="166"/>
      <c r="H1103" s="151">
        <v>1</v>
      </c>
      <c r="I1103" s="160">
        <v>400</v>
      </c>
      <c r="J1103" s="159">
        <v>400</v>
      </c>
      <c r="K1103" s="161">
        <v>400</v>
      </c>
      <c r="L1103" s="159">
        <v>400</v>
      </c>
      <c r="M1103" s="160">
        <v>400</v>
      </c>
      <c r="N1103" s="145">
        <v>1600</v>
      </c>
      <c r="O1103" s="156" t="s">
        <v>135</v>
      </c>
      <c r="P1103" s="144" t="s">
        <v>2468</v>
      </c>
      <c r="Q1103" s="147"/>
      <c r="R1103" s="146"/>
      <c r="S1103" s="157"/>
      <c r="T1103" s="144" t="s">
        <v>29</v>
      </c>
      <c r="U1103" s="150" t="s">
        <v>20</v>
      </c>
      <c r="V1103" s="146">
        <v>2875</v>
      </c>
      <c r="W1103" s="148" t="s">
        <v>4399</v>
      </c>
      <c r="X1103" s="149">
        <v>45901</v>
      </c>
      <c r="Y1103" s="165" t="s">
        <v>3867</v>
      </c>
    </row>
    <row r="1104" spans="1:25">
      <c r="A1104" s="163" t="s">
        <v>309</v>
      </c>
      <c r="B1104" s="144" t="s">
        <v>2463</v>
      </c>
      <c r="C1104" s="164" t="s">
        <v>975</v>
      </c>
      <c r="D1104" s="144" t="s">
        <v>4398</v>
      </c>
      <c r="E1104" s="150" t="s">
        <v>2491</v>
      </c>
      <c r="F1104" s="144" t="s">
        <v>2477</v>
      </c>
      <c r="G1104" s="166"/>
      <c r="H1104" s="151">
        <v>312</v>
      </c>
      <c r="I1104" s="160">
        <v>2.56</v>
      </c>
      <c r="J1104" s="159">
        <v>2.56</v>
      </c>
      <c r="K1104" s="161">
        <v>798.72</v>
      </c>
      <c r="L1104" s="159">
        <v>798.72</v>
      </c>
      <c r="M1104" s="160">
        <v>798.72</v>
      </c>
      <c r="N1104" s="145"/>
      <c r="O1104" s="156" t="s">
        <v>28</v>
      </c>
      <c r="P1104" s="144" t="s">
        <v>2478</v>
      </c>
      <c r="Q1104" s="147">
        <v>46023</v>
      </c>
      <c r="R1104" s="146"/>
      <c r="S1104" s="157"/>
      <c r="T1104" s="144" t="s">
        <v>28</v>
      </c>
      <c r="U1104" s="150" t="s">
        <v>2479</v>
      </c>
      <c r="V1104" s="146">
        <v>2815</v>
      </c>
      <c r="W1104" s="148" t="s">
        <v>4399</v>
      </c>
      <c r="X1104" s="149">
        <v>45901</v>
      </c>
      <c r="Y1104" s="165" t="s">
        <v>3867</v>
      </c>
    </row>
    <row r="1105" spans="1:25">
      <c r="A1105" s="163" t="s">
        <v>309</v>
      </c>
      <c r="B1105" s="144" t="s">
        <v>2463</v>
      </c>
      <c r="C1105" s="164" t="s">
        <v>4400</v>
      </c>
      <c r="D1105" s="144" t="s">
        <v>976</v>
      </c>
      <c r="E1105" s="150" t="s">
        <v>2491</v>
      </c>
      <c r="F1105" s="144" t="s">
        <v>2477</v>
      </c>
      <c r="G1105" s="166"/>
      <c r="H1105" s="151">
        <v>1</v>
      </c>
      <c r="I1105" s="160">
        <v>400</v>
      </c>
      <c r="J1105" s="159">
        <v>400</v>
      </c>
      <c r="K1105" s="161">
        <v>400</v>
      </c>
      <c r="L1105" s="159">
        <v>400</v>
      </c>
      <c r="M1105" s="160">
        <v>400</v>
      </c>
      <c r="N1105" s="145"/>
      <c r="O1105" s="156" t="s">
        <v>135</v>
      </c>
      <c r="P1105" s="144" t="s">
        <v>2478</v>
      </c>
      <c r="Q1105" s="147">
        <v>47027</v>
      </c>
      <c r="R1105" s="146"/>
      <c r="S1105" s="157"/>
      <c r="T1105" s="144" t="s">
        <v>29</v>
      </c>
      <c r="U1105" s="150" t="s">
        <v>2479</v>
      </c>
      <c r="V1105" s="146">
        <v>3028</v>
      </c>
      <c r="W1105" s="148" t="s">
        <v>4401</v>
      </c>
      <c r="X1105" s="149"/>
      <c r="Y1105" s="165"/>
    </row>
    <row r="1106" spans="1:25">
      <c r="A1106" s="163" t="s">
        <v>423</v>
      </c>
      <c r="B1106" s="144" t="s">
        <v>2463</v>
      </c>
      <c r="C1106" s="164" t="s">
        <v>4402</v>
      </c>
      <c r="D1106" s="144" t="s">
        <v>2997</v>
      </c>
      <c r="E1106" s="150" t="s">
        <v>2466</v>
      </c>
      <c r="F1106" s="144" t="s">
        <v>2467</v>
      </c>
      <c r="G1106" s="166"/>
      <c r="H1106" s="151">
        <v>1</v>
      </c>
      <c r="I1106" s="160"/>
      <c r="J1106" s="159">
        <v>50</v>
      </c>
      <c r="K1106" s="161"/>
      <c r="L1106" s="159">
        <v>50</v>
      </c>
      <c r="M1106" s="160">
        <v>50</v>
      </c>
      <c r="N1106" s="145">
        <v>200</v>
      </c>
      <c r="O1106" s="156" t="s">
        <v>135</v>
      </c>
      <c r="P1106" s="144" t="s">
        <v>2468</v>
      </c>
      <c r="Q1106" s="147"/>
      <c r="R1106" s="146"/>
      <c r="S1106" s="157"/>
      <c r="T1106" s="144" t="s">
        <v>29</v>
      </c>
      <c r="U1106" s="150" t="s">
        <v>20</v>
      </c>
      <c r="V1106" s="146">
        <v>2954</v>
      </c>
      <c r="W1106" s="148"/>
      <c r="X1106" s="149"/>
      <c r="Y1106" s="165" t="s">
        <v>2474</v>
      </c>
    </row>
    <row r="1107" spans="1:25">
      <c r="A1107" s="163" t="s">
        <v>423</v>
      </c>
      <c r="B1107" s="144" t="s">
        <v>2463</v>
      </c>
      <c r="C1107" s="164" t="s">
        <v>4403</v>
      </c>
      <c r="D1107" s="144" t="s">
        <v>2997</v>
      </c>
      <c r="E1107" s="150" t="s">
        <v>2485</v>
      </c>
      <c r="F1107" s="144" t="s">
        <v>2486</v>
      </c>
      <c r="G1107" s="166"/>
      <c r="H1107" s="151">
        <v>1</v>
      </c>
      <c r="I1107" s="160"/>
      <c r="J1107" s="159">
        <v>350</v>
      </c>
      <c r="K1107" s="161"/>
      <c r="L1107" s="159">
        <v>350</v>
      </c>
      <c r="M1107" s="160">
        <v>350</v>
      </c>
      <c r="N1107" s="145"/>
      <c r="O1107" s="156" t="s">
        <v>135</v>
      </c>
      <c r="P1107" s="144" t="s">
        <v>2478</v>
      </c>
      <c r="Q1107" s="147"/>
      <c r="R1107" s="146"/>
      <c r="S1107" s="157"/>
      <c r="T1107" s="144" t="s">
        <v>29</v>
      </c>
      <c r="U1107" s="150" t="s">
        <v>17</v>
      </c>
      <c r="V1107" s="146">
        <v>2955</v>
      </c>
      <c r="W1107" s="148"/>
      <c r="X1107" s="149"/>
      <c r="Y1107" s="165" t="s">
        <v>2474</v>
      </c>
    </row>
    <row r="1108" spans="1:25">
      <c r="A1108" s="163" t="s">
        <v>309</v>
      </c>
      <c r="B1108" s="144" t="s">
        <v>2463</v>
      </c>
      <c r="C1108" s="164" t="s">
        <v>4404</v>
      </c>
      <c r="D1108" s="144" t="s">
        <v>4405</v>
      </c>
      <c r="E1108" s="150" t="s">
        <v>2555</v>
      </c>
      <c r="F1108" s="144" t="s">
        <v>2814</v>
      </c>
      <c r="G1108" s="166"/>
      <c r="H1108" s="151">
        <v>3</v>
      </c>
      <c r="I1108" s="160">
        <v>30</v>
      </c>
      <c r="J1108" s="159">
        <v>30</v>
      </c>
      <c r="K1108" s="161">
        <v>90</v>
      </c>
      <c r="L1108" s="159">
        <v>90</v>
      </c>
      <c r="M1108" s="160">
        <v>90</v>
      </c>
      <c r="N1108" s="145"/>
      <c r="O1108" s="156" t="s">
        <v>135</v>
      </c>
      <c r="P1108" s="144" t="s">
        <v>2478</v>
      </c>
      <c r="Q1108" s="147"/>
      <c r="R1108" s="146"/>
      <c r="S1108" s="157"/>
      <c r="T1108" s="144" t="s">
        <v>29</v>
      </c>
      <c r="U1108" s="150" t="s">
        <v>14</v>
      </c>
      <c r="V1108" s="146">
        <v>2851</v>
      </c>
      <c r="W1108" s="148" t="s">
        <v>3182</v>
      </c>
      <c r="X1108" s="149"/>
      <c r="Y1108" s="165" t="s">
        <v>3278</v>
      </c>
    </row>
    <row r="1109" spans="1:25">
      <c r="A1109" s="163" t="s">
        <v>423</v>
      </c>
      <c r="B1109" s="144" t="s">
        <v>2463</v>
      </c>
      <c r="C1109" s="164" t="s">
        <v>4406</v>
      </c>
      <c r="D1109" s="144" t="s">
        <v>4407</v>
      </c>
      <c r="E1109" s="150" t="s">
        <v>2476</v>
      </c>
      <c r="F1109" s="144" t="s">
        <v>2477</v>
      </c>
      <c r="G1109" s="166"/>
      <c r="H1109" s="151">
        <v>1</v>
      </c>
      <c r="I1109" s="160"/>
      <c r="J1109" s="159">
        <v>350</v>
      </c>
      <c r="K1109" s="161"/>
      <c r="L1109" s="159">
        <v>350</v>
      </c>
      <c r="M1109" s="160">
        <v>350</v>
      </c>
      <c r="N1109" s="145"/>
      <c r="O1109" s="156" t="s">
        <v>135</v>
      </c>
      <c r="P1109" s="144" t="s">
        <v>2478</v>
      </c>
      <c r="Q1109" s="147"/>
      <c r="R1109" s="146"/>
      <c r="S1109" s="157"/>
      <c r="T1109" s="144" t="s">
        <v>29</v>
      </c>
      <c r="U1109" s="150" t="s">
        <v>2479</v>
      </c>
      <c r="V1109" s="146">
        <v>3011</v>
      </c>
      <c r="W1109" s="148" t="s">
        <v>4408</v>
      </c>
      <c r="X1109" s="149">
        <v>45901</v>
      </c>
      <c r="Y1109" s="165" t="s">
        <v>3241</v>
      </c>
    </row>
    <row r="1110" spans="1:25">
      <c r="A1110" s="163" t="s">
        <v>380</v>
      </c>
      <c r="B1110" s="144" t="s">
        <v>163</v>
      </c>
      <c r="C1110" s="164" t="s">
        <v>1780</v>
      </c>
      <c r="D1110" s="144" t="s">
        <v>1759</v>
      </c>
      <c r="E1110" s="150" t="s">
        <v>2555</v>
      </c>
      <c r="F1110" s="144" t="s">
        <v>2556</v>
      </c>
      <c r="G1110" s="166" t="s">
        <v>4409</v>
      </c>
      <c r="H1110" s="151">
        <v>1</v>
      </c>
      <c r="I1110" s="160">
        <v>0</v>
      </c>
      <c r="J1110" s="159">
        <v>29</v>
      </c>
      <c r="K1110" s="161">
        <v>0</v>
      </c>
      <c r="L1110" s="159">
        <v>29</v>
      </c>
      <c r="M1110" s="160">
        <v>29</v>
      </c>
      <c r="N1110" s="145"/>
      <c r="O1110" s="156" t="s">
        <v>166</v>
      </c>
      <c r="P1110" s="144" t="s">
        <v>2468</v>
      </c>
      <c r="Q1110" s="147"/>
      <c r="R1110" s="146">
        <v>2053</v>
      </c>
      <c r="S1110" s="157"/>
      <c r="T1110" s="144" t="s">
        <v>25</v>
      </c>
      <c r="U1110" s="150" t="s">
        <v>14</v>
      </c>
      <c r="V1110" s="146">
        <v>1166</v>
      </c>
      <c r="W1110" s="148"/>
      <c r="X1110" s="149">
        <v>45689</v>
      </c>
      <c r="Y1110" s="165" t="s">
        <v>2500</v>
      </c>
    </row>
    <row r="1111" spans="1:25">
      <c r="A1111" s="163" t="s">
        <v>380</v>
      </c>
      <c r="B1111" s="144" t="s">
        <v>163</v>
      </c>
      <c r="C1111" s="164" t="s">
        <v>1780</v>
      </c>
      <c r="D1111" s="144" t="s">
        <v>1759</v>
      </c>
      <c r="E1111" s="150" t="s">
        <v>2555</v>
      </c>
      <c r="F1111" s="144" t="s">
        <v>2556</v>
      </c>
      <c r="G1111" s="166" t="s">
        <v>4410</v>
      </c>
      <c r="H1111" s="151">
        <v>1</v>
      </c>
      <c r="I1111" s="160">
        <v>0</v>
      </c>
      <c r="J1111" s="159">
        <v>24</v>
      </c>
      <c r="K1111" s="161">
        <v>0</v>
      </c>
      <c r="L1111" s="159">
        <v>24</v>
      </c>
      <c r="M1111" s="160">
        <v>24</v>
      </c>
      <c r="N1111" s="145"/>
      <c r="O1111" s="156" t="s">
        <v>166</v>
      </c>
      <c r="P1111" s="144" t="s">
        <v>2468</v>
      </c>
      <c r="Q1111" s="147"/>
      <c r="R1111" s="146">
        <v>2054</v>
      </c>
      <c r="S1111" s="157"/>
      <c r="T1111" s="144" t="s">
        <v>25</v>
      </c>
      <c r="U1111" s="150" t="s">
        <v>14</v>
      </c>
      <c r="V1111" s="146">
        <v>1166</v>
      </c>
      <c r="W1111" s="148"/>
      <c r="X1111" s="149">
        <v>45689</v>
      </c>
      <c r="Y1111" s="165" t="s">
        <v>2500</v>
      </c>
    </row>
    <row r="1112" spans="1:25">
      <c r="A1112" s="163" t="s">
        <v>380</v>
      </c>
      <c r="B1112" s="144" t="s">
        <v>163</v>
      </c>
      <c r="C1112" s="164" t="s">
        <v>1780</v>
      </c>
      <c r="D1112" s="144" t="s">
        <v>1759</v>
      </c>
      <c r="E1112" s="150" t="s">
        <v>2555</v>
      </c>
      <c r="F1112" s="144" t="s">
        <v>2556</v>
      </c>
      <c r="G1112" s="166" t="s">
        <v>4411</v>
      </c>
      <c r="H1112" s="151">
        <v>1</v>
      </c>
      <c r="I1112" s="160">
        <v>0</v>
      </c>
      <c r="J1112" s="159">
        <v>29</v>
      </c>
      <c r="K1112" s="161">
        <v>0</v>
      </c>
      <c r="L1112" s="159">
        <v>29</v>
      </c>
      <c r="M1112" s="160">
        <v>29</v>
      </c>
      <c r="N1112" s="145"/>
      <c r="O1112" s="156" t="s">
        <v>166</v>
      </c>
      <c r="P1112" s="144" t="s">
        <v>2468</v>
      </c>
      <c r="Q1112" s="147"/>
      <c r="R1112" s="146">
        <v>2054</v>
      </c>
      <c r="S1112" s="157"/>
      <c r="T1112" s="144" t="s">
        <v>25</v>
      </c>
      <c r="U1112" s="150" t="s">
        <v>14</v>
      </c>
      <c r="V1112" s="146">
        <v>1166</v>
      </c>
      <c r="W1112" s="148"/>
      <c r="X1112" s="149">
        <v>45689</v>
      </c>
      <c r="Y1112" s="165" t="s">
        <v>2500</v>
      </c>
    </row>
    <row r="1113" spans="1:25">
      <c r="A1113" s="163" t="s">
        <v>380</v>
      </c>
      <c r="B1113" s="144" t="s">
        <v>163</v>
      </c>
      <c r="C1113" s="164" t="s">
        <v>1780</v>
      </c>
      <c r="D1113" s="144" t="s">
        <v>1759</v>
      </c>
      <c r="E1113" s="150" t="s">
        <v>2555</v>
      </c>
      <c r="F1113" s="144" t="s">
        <v>2556</v>
      </c>
      <c r="G1113" s="166" t="s">
        <v>4412</v>
      </c>
      <c r="H1113" s="151">
        <v>1</v>
      </c>
      <c r="I1113" s="160">
        <v>0</v>
      </c>
      <c r="J1113" s="159">
        <v>24</v>
      </c>
      <c r="K1113" s="161">
        <v>0</v>
      </c>
      <c r="L1113" s="159">
        <v>24</v>
      </c>
      <c r="M1113" s="160">
        <v>24</v>
      </c>
      <c r="N1113" s="145"/>
      <c r="O1113" s="156" t="s">
        <v>166</v>
      </c>
      <c r="P1113" s="144" t="s">
        <v>2468</v>
      </c>
      <c r="Q1113" s="147"/>
      <c r="R1113" s="146">
        <v>2055</v>
      </c>
      <c r="S1113" s="157"/>
      <c r="T1113" s="144" t="s">
        <v>25</v>
      </c>
      <c r="U1113" s="150" t="s">
        <v>14</v>
      </c>
      <c r="V1113" s="146">
        <v>1166</v>
      </c>
      <c r="W1113" s="148"/>
      <c r="X1113" s="149">
        <v>45689</v>
      </c>
      <c r="Y1113" s="165" t="s">
        <v>2500</v>
      </c>
    </row>
    <row r="1114" spans="1:25">
      <c r="A1114" s="163" t="s">
        <v>380</v>
      </c>
      <c r="B1114" s="144" t="s">
        <v>163</v>
      </c>
      <c r="C1114" s="164" t="s">
        <v>1780</v>
      </c>
      <c r="D1114" s="144" t="s">
        <v>1759</v>
      </c>
      <c r="E1114" s="150" t="s">
        <v>2555</v>
      </c>
      <c r="F1114" s="144" t="s">
        <v>2556</v>
      </c>
      <c r="G1114" s="166" t="s">
        <v>4413</v>
      </c>
      <c r="H1114" s="151">
        <v>1</v>
      </c>
      <c r="I1114" s="160">
        <v>0</v>
      </c>
      <c r="J1114" s="159">
        <v>128</v>
      </c>
      <c r="K1114" s="161">
        <v>0</v>
      </c>
      <c r="L1114" s="159">
        <v>128</v>
      </c>
      <c r="M1114" s="160">
        <v>128</v>
      </c>
      <c r="N1114" s="145"/>
      <c r="O1114" s="156" t="s">
        <v>166</v>
      </c>
      <c r="P1114" s="144" t="s">
        <v>2468</v>
      </c>
      <c r="Q1114" s="147"/>
      <c r="R1114" s="146">
        <v>2044</v>
      </c>
      <c r="S1114" s="157"/>
      <c r="T1114" s="144" t="s">
        <v>25</v>
      </c>
      <c r="U1114" s="150" t="s">
        <v>14</v>
      </c>
      <c r="V1114" s="146">
        <v>1166</v>
      </c>
      <c r="W1114" s="148"/>
      <c r="X1114" s="149">
        <v>45689</v>
      </c>
      <c r="Y1114" s="165" t="s">
        <v>2500</v>
      </c>
    </row>
    <row r="1115" spans="1:25">
      <c r="A1115" s="163" t="s">
        <v>380</v>
      </c>
      <c r="B1115" s="144" t="s">
        <v>2463</v>
      </c>
      <c r="C1115" s="164" t="s">
        <v>1780</v>
      </c>
      <c r="D1115" s="144" t="s">
        <v>1759</v>
      </c>
      <c r="E1115" s="150" t="s">
        <v>2555</v>
      </c>
      <c r="F1115" s="144" t="s">
        <v>2556</v>
      </c>
      <c r="G1115" s="166"/>
      <c r="H1115" s="151">
        <v>1</v>
      </c>
      <c r="I1115" s="160">
        <v>165</v>
      </c>
      <c r="J1115" s="159">
        <v>165</v>
      </c>
      <c r="K1115" s="161">
        <v>165</v>
      </c>
      <c r="L1115" s="159">
        <v>165</v>
      </c>
      <c r="M1115" s="160">
        <v>165</v>
      </c>
      <c r="N1115" s="145"/>
      <c r="O1115" s="156" t="s">
        <v>135</v>
      </c>
      <c r="P1115" s="144" t="s">
        <v>2468</v>
      </c>
      <c r="Q1115" s="147"/>
      <c r="R1115" s="146"/>
      <c r="S1115" s="157"/>
      <c r="T1115" s="144" t="s">
        <v>29</v>
      </c>
      <c r="U1115" s="150" t="s">
        <v>14</v>
      </c>
      <c r="V1115" s="146">
        <v>1166</v>
      </c>
      <c r="W1115" s="148"/>
      <c r="X1115" s="149">
        <v>45689</v>
      </c>
      <c r="Y1115" s="165" t="s">
        <v>2500</v>
      </c>
    </row>
    <row r="1116" spans="1:25">
      <c r="A1116" s="163" t="s">
        <v>309</v>
      </c>
      <c r="B1116" s="144" t="s">
        <v>2463</v>
      </c>
      <c r="C1116" s="164" t="s">
        <v>4414</v>
      </c>
      <c r="D1116" s="144" t="s">
        <v>4415</v>
      </c>
      <c r="E1116" s="150" t="s">
        <v>2467</v>
      </c>
      <c r="F1116" s="144" t="s">
        <v>2467</v>
      </c>
      <c r="G1116" s="166"/>
      <c r="H1116" s="151">
        <v>1</v>
      </c>
      <c r="I1116" s="160">
        <v>750</v>
      </c>
      <c r="J1116" s="159">
        <v>750</v>
      </c>
      <c r="K1116" s="161">
        <v>750</v>
      </c>
      <c r="L1116" s="159">
        <v>750</v>
      </c>
      <c r="M1116" s="160">
        <v>750</v>
      </c>
      <c r="N1116" s="145"/>
      <c r="O1116" s="156" t="s">
        <v>135</v>
      </c>
      <c r="P1116" s="144" t="s">
        <v>2468</v>
      </c>
      <c r="Q1116" s="147"/>
      <c r="R1116" s="146"/>
      <c r="S1116" s="157"/>
      <c r="T1116" s="144" t="s">
        <v>29</v>
      </c>
      <c r="U1116" s="150" t="s">
        <v>21</v>
      </c>
      <c r="V1116" s="146">
        <v>2566</v>
      </c>
      <c r="W1116" s="148" t="s">
        <v>4416</v>
      </c>
      <c r="X1116" s="149">
        <v>45901</v>
      </c>
      <c r="Y1116" s="165" t="s">
        <v>2538</v>
      </c>
    </row>
    <row r="1117" spans="1:25">
      <c r="A1117" s="163" t="s">
        <v>7</v>
      </c>
      <c r="B1117" s="144" t="s">
        <v>2463</v>
      </c>
      <c r="C1117" s="164" t="s">
        <v>4417</v>
      </c>
      <c r="D1117" s="144" t="s">
        <v>244</v>
      </c>
      <c r="E1117" s="150" t="s">
        <v>2466</v>
      </c>
      <c r="F1117" s="144" t="s">
        <v>2467</v>
      </c>
      <c r="G1117" s="166"/>
      <c r="H1117" s="151">
        <v>8</v>
      </c>
      <c r="I1117" s="160">
        <v>2.93</v>
      </c>
      <c r="J1117" s="159">
        <v>3.45</v>
      </c>
      <c r="K1117" s="161">
        <v>23.44</v>
      </c>
      <c r="L1117" s="159">
        <v>27.6</v>
      </c>
      <c r="M1117" s="160" t="s">
        <v>4418</v>
      </c>
      <c r="N1117" s="145">
        <v>40</v>
      </c>
      <c r="O1117" s="156" t="s">
        <v>27</v>
      </c>
      <c r="P1117" s="144" t="s">
        <v>2468</v>
      </c>
      <c r="Q1117" s="147">
        <v>46357</v>
      </c>
      <c r="R1117" s="146">
        <v>2045</v>
      </c>
      <c r="S1117" s="157"/>
      <c r="T1117" s="144" t="s">
        <v>27</v>
      </c>
      <c r="U1117" s="150" t="s">
        <v>20</v>
      </c>
      <c r="V1117" s="146">
        <v>1857</v>
      </c>
      <c r="W1117" s="148"/>
      <c r="X1117" s="149">
        <v>45901</v>
      </c>
      <c r="Y1117" s="165" t="s">
        <v>2660</v>
      </c>
    </row>
    <row r="1118" spans="1:25">
      <c r="A1118" s="163" t="s">
        <v>7</v>
      </c>
      <c r="B1118" s="144" t="s">
        <v>2463</v>
      </c>
      <c r="C1118" s="164" t="s">
        <v>4417</v>
      </c>
      <c r="D1118" s="144" t="s">
        <v>244</v>
      </c>
      <c r="E1118" s="150" t="s">
        <v>2491</v>
      </c>
      <c r="F1118" s="144" t="s">
        <v>2477</v>
      </c>
      <c r="G1118" s="166"/>
      <c r="H1118" s="151">
        <v>22</v>
      </c>
      <c r="I1118" s="160">
        <v>3.96</v>
      </c>
      <c r="J1118" s="159">
        <v>4.4000000000000004</v>
      </c>
      <c r="K1118" s="161">
        <v>87.12</v>
      </c>
      <c r="L1118" s="159">
        <v>96.8</v>
      </c>
      <c r="M1118" s="160" t="s">
        <v>4419</v>
      </c>
      <c r="N1118" s="145"/>
      <c r="O1118" s="156" t="s">
        <v>27</v>
      </c>
      <c r="P1118" s="144" t="s">
        <v>2478</v>
      </c>
      <c r="Q1118" s="147">
        <v>46357</v>
      </c>
      <c r="R1118" s="146">
        <v>2055</v>
      </c>
      <c r="S1118" s="157"/>
      <c r="T1118" s="144" t="s">
        <v>27</v>
      </c>
      <c r="U1118" s="150" t="s">
        <v>2479</v>
      </c>
      <c r="V1118" s="146">
        <v>1857</v>
      </c>
      <c r="W1118" s="148"/>
      <c r="X1118" s="149">
        <v>45901</v>
      </c>
      <c r="Y1118" s="165" t="s">
        <v>2660</v>
      </c>
    </row>
    <row r="1119" spans="1:25">
      <c r="A1119" s="163" t="s">
        <v>309</v>
      </c>
      <c r="B1119" s="144" t="s">
        <v>163</v>
      </c>
      <c r="C1119" s="164" t="s">
        <v>511</v>
      </c>
      <c r="D1119" s="144" t="s">
        <v>512</v>
      </c>
      <c r="E1119" s="150" t="s">
        <v>2639</v>
      </c>
      <c r="F1119" s="144" t="s">
        <v>2467</v>
      </c>
      <c r="G1119" s="166" t="s">
        <v>513</v>
      </c>
      <c r="H1119" s="151">
        <v>1</v>
      </c>
      <c r="I1119" s="160"/>
      <c r="J1119" s="159">
        <v>7</v>
      </c>
      <c r="K1119" s="161"/>
      <c r="L1119" s="159">
        <v>7</v>
      </c>
      <c r="M1119" s="160">
        <v>7</v>
      </c>
      <c r="N1119" s="145"/>
      <c r="O1119" s="156" t="s">
        <v>166</v>
      </c>
      <c r="P1119" s="144" t="s">
        <v>2480</v>
      </c>
      <c r="Q1119" s="147"/>
      <c r="R1119" s="146">
        <v>2035</v>
      </c>
      <c r="S1119" s="157"/>
      <c r="T1119" s="144" t="s">
        <v>25</v>
      </c>
      <c r="U1119" s="150" t="s">
        <v>15</v>
      </c>
      <c r="V1119" s="146">
        <v>1305</v>
      </c>
      <c r="W1119" s="148"/>
      <c r="X1119" s="149">
        <v>45778</v>
      </c>
      <c r="Y1119" s="165" t="s">
        <v>4420</v>
      </c>
    </row>
    <row r="1120" spans="1:25">
      <c r="A1120" s="163" t="s">
        <v>309</v>
      </c>
      <c r="B1120" s="144" t="s">
        <v>163</v>
      </c>
      <c r="C1120" s="164" t="s">
        <v>511</v>
      </c>
      <c r="D1120" s="144" t="s">
        <v>512</v>
      </c>
      <c r="E1120" s="150" t="s">
        <v>2639</v>
      </c>
      <c r="F1120" s="144" t="s">
        <v>3104</v>
      </c>
      <c r="G1120" s="166" t="s">
        <v>513</v>
      </c>
      <c r="H1120" s="151">
        <v>1</v>
      </c>
      <c r="I1120" s="160">
        <v>0</v>
      </c>
      <c r="J1120" s="159">
        <v>38</v>
      </c>
      <c r="K1120" s="161">
        <v>0</v>
      </c>
      <c r="L1120" s="159">
        <v>38</v>
      </c>
      <c r="M1120" s="160">
        <v>38</v>
      </c>
      <c r="N1120" s="145"/>
      <c r="O1120" s="156" t="s">
        <v>166</v>
      </c>
      <c r="P1120" s="144" t="s">
        <v>2480</v>
      </c>
      <c r="Q1120" s="147"/>
      <c r="R1120" s="146">
        <v>2044</v>
      </c>
      <c r="S1120" s="157"/>
      <c r="T1120" s="144" t="s">
        <v>25</v>
      </c>
      <c r="U1120" s="150" t="s">
        <v>19</v>
      </c>
      <c r="V1120" s="146">
        <v>1305</v>
      </c>
      <c r="W1120" s="148"/>
      <c r="X1120" s="149">
        <v>45778</v>
      </c>
      <c r="Y1120" s="165" t="s">
        <v>4420</v>
      </c>
    </row>
    <row r="1121" spans="1:25">
      <c r="A1121" s="163" t="s">
        <v>309</v>
      </c>
      <c r="B1121" s="144" t="s">
        <v>2463</v>
      </c>
      <c r="C1121" s="164" t="s">
        <v>4421</v>
      </c>
      <c r="D1121" s="144" t="s">
        <v>748</v>
      </c>
      <c r="E1121" s="150" t="s">
        <v>2466</v>
      </c>
      <c r="F1121" s="144" t="s">
        <v>2467</v>
      </c>
      <c r="G1121" s="166"/>
      <c r="H1121" s="151">
        <v>1</v>
      </c>
      <c r="I1121" s="160"/>
      <c r="J1121" s="159">
        <v>500</v>
      </c>
      <c r="K1121" s="161"/>
      <c r="L1121" s="159">
        <v>500</v>
      </c>
      <c r="M1121" s="160">
        <v>500</v>
      </c>
      <c r="N1121" s="145">
        <v>2000</v>
      </c>
      <c r="O1121" s="156" t="s">
        <v>135</v>
      </c>
      <c r="P1121" s="144" t="s">
        <v>2468</v>
      </c>
      <c r="Q1121" s="147">
        <v>46966</v>
      </c>
      <c r="R1121" s="146">
        <v>2068</v>
      </c>
      <c r="S1121" s="157"/>
      <c r="T1121" s="144" t="s">
        <v>29</v>
      </c>
      <c r="U1121" s="150" t="s">
        <v>20</v>
      </c>
      <c r="V1121" s="146">
        <v>2886</v>
      </c>
      <c r="W1121" s="148" t="s">
        <v>4422</v>
      </c>
      <c r="X1121" s="149">
        <v>45778</v>
      </c>
      <c r="Y1121" s="165" t="s">
        <v>4423</v>
      </c>
    </row>
    <row r="1122" spans="1:25">
      <c r="A1122" s="163" t="s">
        <v>309</v>
      </c>
      <c r="B1122" s="144" t="s">
        <v>2463</v>
      </c>
      <c r="C1122" s="164" t="s">
        <v>4424</v>
      </c>
      <c r="D1122" s="144" t="s">
        <v>666</v>
      </c>
      <c r="E1122" s="150" t="s">
        <v>2491</v>
      </c>
      <c r="F1122" s="144" t="s">
        <v>2477</v>
      </c>
      <c r="G1122" s="166"/>
      <c r="H1122" s="151">
        <v>1</v>
      </c>
      <c r="I1122" s="160">
        <v>300</v>
      </c>
      <c r="J1122" s="159">
        <v>300</v>
      </c>
      <c r="K1122" s="161">
        <v>300</v>
      </c>
      <c r="L1122" s="159">
        <v>300</v>
      </c>
      <c r="M1122" s="160">
        <v>300</v>
      </c>
      <c r="N1122" s="145"/>
      <c r="O1122" s="156" t="s">
        <v>135</v>
      </c>
      <c r="P1122" s="144" t="s">
        <v>2478</v>
      </c>
      <c r="Q1122" s="147"/>
      <c r="R1122" s="146"/>
      <c r="S1122" s="157"/>
      <c r="T1122" s="144" t="s">
        <v>29</v>
      </c>
      <c r="U1122" s="150" t="s">
        <v>2479</v>
      </c>
      <c r="V1122" s="146">
        <v>1474</v>
      </c>
      <c r="W1122" s="148" t="s">
        <v>4425</v>
      </c>
      <c r="X1122" s="149">
        <v>45901</v>
      </c>
      <c r="Y1122" s="165" t="s">
        <v>2538</v>
      </c>
    </row>
    <row r="1123" spans="1:25">
      <c r="A1123" s="163" t="s">
        <v>423</v>
      </c>
      <c r="B1123" s="144" t="s">
        <v>163</v>
      </c>
      <c r="C1123" s="164" t="s">
        <v>1344</v>
      </c>
      <c r="D1123" s="144" t="s">
        <v>4426</v>
      </c>
      <c r="E1123" s="150" t="s">
        <v>2466</v>
      </c>
      <c r="F1123" s="144" t="s">
        <v>2467</v>
      </c>
      <c r="G1123" s="166" t="s">
        <v>4427</v>
      </c>
      <c r="H1123" s="151">
        <v>1</v>
      </c>
      <c r="I1123" s="160"/>
      <c r="J1123" s="159">
        <v>200</v>
      </c>
      <c r="K1123" s="161"/>
      <c r="L1123" s="159">
        <v>200</v>
      </c>
      <c r="M1123" s="160">
        <v>200</v>
      </c>
      <c r="N1123" s="145">
        <v>400</v>
      </c>
      <c r="O1123" s="156" t="s">
        <v>166</v>
      </c>
      <c r="P1123" s="144" t="s">
        <v>2468</v>
      </c>
      <c r="Q1123" s="147">
        <v>45566</v>
      </c>
      <c r="R1123" s="146">
        <v>2044</v>
      </c>
      <c r="S1123" s="157"/>
      <c r="T1123" s="144" t="s">
        <v>25</v>
      </c>
      <c r="U1123" s="150" t="s">
        <v>20</v>
      </c>
      <c r="V1123" s="146">
        <v>2460</v>
      </c>
      <c r="W1123" s="148"/>
      <c r="X1123" s="149">
        <v>45901</v>
      </c>
      <c r="Y1123" s="165" t="s">
        <v>2578</v>
      </c>
    </row>
    <row r="1124" spans="1:25">
      <c r="A1124" s="163" t="s">
        <v>309</v>
      </c>
      <c r="B1124" s="144" t="s">
        <v>2463</v>
      </c>
      <c r="C1124" s="164" t="s">
        <v>4428</v>
      </c>
      <c r="D1124" s="144" t="s">
        <v>592</v>
      </c>
      <c r="E1124" s="150" t="s">
        <v>2466</v>
      </c>
      <c r="F1124" s="144" t="s">
        <v>2467</v>
      </c>
      <c r="G1124" s="166"/>
      <c r="H1124" s="151">
        <v>1</v>
      </c>
      <c r="I1124" s="160"/>
      <c r="J1124" s="159">
        <v>20</v>
      </c>
      <c r="K1124" s="161"/>
      <c r="L1124" s="159">
        <v>20</v>
      </c>
      <c r="M1124" s="160">
        <v>20</v>
      </c>
      <c r="N1124" s="145">
        <v>80</v>
      </c>
      <c r="O1124" s="156" t="s">
        <v>135</v>
      </c>
      <c r="P1124" s="144" t="s">
        <v>2468</v>
      </c>
      <c r="Q1124" s="147"/>
      <c r="R1124" s="146"/>
      <c r="S1124" s="157"/>
      <c r="T1124" s="144" t="s">
        <v>29</v>
      </c>
      <c r="U1124" s="150" t="s">
        <v>20</v>
      </c>
      <c r="V1124" s="146">
        <v>2504</v>
      </c>
      <c r="W1124" s="148"/>
      <c r="X1124" s="149">
        <v>45689</v>
      </c>
      <c r="Y1124" s="165" t="s">
        <v>2520</v>
      </c>
    </row>
    <row r="1125" spans="1:25">
      <c r="A1125" s="163" t="s">
        <v>309</v>
      </c>
      <c r="B1125" s="144" t="s">
        <v>2463</v>
      </c>
      <c r="C1125" s="164" t="s">
        <v>4429</v>
      </c>
      <c r="D1125" s="144" t="s">
        <v>592</v>
      </c>
      <c r="E1125" s="150" t="s">
        <v>2485</v>
      </c>
      <c r="F1125" s="144" t="s">
        <v>2486</v>
      </c>
      <c r="G1125" s="166"/>
      <c r="H1125" s="151">
        <v>1</v>
      </c>
      <c r="I1125" s="160"/>
      <c r="J1125" s="159">
        <v>185</v>
      </c>
      <c r="K1125" s="161"/>
      <c r="L1125" s="159">
        <v>185</v>
      </c>
      <c r="M1125" s="160">
        <v>185</v>
      </c>
      <c r="N1125" s="145"/>
      <c r="O1125" s="156" t="s">
        <v>135</v>
      </c>
      <c r="P1125" s="144" t="s">
        <v>2478</v>
      </c>
      <c r="Q1125" s="147"/>
      <c r="R1125" s="146"/>
      <c r="S1125" s="157"/>
      <c r="T1125" s="144" t="s">
        <v>29</v>
      </c>
      <c r="U1125" s="150" t="s">
        <v>17</v>
      </c>
      <c r="V1125" s="146">
        <v>2482</v>
      </c>
      <c r="W1125" s="148" t="s">
        <v>4430</v>
      </c>
      <c r="X1125" s="149">
        <v>45689</v>
      </c>
      <c r="Y1125" s="165" t="s">
        <v>2474</v>
      </c>
    </row>
    <row r="1126" spans="1:25">
      <c r="A1126" s="163" t="s">
        <v>7</v>
      </c>
      <c r="B1126" s="144" t="s">
        <v>2463</v>
      </c>
      <c r="C1126" s="164" t="s">
        <v>4431</v>
      </c>
      <c r="D1126" s="144" t="s">
        <v>4432</v>
      </c>
      <c r="E1126" s="150" t="s">
        <v>2485</v>
      </c>
      <c r="F1126" s="144" t="s">
        <v>2486</v>
      </c>
      <c r="G1126" s="166"/>
      <c r="H1126" s="151">
        <v>19</v>
      </c>
      <c r="I1126" s="160">
        <v>6</v>
      </c>
      <c r="J1126" s="159">
        <v>6</v>
      </c>
      <c r="K1126" s="161">
        <v>114</v>
      </c>
      <c r="L1126" s="159">
        <v>114</v>
      </c>
      <c r="M1126" s="160">
        <v>114</v>
      </c>
      <c r="N1126" s="145"/>
      <c r="O1126" s="156" t="s">
        <v>135</v>
      </c>
      <c r="P1126" s="144" t="s">
        <v>2478</v>
      </c>
      <c r="Q1126" s="147"/>
      <c r="R1126" s="146"/>
      <c r="S1126" s="157"/>
      <c r="T1126" s="144" t="s">
        <v>29</v>
      </c>
      <c r="U1126" s="150" t="s">
        <v>17</v>
      </c>
      <c r="V1126" s="146">
        <v>1877</v>
      </c>
      <c r="W1126" s="148"/>
      <c r="X1126" s="149">
        <v>45689</v>
      </c>
      <c r="Y1126" s="165" t="s">
        <v>4433</v>
      </c>
    </row>
    <row r="1127" spans="1:25">
      <c r="A1127" s="163" t="s">
        <v>423</v>
      </c>
      <c r="B1127" s="144" t="s">
        <v>2463</v>
      </c>
      <c r="C1127" s="164" t="s">
        <v>889</v>
      </c>
      <c r="D1127" s="144" t="s">
        <v>890</v>
      </c>
      <c r="E1127" s="150" t="s">
        <v>2466</v>
      </c>
      <c r="F1127" s="144" t="s">
        <v>2467</v>
      </c>
      <c r="G1127" s="166"/>
      <c r="H1127" s="151">
        <v>1</v>
      </c>
      <c r="I1127" s="160"/>
      <c r="J1127" s="159">
        <v>20</v>
      </c>
      <c r="K1127" s="161"/>
      <c r="L1127" s="159">
        <v>20</v>
      </c>
      <c r="M1127" s="160">
        <v>20</v>
      </c>
      <c r="N1127" s="145">
        <v>40</v>
      </c>
      <c r="O1127" s="156" t="s">
        <v>28</v>
      </c>
      <c r="P1127" s="144" t="s">
        <v>2468</v>
      </c>
      <c r="Q1127" s="147">
        <v>46631</v>
      </c>
      <c r="R1127" s="146"/>
      <c r="S1127" s="157"/>
      <c r="T1127" s="144" t="s">
        <v>28</v>
      </c>
      <c r="U1127" s="150" t="s">
        <v>20</v>
      </c>
      <c r="V1127" s="146">
        <v>2686</v>
      </c>
      <c r="W1127" s="148"/>
      <c r="X1127" s="149">
        <v>45901</v>
      </c>
      <c r="Y1127" s="165" t="s">
        <v>2668</v>
      </c>
    </row>
    <row r="1128" spans="1:25">
      <c r="A1128" s="163" t="s">
        <v>423</v>
      </c>
      <c r="B1128" s="144" t="s">
        <v>2463</v>
      </c>
      <c r="C1128" s="164" t="s">
        <v>891</v>
      </c>
      <c r="D1128" s="144" t="s">
        <v>890</v>
      </c>
      <c r="E1128" s="150" t="s">
        <v>2476</v>
      </c>
      <c r="F1128" s="144" t="s">
        <v>2477</v>
      </c>
      <c r="G1128" s="166"/>
      <c r="H1128" s="151">
        <v>1</v>
      </c>
      <c r="I1128" s="160"/>
      <c r="J1128" s="159">
        <v>63</v>
      </c>
      <c r="K1128" s="161"/>
      <c r="L1128" s="159">
        <v>63</v>
      </c>
      <c r="M1128" s="160">
        <v>63</v>
      </c>
      <c r="N1128" s="145"/>
      <c r="O1128" s="156" t="s">
        <v>28</v>
      </c>
      <c r="P1128" s="144" t="s">
        <v>2478</v>
      </c>
      <c r="Q1128" s="147">
        <v>46631</v>
      </c>
      <c r="R1128" s="146"/>
      <c r="S1128" s="157"/>
      <c r="T1128" s="144" t="s">
        <v>28</v>
      </c>
      <c r="U1128" s="150" t="s">
        <v>2479</v>
      </c>
      <c r="V1128" s="146">
        <v>2687</v>
      </c>
      <c r="W1128" s="148"/>
      <c r="X1128" s="149">
        <v>45901</v>
      </c>
      <c r="Y1128" s="165" t="s">
        <v>2533</v>
      </c>
    </row>
    <row r="1129" spans="1:25">
      <c r="A1129" s="163" t="s">
        <v>7</v>
      </c>
      <c r="B1129" s="144" t="s">
        <v>2463</v>
      </c>
      <c r="C1129" s="164" t="s">
        <v>4434</v>
      </c>
      <c r="D1129" s="144" t="s">
        <v>4435</v>
      </c>
      <c r="E1129" s="150" t="s">
        <v>2639</v>
      </c>
      <c r="F1129" s="144" t="s">
        <v>4436</v>
      </c>
      <c r="G1129" s="166"/>
      <c r="H1129" s="151">
        <v>1</v>
      </c>
      <c r="I1129" s="160">
        <v>128</v>
      </c>
      <c r="J1129" s="159">
        <v>151</v>
      </c>
      <c r="K1129" s="161">
        <v>128</v>
      </c>
      <c r="L1129" s="159">
        <v>151</v>
      </c>
      <c r="M1129" s="160" t="s">
        <v>4437</v>
      </c>
      <c r="N1129" s="145"/>
      <c r="O1129" s="156" t="s">
        <v>135</v>
      </c>
      <c r="P1129" s="144" t="s">
        <v>2468</v>
      </c>
      <c r="Q1129" s="147"/>
      <c r="R1129" s="146">
        <v>2043</v>
      </c>
      <c r="S1129" s="157"/>
      <c r="T1129" s="144" t="s">
        <v>29</v>
      </c>
      <c r="U1129" s="150" t="s">
        <v>19</v>
      </c>
      <c r="V1129" s="146">
        <v>1167</v>
      </c>
      <c r="W1129" s="148"/>
      <c r="X1129" s="149">
        <v>45689</v>
      </c>
      <c r="Y1129" s="165" t="s">
        <v>2474</v>
      </c>
    </row>
    <row r="1130" spans="1:25">
      <c r="A1130" s="163" t="s">
        <v>565</v>
      </c>
      <c r="B1130" s="144" t="s">
        <v>163</v>
      </c>
      <c r="C1130" s="164" t="s">
        <v>4438</v>
      </c>
      <c r="D1130" s="144" t="s">
        <v>1137</v>
      </c>
      <c r="E1130" s="150" t="s">
        <v>2593</v>
      </c>
      <c r="F1130" s="144" t="s">
        <v>2482</v>
      </c>
      <c r="G1130" s="166" t="s">
        <v>4439</v>
      </c>
      <c r="H1130" s="151">
        <v>1</v>
      </c>
      <c r="I1130" s="160">
        <v>115.6</v>
      </c>
      <c r="J1130" s="159">
        <v>115.6</v>
      </c>
      <c r="K1130" s="161">
        <v>115.6</v>
      </c>
      <c r="L1130" s="159">
        <v>115.6</v>
      </c>
      <c r="M1130" s="160">
        <v>115.6</v>
      </c>
      <c r="N1130" s="145"/>
      <c r="O1130" s="156" t="s">
        <v>166</v>
      </c>
      <c r="P1130" s="144" t="s">
        <v>2468</v>
      </c>
      <c r="Q1130" s="147"/>
      <c r="R1130" s="146">
        <v>2100</v>
      </c>
      <c r="S1130" s="157"/>
      <c r="T1130" s="144" t="s">
        <v>25</v>
      </c>
      <c r="U1130" s="150" t="s">
        <v>18</v>
      </c>
      <c r="V1130" s="146">
        <v>1168</v>
      </c>
      <c r="W1130" s="148"/>
      <c r="X1130" s="149">
        <v>45689</v>
      </c>
      <c r="Y1130" s="165" t="s">
        <v>2541</v>
      </c>
    </row>
    <row r="1131" spans="1:25">
      <c r="A1131" s="163" t="s">
        <v>565</v>
      </c>
      <c r="B1131" s="144" t="s">
        <v>163</v>
      </c>
      <c r="C1131" s="164" t="s">
        <v>4438</v>
      </c>
      <c r="D1131" s="144" t="s">
        <v>1137</v>
      </c>
      <c r="E1131" s="150" t="s">
        <v>2593</v>
      </c>
      <c r="F1131" s="144" t="s">
        <v>2482</v>
      </c>
      <c r="G1131" s="166" t="s">
        <v>4440</v>
      </c>
      <c r="H1131" s="151">
        <v>1</v>
      </c>
      <c r="I1131" s="160">
        <v>115.6</v>
      </c>
      <c r="J1131" s="159">
        <v>115.6</v>
      </c>
      <c r="K1131" s="161">
        <v>115.6</v>
      </c>
      <c r="L1131" s="159">
        <v>115.6</v>
      </c>
      <c r="M1131" s="160">
        <v>115.6</v>
      </c>
      <c r="N1131" s="145"/>
      <c r="O1131" s="156" t="s">
        <v>166</v>
      </c>
      <c r="P1131" s="144" t="s">
        <v>2468</v>
      </c>
      <c r="Q1131" s="147"/>
      <c r="R1131" s="146">
        <v>2100</v>
      </c>
      <c r="S1131" s="157"/>
      <c r="T1131" s="144" t="s">
        <v>25</v>
      </c>
      <c r="U1131" s="150" t="s">
        <v>18</v>
      </c>
      <c r="V1131" s="146">
        <v>1168</v>
      </c>
      <c r="W1131" s="148"/>
      <c r="X1131" s="149">
        <v>45689</v>
      </c>
      <c r="Y1131" s="165" t="s">
        <v>2541</v>
      </c>
    </row>
    <row r="1132" spans="1:25">
      <c r="A1132" s="163" t="s">
        <v>380</v>
      </c>
      <c r="B1132" s="144" t="s">
        <v>2463</v>
      </c>
      <c r="C1132" s="164" t="s">
        <v>4441</v>
      </c>
      <c r="D1132" s="144" t="s">
        <v>4442</v>
      </c>
      <c r="E1132" s="150" t="s">
        <v>2555</v>
      </c>
      <c r="F1132" s="144" t="s">
        <v>2556</v>
      </c>
      <c r="G1132" s="166"/>
      <c r="H1132" s="151">
        <v>1</v>
      </c>
      <c r="I1132" s="160">
        <v>150</v>
      </c>
      <c r="J1132" s="159">
        <v>150</v>
      </c>
      <c r="K1132" s="161">
        <v>150</v>
      </c>
      <c r="L1132" s="159">
        <v>150</v>
      </c>
      <c r="M1132" s="160">
        <v>150</v>
      </c>
      <c r="N1132" s="145"/>
      <c r="O1132" s="156" t="s">
        <v>135</v>
      </c>
      <c r="P1132" s="144" t="s">
        <v>2468</v>
      </c>
      <c r="Q1132" s="147"/>
      <c r="R1132" s="146"/>
      <c r="S1132" s="157"/>
      <c r="T1132" s="144" t="s">
        <v>29</v>
      </c>
      <c r="U1132" s="150" t="s">
        <v>14</v>
      </c>
      <c r="V1132" s="146">
        <v>1522</v>
      </c>
      <c r="W1132" s="148"/>
      <c r="X1132" s="149">
        <v>45689</v>
      </c>
      <c r="Y1132" s="165" t="s">
        <v>2474</v>
      </c>
    </row>
    <row r="1133" spans="1:25">
      <c r="A1133" s="163" t="s">
        <v>380</v>
      </c>
      <c r="B1133" s="144" t="s">
        <v>2463</v>
      </c>
      <c r="C1133" s="164" t="s">
        <v>4443</v>
      </c>
      <c r="D1133" s="144" t="s">
        <v>4442</v>
      </c>
      <c r="E1133" s="150" t="s">
        <v>2555</v>
      </c>
      <c r="F1133" s="144" t="s">
        <v>2556</v>
      </c>
      <c r="G1133" s="166"/>
      <c r="H1133" s="151">
        <v>1</v>
      </c>
      <c r="I1133" s="160">
        <v>150</v>
      </c>
      <c r="J1133" s="159">
        <v>150</v>
      </c>
      <c r="K1133" s="161">
        <v>150</v>
      </c>
      <c r="L1133" s="159">
        <v>150</v>
      </c>
      <c r="M1133" s="160">
        <v>150</v>
      </c>
      <c r="N1133" s="145"/>
      <c r="O1133" s="156" t="s">
        <v>135</v>
      </c>
      <c r="P1133" s="144" t="s">
        <v>2468</v>
      </c>
      <c r="Q1133" s="147"/>
      <c r="R1133" s="146"/>
      <c r="S1133" s="157"/>
      <c r="T1133" s="144" t="s">
        <v>29</v>
      </c>
      <c r="U1133" s="150" t="s">
        <v>14</v>
      </c>
      <c r="V1133" s="146">
        <v>1523</v>
      </c>
      <c r="W1133" s="148"/>
      <c r="X1133" s="149">
        <v>45689</v>
      </c>
      <c r="Y1133" s="165" t="s">
        <v>2474</v>
      </c>
    </row>
    <row r="1134" spans="1:25">
      <c r="A1134" s="163" t="s">
        <v>380</v>
      </c>
      <c r="B1134" s="144" t="s">
        <v>2463</v>
      </c>
      <c r="C1134" s="164" t="s">
        <v>415</v>
      </c>
      <c r="D1134" s="144" t="s">
        <v>416</v>
      </c>
      <c r="E1134" s="150" t="s">
        <v>2466</v>
      </c>
      <c r="F1134" s="144" t="s">
        <v>2467</v>
      </c>
      <c r="G1134" s="166"/>
      <c r="H1134" s="151">
        <v>1</v>
      </c>
      <c r="I1134" s="160">
        <v>250</v>
      </c>
      <c r="J1134" s="159">
        <v>250</v>
      </c>
      <c r="K1134" s="161">
        <v>250</v>
      </c>
      <c r="L1134" s="159">
        <v>250</v>
      </c>
      <c r="M1134" s="160">
        <v>250</v>
      </c>
      <c r="N1134" s="145">
        <v>1000</v>
      </c>
      <c r="O1134" s="156" t="s">
        <v>28</v>
      </c>
      <c r="P1134" s="144" t="s">
        <v>2468</v>
      </c>
      <c r="Q1134" s="147">
        <v>46784</v>
      </c>
      <c r="R1134" s="146">
        <v>2048</v>
      </c>
      <c r="S1134" s="157"/>
      <c r="T1134" s="144" t="s">
        <v>28</v>
      </c>
      <c r="U1134" s="150" t="s">
        <v>20</v>
      </c>
      <c r="V1134" s="146">
        <v>2906</v>
      </c>
      <c r="W1134" s="148" t="s">
        <v>4444</v>
      </c>
      <c r="X1134" s="149">
        <v>45901</v>
      </c>
      <c r="Y1134" s="165" t="s">
        <v>2712</v>
      </c>
    </row>
    <row r="1135" spans="1:25">
      <c r="A1135" s="163" t="s">
        <v>565</v>
      </c>
      <c r="B1135" s="144" t="s">
        <v>163</v>
      </c>
      <c r="C1135" s="164" t="s">
        <v>4445</v>
      </c>
      <c r="D1135" s="144" t="s">
        <v>1137</v>
      </c>
      <c r="E1135" s="150" t="s">
        <v>2593</v>
      </c>
      <c r="F1135" s="144" t="s">
        <v>2482</v>
      </c>
      <c r="G1135" s="166" t="s">
        <v>4446</v>
      </c>
      <c r="H1135" s="151">
        <v>1</v>
      </c>
      <c r="I1135" s="160">
        <v>28</v>
      </c>
      <c r="J1135" s="159">
        <v>28</v>
      </c>
      <c r="K1135" s="161">
        <v>28</v>
      </c>
      <c r="L1135" s="159">
        <v>28</v>
      </c>
      <c r="M1135" s="160">
        <v>28</v>
      </c>
      <c r="N1135" s="145"/>
      <c r="O1135" s="156" t="s">
        <v>166</v>
      </c>
      <c r="P1135" s="144" t="s">
        <v>2480</v>
      </c>
      <c r="Q1135" s="147"/>
      <c r="R1135" s="146">
        <v>2100</v>
      </c>
      <c r="S1135" s="157"/>
      <c r="T1135" s="144" t="s">
        <v>25</v>
      </c>
      <c r="U1135" s="150" t="s">
        <v>18</v>
      </c>
      <c r="V1135" s="146">
        <v>1170</v>
      </c>
      <c r="W1135" s="148"/>
      <c r="X1135" s="149">
        <v>45566</v>
      </c>
      <c r="Y1135" s="165" t="s">
        <v>2913</v>
      </c>
    </row>
    <row r="1136" spans="1:25">
      <c r="A1136" s="163" t="s">
        <v>7</v>
      </c>
      <c r="B1136" s="144" t="s">
        <v>2463</v>
      </c>
      <c r="C1136" s="164" t="s">
        <v>1165</v>
      </c>
      <c r="D1136" s="144" t="s">
        <v>4447</v>
      </c>
      <c r="E1136" s="150" t="s">
        <v>2466</v>
      </c>
      <c r="F1136" s="144" t="s">
        <v>2467</v>
      </c>
      <c r="G1136" s="166"/>
      <c r="H1136" s="151">
        <v>1</v>
      </c>
      <c r="I1136" s="160">
        <v>275</v>
      </c>
      <c r="J1136" s="159">
        <v>275</v>
      </c>
      <c r="K1136" s="161">
        <v>275</v>
      </c>
      <c r="L1136" s="159">
        <v>275</v>
      </c>
      <c r="M1136" s="160">
        <v>275</v>
      </c>
      <c r="N1136" s="145">
        <v>2200</v>
      </c>
      <c r="O1136" s="156" t="s">
        <v>28</v>
      </c>
      <c r="P1136" s="144" t="s">
        <v>2468</v>
      </c>
      <c r="Q1136" s="147">
        <v>46722</v>
      </c>
      <c r="R1136" s="146"/>
      <c r="S1136" s="157"/>
      <c r="T1136" s="144" t="s">
        <v>28</v>
      </c>
      <c r="U1136" s="150" t="s">
        <v>20</v>
      </c>
      <c r="V1136" s="146">
        <v>2631</v>
      </c>
      <c r="W1136" s="148"/>
      <c r="X1136" s="149">
        <v>45901</v>
      </c>
      <c r="Y1136" s="165" t="s">
        <v>2490</v>
      </c>
    </row>
    <row r="1137" spans="1:25">
      <c r="A1137" s="163" t="s">
        <v>7</v>
      </c>
      <c r="B1137" s="144" t="s">
        <v>2463</v>
      </c>
      <c r="C1137" s="164" t="s">
        <v>4448</v>
      </c>
      <c r="D1137" s="144" t="s">
        <v>4447</v>
      </c>
      <c r="E1137" s="150" t="s">
        <v>2491</v>
      </c>
      <c r="F1137" s="144" t="s">
        <v>2477</v>
      </c>
      <c r="G1137" s="166"/>
      <c r="H1137" s="151">
        <v>1</v>
      </c>
      <c r="I1137" s="160"/>
      <c r="J1137" s="159">
        <v>252</v>
      </c>
      <c r="K1137" s="161"/>
      <c r="L1137" s="159">
        <v>252</v>
      </c>
      <c r="M1137" s="160">
        <v>252</v>
      </c>
      <c r="N1137" s="145"/>
      <c r="O1137" s="156" t="s">
        <v>135</v>
      </c>
      <c r="P1137" s="144" t="s">
        <v>2478</v>
      </c>
      <c r="Q1137" s="147"/>
      <c r="R1137" s="146"/>
      <c r="S1137" s="157"/>
      <c r="T1137" s="144" t="s">
        <v>29</v>
      </c>
      <c r="U1137" s="150" t="s">
        <v>2479</v>
      </c>
      <c r="V1137" s="146">
        <v>2521</v>
      </c>
      <c r="W1137" s="148" t="s">
        <v>4449</v>
      </c>
      <c r="X1137" s="149">
        <v>45689</v>
      </c>
      <c r="Y1137" s="165" t="s">
        <v>2520</v>
      </c>
    </row>
    <row r="1138" spans="1:25">
      <c r="A1138" s="163" t="s">
        <v>7</v>
      </c>
      <c r="B1138" s="144" t="s">
        <v>2463</v>
      </c>
      <c r="C1138" s="164" t="s">
        <v>4450</v>
      </c>
      <c r="D1138" s="144" t="s">
        <v>4451</v>
      </c>
      <c r="E1138" s="150" t="s">
        <v>2466</v>
      </c>
      <c r="F1138" s="144" t="s">
        <v>2467</v>
      </c>
      <c r="G1138" s="166"/>
      <c r="H1138" s="151">
        <v>1</v>
      </c>
      <c r="I1138" s="160">
        <v>130</v>
      </c>
      <c r="J1138" s="159">
        <v>130</v>
      </c>
      <c r="K1138" s="161">
        <v>130</v>
      </c>
      <c r="L1138" s="159">
        <v>130</v>
      </c>
      <c r="M1138" s="160">
        <v>130</v>
      </c>
      <c r="N1138" s="145">
        <v>0</v>
      </c>
      <c r="O1138" s="156" t="s">
        <v>135</v>
      </c>
      <c r="P1138" s="144" t="s">
        <v>2468</v>
      </c>
      <c r="Q1138" s="147"/>
      <c r="R1138" s="146"/>
      <c r="S1138" s="157"/>
      <c r="T1138" s="144" t="s">
        <v>29</v>
      </c>
      <c r="U1138" s="150" t="s">
        <v>20</v>
      </c>
      <c r="V1138" s="146">
        <v>2208</v>
      </c>
      <c r="W1138" s="148" t="s">
        <v>4452</v>
      </c>
      <c r="X1138" s="149">
        <v>45901</v>
      </c>
      <c r="Y1138" s="165" t="s">
        <v>4083</v>
      </c>
    </row>
    <row r="1139" spans="1:25">
      <c r="A1139" s="163" t="s">
        <v>423</v>
      </c>
      <c r="B1139" s="144" t="s">
        <v>2463</v>
      </c>
      <c r="C1139" s="164" t="s">
        <v>4453</v>
      </c>
      <c r="D1139" s="144" t="s">
        <v>4454</v>
      </c>
      <c r="E1139" s="150" t="s">
        <v>2485</v>
      </c>
      <c r="F1139" s="144" t="s">
        <v>2486</v>
      </c>
      <c r="G1139" s="166"/>
      <c r="H1139" s="151">
        <v>1</v>
      </c>
      <c r="I1139" s="160"/>
      <c r="J1139" s="159">
        <v>40</v>
      </c>
      <c r="K1139" s="161"/>
      <c r="L1139" s="159">
        <v>40</v>
      </c>
      <c r="M1139" s="160">
        <v>40</v>
      </c>
      <c r="N1139" s="145"/>
      <c r="O1139" s="156" t="s">
        <v>135</v>
      </c>
      <c r="P1139" s="144" t="s">
        <v>2478</v>
      </c>
      <c r="Q1139" s="147"/>
      <c r="R1139" s="146"/>
      <c r="S1139" s="157"/>
      <c r="T1139" s="144" t="s">
        <v>29</v>
      </c>
      <c r="U1139" s="150" t="s">
        <v>17</v>
      </c>
      <c r="V1139" s="146">
        <v>2060</v>
      </c>
      <c r="W1139" s="148"/>
      <c r="X1139" s="149">
        <v>45901</v>
      </c>
      <c r="Y1139" s="165" t="s">
        <v>2704</v>
      </c>
    </row>
    <row r="1140" spans="1:25">
      <c r="A1140" s="163" t="s">
        <v>7</v>
      </c>
      <c r="B1140" s="144" t="s">
        <v>163</v>
      </c>
      <c r="C1140" s="164" t="s">
        <v>1223</v>
      </c>
      <c r="D1140" s="144" t="s">
        <v>960</v>
      </c>
      <c r="E1140" s="150" t="s">
        <v>2466</v>
      </c>
      <c r="F1140" s="144" t="s">
        <v>2467</v>
      </c>
      <c r="G1140" s="166" t="s">
        <v>4455</v>
      </c>
      <c r="H1140" s="151">
        <v>1</v>
      </c>
      <c r="I1140" s="160"/>
      <c r="J1140" s="159">
        <v>60</v>
      </c>
      <c r="K1140" s="161"/>
      <c r="L1140" s="159">
        <v>60</v>
      </c>
      <c r="M1140" s="160">
        <v>60</v>
      </c>
      <c r="N1140" s="145">
        <v>120</v>
      </c>
      <c r="O1140" s="156" t="s">
        <v>166</v>
      </c>
      <c r="P1140" s="144" t="s">
        <v>2468</v>
      </c>
      <c r="Q1140" s="147">
        <v>44958</v>
      </c>
      <c r="R1140" s="146">
        <v>2051</v>
      </c>
      <c r="S1140" s="157"/>
      <c r="T1140" s="144" t="s">
        <v>25</v>
      </c>
      <c r="U1140" s="150" t="s">
        <v>20</v>
      </c>
      <c r="V1140" s="146">
        <v>1936</v>
      </c>
      <c r="W1140" s="148" t="s">
        <v>4456</v>
      </c>
      <c r="X1140" s="149">
        <v>45689</v>
      </c>
      <c r="Y1140" s="165" t="s">
        <v>2520</v>
      </c>
    </row>
    <row r="1141" spans="1:25">
      <c r="A1141" s="163" t="s">
        <v>7</v>
      </c>
      <c r="B1141" s="144" t="s">
        <v>163</v>
      </c>
      <c r="C1141" s="164" t="s">
        <v>1224</v>
      </c>
      <c r="D1141" s="144" t="s">
        <v>1225</v>
      </c>
      <c r="E1141" s="150" t="s">
        <v>2466</v>
      </c>
      <c r="F1141" s="144" t="s">
        <v>2467</v>
      </c>
      <c r="G1141" s="166" t="s">
        <v>4457</v>
      </c>
      <c r="H1141" s="151">
        <v>1</v>
      </c>
      <c r="I1141" s="160"/>
      <c r="J1141" s="159">
        <v>65</v>
      </c>
      <c r="K1141" s="161"/>
      <c r="L1141" s="159">
        <v>65</v>
      </c>
      <c r="M1141" s="160">
        <v>65</v>
      </c>
      <c r="N1141" s="145">
        <v>130</v>
      </c>
      <c r="O1141" s="156" t="s">
        <v>166</v>
      </c>
      <c r="P1141" s="144" t="s">
        <v>2468</v>
      </c>
      <c r="Q1141" s="147">
        <v>45139</v>
      </c>
      <c r="R1141" s="146">
        <v>2051</v>
      </c>
      <c r="S1141" s="157"/>
      <c r="T1141" s="144" t="s">
        <v>25</v>
      </c>
      <c r="U1141" s="150" t="s">
        <v>20</v>
      </c>
      <c r="V1141" s="146">
        <v>2018</v>
      </c>
      <c r="W1141" s="148"/>
      <c r="X1141" s="149">
        <v>45689</v>
      </c>
      <c r="Y1141" s="165" t="s">
        <v>2558</v>
      </c>
    </row>
    <row r="1142" spans="1:25">
      <c r="A1142" s="163" t="s">
        <v>380</v>
      </c>
      <c r="B1142" s="144" t="s">
        <v>2463</v>
      </c>
      <c r="C1142" s="164" t="s">
        <v>4458</v>
      </c>
      <c r="D1142" s="144" t="s">
        <v>1698</v>
      </c>
      <c r="E1142" s="150" t="s">
        <v>2491</v>
      </c>
      <c r="F1142" s="144" t="s">
        <v>2477</v>
      </c>
      <c r="G1142" s="166"/>
      <c r="H1142" s="151">
        <v>1</v>
      </c>
      <c r="I1142" s="160">
        <v>330</v>
      </c>
      <c r="J1142" s="159">
        <v>330</v>
      </c>
      <c r="K1142" s="161">
        <v>330</v>
      </c>
      <c r="L1142" s="159">
        <v>330</v>
      </c>
      <c r="M1142" s="160">
        <v>330</v>
      </c>
      <c r="N1142" s="145"/>
      <c r="O1142" s="156" t="s">
        <v>135</v>
      </c>
      <c r="P1142" s="144" t="s">
        <v>2478</v>
      </c>
      <c r="Q1142" s="147"/>
      <c r="R1142" s="146"/>
      <c r="S1142" s="157"/>
      <c r="T1142" s="144" t="s">
        <v>29</v>
      </c>
      <c r="U1142" s="150" t="s">
        <v>2479</v>
      </c>
      <c r="V1142" s="146">
        <v>1410</v>
      </c>
      <c r="W1142" s="148"/>
      <c r="X1142" s="149">
        <v>45901</v>
      </c>
      <c r="Y1142" s="165" t="s">
        <v>3772</v>
      </c>
    </row>
    <row r="1143" spans="1:25">
      <c r="A1143" s="163" t="s">
        <v>380</v>
      </c>
      <c r="B1143" s="144" t="s">
        <v>2463</v>
      </c>
      <c r="C1143" s="164" t="s">
        <v>4459</v>
      </c>
      <c r="D1143" s="144" t="s">
        <v>1698</v>
      </c>
      <c r="E1143" s="150" t="s">
        <v>2466</v>
      </c>
      <c r="F1143" s="144" t="s">
        <v>2467</v>
      </c>
      <c r="G1143" s="166"/>
      <c r="H1143" s="151">
        <v>1</v>
      </c>
      <c r="I1143" s="160"/>
      <c r="J1143" s="159">
        <v>100</v>
      </c>
      <c r="K1143" s="161"/>
      <c r="L1143" s="159">
        <v>100</v>
      </c>
      <c r="M1143" s="160">
        <v>100</v>
      </c>
      <c r="N1143" s="145">
        <v>0</v>
      </c>
      <c r="O1143" s="156" t="s">
        <v>135</v>
      </c>
      <c r="P1143" s="144" t="s">
        <v>2468</v>
      </c>
      <c r="Q1143" s="147"/>
      <c r="R1143" s="146"/>
      <c r="S1143" s="157"/>
      <c r="T1143" s="144" t="s">
        <v>29</v>
      </c>
      <c r="U1143" s="150" t="s">
        <v>20</v>
      </c>
      <c r="V1143" s="146">
        <v>2053</v>
      </c>
      <c r="W1143" s="148"/>
      <c r="X1143" s="149">
        <v>45901</v>
      </c>
      <c r="Y1143" s="165" t="s">
        <v>2704</v>
      </c>
    </row>
    <row r="1144" spans="1:25">
      <c r="A1144" s="163" t="s">
        <v>423</v>
      </c>
      <c r="B1144" s="144" t="s">
        <v>2463</v>
      </c>
      <c r="C1144" s="164" t="s">
        <v>4460</v>
      </c>
      <c r="D1144" s="144" t="s">
        <v>3205</v>
      </c>
      <c r="E1144" s="150" t="s">
        <v>2466</v>
      </c>
      <c r="F1144" s="144" t="s">
        <v>2467</v>
      </c>
      <c r="G1144" s="166"/>
      <c r="H1144" s="151">
        <v>1</v>
      </c>
      <c r="I1144" s="160">
        <v>250</v>
      </c>
      <c r="J1144" s="159">
        <v>250</v>
      </c>
      <c r="K1144" s="161">
        <v>250</v>
      </c>
      <c r="L1144" s="159">
        <v>250</v>
      </c>
      <c r="M1144" s="160">
        <v>250</v>
      </c>
      <c r="N1144" s="145">
        <v>0</v>
      </c>
      <c r="O1144" s="156" t="s">
        <v>135</v>
      </c>
      <c r="P1144" s="144" t="s">
        <v>2468</v>
      </c>
      <c r="Q1144" s="147"/>
      <c r="R1144" s="146"/>
      <c r="S1144" s="157"/>
      <c r="T1144" s="144" t="s">
        <v>29</v>
      </c>
      <c r="U1144" s="150" t="s">
        <v>20</v>
      </c>
      <c r="V1144" s="146">
        <v>2397</v>
      </c>
      <c r="W1144" s="148" t="s">
        <v>4461</v>
      </c>
      <c r="X1144" s="149">
        <v>45689</v>
      </c>
      <c r="Y1144" s="165" t="s">
        <v>3207</v>
      </c>
    </row>
    <row r="1145" spans="1:25">
      <c r="A1145" s="163" t="s">
        <v>309</v>
      </c>
      <c r="B1145" s="144" t="s">
        <v>2463</v>
      </c>
      <c r="C1145" s="164" t="s">
        <v>4462</v>
      </c>
      <c r="D1145" s="144" t="s">
        <v>4463</v>
      </c>
      <c r="E1145" s="150" t="s">
        <v>2466</v>
      </c>
      <c r="F1145" s="144" t="s">
        <v>2467</v>
      </c>
      <c r="G1145" s="166"/>
      <c r="H1145" s="151">
        <v>217</v>
      </c>
      <c r="I1145" s="160">
        <v>2.4</v>
      </c>
      <c r="J1145" s="159">
        <v>2.4</v>
      </c>
      <c r="K1145" s="161">
        <v>520.79999999999995</v>
      </c>
      <c r="L1145" s="159">
        <v>520.79999999999995</v>
      </c>
      <c r="M1145" s="160">
        <v>520.79999999999995</v>
      </c>
      <c r="N1145" s="145">
        <v>800</v>
      </c>
      <c r="O1145" s="156" t="s">
        <v>135</v>
      </c>
      <c r="P1145" s="144" t="s">
        <v>2468</v>
      </c>
      <c r="Q1145" s="147"/>
      <c r="R1145" s="146"/>
      <c r="S1145" s="157"/>
      <c r="T1145" s="144" t="s">
        <v>29</v>
      </c>
      <c r="U1145" s="150" t="s">
        <v>20</v>
      </c>
      <c r="V1145" s="146">
        <v>2838</v>
      </c>
      <c r="W1145" s="148" t="s">
        <v>4464</v>
      </c>
      <c r="X1145" s="149"/>
      <c r="Y1145" s="165" t="s">
        <v>2474</v>
      </c>
    </row>
    <row r="1146" spans="1:25">
      <c r="A1146" s="163" t="s">
        <v>565</v>
      </c>
      <c r="B1146" s="144" t="s">
        <v>2463</v>
      </c>
      <c r="C1146" s="164" t="s">
        <v>4465</v>
      </c>
      <c r="D1146" s="144" t="s">
        <v>4466</v>
      </c>
      <c r="E1146" s="150" t="s">
        <v>2485</v>
      </c>
      <c r="F1146" s="144" t="s">
        <v>2486</v>
      </c>
      <c r="G1146" s="166"/>
      <c r="H1146" s="151">
        <v>1</v>
      </c>
      <c r="I1146" s="160"/>
      <c r="J1146" s="159">
        <v>929</v>
      </c>
      <c r="K1146" s="161"/>
      <c r="L1146" s="159">
        <v>929</v>
      </c>
      <c r="M1146" s="160">
        <v>929</v>
      </c>
      <c r="N1146" s="145"/>
      <c r="O1146" s="156" t="s">
        <v>135</v>
      </c>
      <c r="P1146" s="144" t="s">
        <v>2478</v>
      </c>
      <c r="Q1146" s="147"/>
      <c r="R1146" s="146"/>
      <c r="S1146" s="157"/>
      <c r="T1146" s="144" t="s">
        <v>29</v>
      </c>
      <c r="U1146" s="150" t="s">
        <v>17</v>
      </c>
      <c r="V1146" s="146">
        <v>2056</v>
      </c>
      <c r="W1146" s="148" t="s">
        <v>4467</v>
      </c>
      <c r="X1146" s="149">
        <v>45689</v>
      </c>
      <c r="Y1146" s="165" t="s">
        <v>2470</v>
      </c>
    </row>
    <row r="1147" spans="1:25">
      <c r="A1147" s="163" t="s">
        <v>380</v>
      </c>
      <c r="B1147" s="144" t="s">
        <v>2463</v>
      </c>
      <c r="C1147" s="164" t="s">
        <v>4468</v>
      </c>
      <c r="D1147" s="144" t="s">
        <v>4469</v>
      </c>
      <c r="E1147" s="150" t="s">
        <v>2466</v>
      </c>
      <c r="F1147" s="144" t="s">
        <v>2467</v>
      </c>
      <c r="G1147" s="166"/>
      <c r="H1147" s="151">
        <v>1</v>
      </c>
      <c r="I1147" s="160">
        <v>0</v>
      </c>
      <c r="J1147" s="159">
        <v>400</v>
      </c>
      <c r="K1147" s="161">
        <v>0</v>
      </c>
      <c r="L1147" s="159">
        <v>400</v>
      </c>
      <c r="M1147" s="160">
        <v>400</v>
      </c>
      <c r="N1147" s="145">
        <v>1211</v>
      </c>
      <c r="O1147" s="156" t="s">
        <v>135</v>
      </c>
      <c r="P1147" s="144" t="s">
        <v>2468</v>
      </c>
      <c r="Q1147" s="147"/>
      <c r="R1147" s="146"/>
      <c r="S1147" s="157"/>
      <c r="T1147" s="144" t="s">
        <v>29</v>
      </c>
      <c r="U1147" s="150" t="s">
        <v>20</v>
      </c>
      <c r="V1147" s="146">
        <v>3060</v>
      </c>
      <c r="W1147" s="148" t="s">
        <v>4470</v>
      </c>
      <c r="X1147" s="149">
        <v>45901</v>
      </c>
      <c r="Y1147" s="165" t="s">
        <v>2490</v>
      </c>
    </row>
    <row r="1148" spans="1:25">
      <c r="A1148" s="163" t="s">
        <v>380</v>
      </c>
      <c r="B1148" s="144" t="s">
        <v>2463</v>
      </c>
      <c r="C1148" s="164" t="s">
        <v>4471</v>
      </c>
      <c r="D1148" s="144" t="s">
        <v>4472</v>
      </c>
      <c r="E1148" s="150" t="s">
        <v>2491</v>
      </c>
      <c r="F1148" s="144" t="s">
        <v>2477</v>
      </c>
      <c r="G1148" s="166"/>
      <c r="H1148" s="151">
        <v>127</v>
      </c>
      <c r="I1148" s="160"/>
      <c r="J1148" s="159">
        <v>3.94</v>
      </c>
      <c r="K1148" s="161"/>
      <c r="L1148" s="159">
        <v>500</v>
      </c>
      <c r="M1148" s="160">
        <v>500</v>
      </c>
      <c r="N1148" s="145"/>
      <c r="O1148" s="156" t="s">
        <v>135</v>
      </c>
      <c r="P1148" s="144" t="s">
        <v>2478</v>
      </c>
      <c r="Q1148" s="147"/>
      <c r="R1148" s="146"/>
      <c r="S1148" s="157"/>
      <c r="T1148" s="144" t="s">
        <v>29</v>
      </c>
      <c r="U1148" s="150" t="s">
        <v>2479</v>
      </c>
      <c r="V1148" s="146">
        <v>2549</v>
      </c>
      <c r="W1148" s="148" t="s">
        <v>4473</v>
      </c>
      <c r="X1148" s="149">
        <v>45689</v>
      </c>
      <c r="Y1148" s="165" t="s">
        <v>2500</v>
      </c>
    </row>
    <row r="1149" spans="1:25">
      <c r="A1149" s="163" t="s">
        <v>380</v>
      </c>
      <c r="B1149" s="144" t="s">
        <v>2463</v>
      </c>
      <c r="C1149" s="164" t="s">
        <v>4471</v>
      </c>
      <c r="D1149" s="144" t="s">
        <v>4472</v>
      </c>
      <c r="E1149" s="150" t="s">
        <v>2466</v>
      </c>
      <c r="F1149" s="144" t="s">
        <v>2467</v>
      </c>
      <c r="G1149" s="166"/>
      <c r="H1149" s="151">
        <v>2</v>
      </c>
      <c r="I1149" s="160"/>
      <c r="J1149" s="159">
        <v>125</v>
      </c>
      <c r="K1149" s="161"/>
      <c r="L1149" s="159">
        <v>250</v>
      </c>
      <c r="M1149" s="160">
        <v>250</v>
      </c>
      <c r="N1149" s="145">
        <v>500</v>
      </c>
      <c r="O1149" s="156" t="s">
        <v>135</v>
      </c>
      <c r="P1149" s="144" t="s">
        <v>2468</v>
      </c>
      <c r="Q1149" s="147"/>
      <c r="R1149" s="146"/>
      <c r="S1149" s="157"/>
      <c r="T1149" s="144" t="s">
        <v>29</v>
      </c>
      <c r="U1149" s="150" t="s">
        <v>20</v>
      </c>
      <c r="V1149" s="146">
        <v>2549</v>
      </c>
      <c r="W1149" s="148" t="s">
        <v>4473</v>
      </c>
      <c r="X1149" s="149">
        <v>45689</v>
      </c>
      <c r="Y1149" s="165" t="s">
        <v>2500</v>
      </c>
    </row>
    <row r="1150" spans="1:25">
      <c r="A1150" s="163" t="s">
        <v>309</v>
      </c>
      <c r="B1150" s="144" t="s">
        <v>163</v>
      </c>
      <c r="C1150" s="164" t="s">
        <v>4474</v>
      </c>
      <c r="D1150" s="144" t="s">
        <v>4475</v>
      </c>
      <c r="E1150" s="150" t="s">
        <v>2467</v>
      </c>
      <c r="F1150" s="144" t="s">
        <v>3104</v>
      </c>
      <c r="G1150" s="166" t="s">
        <v>4476</v>
      </c>
      <c r="H1150" s="151">
        <v>1</v>
      </c>
      <c r="I1150" s="160">
        <v>30</v>
      </c>
      <c r="J1150" s="159">
        <v>30</v>
      </c>
      <c r="K1150" s="161">
        <v>30</v>
      </c>
      <c r="L1150" s="159">
        <v>30</v>
      </c>
      <c r="M1150" s="160">
        <v>30</v>
      </c>
      <c r="N1150" s="145"/>
      <c r="O1150" s="156" t="s">
        <v>166</v>
      </c>
      <c r="P1150" s="144" t="s">
        <v>2480</v>
      </c>
      <c r="Q1150" s="147"/>
      <c r="R1150" s="146">
        <v>2073</v>
      </c>
      <c r="S1150" s="157"/>
      <c r="T1150" s="144" t="s">
        <v>25</v>
      </c>
      <c r="U1150" s="150" t="s">
        <v>19</v>
      </c>
      <c r="V1150" s="146">
        <v>1172</v>
      </c>
      <c r="W1150" s="148"/>
      <c r="X1150" s="149">
        <v>45778</v>
      </c>
      <c r="Y1150" s="165" t="s">
        <v>2981</v>
      </c>
    </row>
    <row r="1151" spans="1:25">
      <c r="A1151" s="163" t="s">
        <v>7</v>
      </c>
      <c r="B1151" s="144" t="s">
        <v>2463</v>
      </c>
      <c r="C1151" s="164" t="s">
        <v>4477</v>
      </c>
      <c r="D1151" s="144" t="s">
        <v>616</v>
      </c>
      <c r="E1151" s="150" t="s">
        <v>2466</v>
      </c>
      <c r="F1151" s="144" t="s">
        <v>2467</v>
      </c>
      <c r="G1151" s="166"/>
      <c r="H1151" s="151">
        <v>1</v>
      </c>
      <c r="I1151" s="160">
        <v>110</v>
      </c>
      <c r="J1151" s="159">
        <v>110</v>
      </c>
      <c r="K1151" s="161">
        <v>110</v>
      </c>
      <c r="L1151" s="159">
        <v>110</v>
      </c>
      <c r="M1151" s="160">
        <v>110</v>
      </c>
      <c r="N1151" s="145">
        <v>220</v>
      </c>
      <c r="O1151" s="156" t="s">
        <v>135</v>
      </c>
      <c r="P1151" s="144" t="s">
        <v>2468</v>
      </c>
      <c r="Q1151" s="147"/>
      <c r="R1151" s="146"/>
      <c r="S1151" s="157"/>
      <c r="T1151" s="144" t="s">
        <v>29</v>
      </c>
      <c r="U1151" s="150" t="s">
        <v>20</v>
      </c>
      <c r="V1151" s="146">
        <v>2643</v>
      </c>
      <c r="W1151" s="148" t="s">
        <v>4478</v>
      </c>
      <c r="X1151" s="149">
        <v>45689</v>
      </c>
      <c r="Y1151" s="165" t="s">
        <v>2474</v>
      </c>
    </row>
    <row r="1152" spans="1:25">
      <c r="A1152" s="163" t="s">
        <v>7</v>
      </c>
      <c r="B1152" s="144" t="s">
        <v>2463</v>
      </c>
      <c r="C1152" s="164" t="s">
        <v>4479</v>
      </c>
      <c r="D1152" s="144" t="s">
        <v>616</v>
      </c>
      <c r="E1152" s="150" t="s">
        <v>2476</v>
      </c>
      <c r="F1152" s="144" t="s">
        <v>2477</v>
      </c>
      <c r="G1152" s="166"/>
      <c r="H1152" s="151">
        <v>1</v>
      </c>
      <c r="I1152" s="160">
        <v>220</v>
      </c>
      <c r="J1152" s="159">
        <v>220</v>
      </c>
      <c r="K1152" s="161">
        <v>220</v>
      </c>
      <c r="L1152" s="159">
        <v>220</v>
      </c>
      <c r="M1152" s="160">
        <v>220</v>
      </c>
      <c r="N1152" s="145"/>
      <c r="O1152" s="156" t="s">
        <v>135</v>
      </c>
      <c r="P1152" s="144" t="s">
        <v>2478</v>
      </c>
      <c r="Q1152" s="147"/>
      <c r="R1152" s="146"/>
      <c r="S1152" s="157"/>
      <c r="T1152" s="144" t="s">
        <v>29</v>
      </c>
      <c r="U1152" s="150" t="s">
        <v>2479</v>
      </c>
      <c r="V1152" s="146">
        <v>2642</v>
      </c>
      <c r="W1152" s="148" t="s">
        <v>4478</v>
      </c>
      <c r="X1152" s="149">
        <v>45689</v>
      </c>
      <c r="Y1152" s="165" t="s">
        <v>2612</v>
      </c>
    </row>
    <row r="1153" spans="1:25">
      <c r="A1153" s="163" t="s">
        <v>309</v>
      </c>
      <c r="B1153" s="144" t="s">
        <v>163</v>
      </c>
      <c r="C1153" s="164" t="s">
        <v>4480</v>
      </c>
      <c r="D1153" s="144" t="s">
        <v>1759</v>
      </c>
      <c r="E1153" s="150" t="s">
        <v>2555</v>
      </c>
      <c r="F1153" s="144" t="s">
        <v>2556</v>
      </c>
      <c r="G1153" s="166" t="s">
        <v>4481</v>
      </c>
      <c r="H1153" s="151">
        <v>1</v>
      </c>
      <c r="I1153" s="160"/>
      <c r="J1153" s="159">
        <v>40</v>
      </c>
      <c r="K1153" s="161"/>
      <c r="L1153" s="159">
        <v>40</v>
      </c>
      <c r="M1153" s="160">
        <v>40</v>
      </c>
      <c r="N1153" s="145"/>
      <c r="O1153" s="156" t="s">
        <v>166</v>
      </c>
      <c r="P1153" s="144" t="s">
        <v>2468</v>
      </c>
      <c r="Q1153" s="147"/>
      <c r="R1153" s="146">
        <v>2034</v>
      </c>
      <c r="S1153" s="157"/>
      <c r="T1153" s="144" t="s">
        <v>25</v>
      </c>
      <c r="U1153" s="150" t="s">
        <v>14</v>
      </c>
      <c r="V1153" s="146">
        <v>1173</v>
      </c>
      <c r="W1153" s="148"/>
      <c r="X1153" s="149">
        <v>45689</v>
      </c>
      <c r="Y1153" s="165" t="s">
        <v>2500</v>
      </c>
    </row>
    <row r="1154" spans="1:25">
      <c r="A1154" s="163" t="s">
        <v>309</v>
      </c>
      <c r="B1154" s="144" t="s">
        <v>163</v>
      </c>
      <c r="C1154" s="164" t="s">
        <v>4480</v>
      </c>
      <c r="D1154" s="144" t="s">
        <v>1759</v>
      </c>
      <c r="E1154" s="150" t="s">
        <v>2555</v>
      </c>
      <c r="F1154" s="144" t="s">
        <v>2556</v>
      </c>
      <c r="G1154" s="166" t="s">
        <v>4482</v>
      </c>
      <c r="H1154" s="151">
        <v>1</v>
      </c>
      <c r="I1154" s="160"/>
      <c r="J1154" s="159">
        <v>40</v>
      </c>
      <c r="K1154" s="161"/>
      <c r="L1154" s="159">
        <v>40</v>
      </c>
      <c r="M1154" s="160">
        <v>40</v>
      </c>
      <c r="N1154" s="145"/>
      <c r="O1154" s="156" t="s">
        <v>166</v>
      </c>
      <c r="P1154" s="144" t="s">
        <v>2468</v>
      </c>
      <c r="Q1154" s="147"/>
      <c r="R1154" s="146">
        <v>2034</v>
      </c>
      <c r="S1154" s="157"/>
      <c r="T1154" s="144" t="s">
        <v>25</v>
      </c>
      <c r="U1154" s="150" t="s">
        <v>14</v>
      </c>
      <c r="V1154" s="146">
        <v>1173</v>
      </c>
      <c r="W1154" s="148"/>
      <c r="X1154" s="149">
        <v>45689</v>
      </c>
      <c r="Y1154" s="165" t="s">
        <v>2500</v>
      </c>
    </row>
    <row r="1155" spans="1:25">
      <c r="A1155" s="163" t="s">
        <v>7</v>
      </c>
      <c r="B1155" s="144" t="s">
        <v>2463</v>
      </c>
      <c r="C1155" s="164" t="s">
        <v>4483</v>
      </c>
      <c r="D1155" s="144" t="s">
        <v>699</v>
      </c>
      <c r="E1155" s="150" t="s">
        <v>2466</v>
      </c>
      <c r="F1155" s="144" t="s">
        <v>2467</v>
      </c>
      <c r="G1155" s="166"/>
      <c r="H1155" s="151">
        <v>216</v>
      </c>
      <c r="I1155" s="160">
        <v>0</v>
      </c>
      <c r="J1155" s="159">
        <v>1</v>
      </c>
      <c r="K1155" s="161">
        <v>0</v>
      </c>
      <c r="L1155" s="159">
        <v>216</v>
      </c>
      <c r="M1155" s="160">
        <v>216</v>
      </c>
      <c r="N1155" s="145">
        <v>600</v>
      </c>
      <c r="O1155" s="156" t="s">
        <v>135</v>
      </c>
      <c r="P1155" s="144" t="s">
        <v>2468</v>
      </c>
      <c r="Q1155" s="147"/>
      <c r="R1155" s="146"/>
      <c r="S1155" s="157"/>
      <c r="T1155" s="144" t="s">
        <v>29</v>
      </c>
      <c r="U1155" s="150" t="s">
        <v>20</v>
      </c>
      <c r="V1155" s="146">
        <v>2538</v>
      </c>
      <c r="W1155" s="148" t="s">
        <v>4484</v>
      </c>
      <c r="X1155" s="149">
        <v>45689</v>
      </c>
      <c r="Y1155" s="165" t="s">
        <v>2538</v>
      </c>
    </row>
    <row r="1156" spans="1:25">
      <c r="A1156" s="163" t="s">
        <v>7</v>
      </c>
      <c r="B1156" s="144" t="s">
        <v>2463</v>
      </c>
      <c r="C1156" s="164" t="s">
        <v>4485</v>
      </c>
      <c r="D1156" s="144" t="s">
        <v>699</v>
      </c>
      <c r="E1156" s="150" t="s">
        <v>2491</v>
      </c>
      <c r="F1156" s="144" t="s">
        <v>2477</v>
      </c>
      <c r="G1156" s="166"/>
      <c r="H1156" s="151">
        <v>72</v>
      </c>
      <c r="I1156" s="160">
        <v>0</v>
      </c>
      <c r="J1156" s="159">
        <v>4.2</v>
      </c>
      <c r="K1156" s="161">
        <v>0</v>
      </c>
      <c r="L1156" s="159">
        <v>302.39999999999998</v>
      </c>
      <c r="M1156" s="160">
        <v>302.39999999999998</v>
      </c>
      <c r="N1156" s="145"/>
      <c r="O1156" s="156" t="s">
        <v>135</v>
      </c>
      <c r="P1156" s="144" t="s">
        <v>2478</v>
      </c>
      <c r="Q1156" s="147"/>
      <c r="R1156" s="146"/>
      <c r="S1156" s="157"/>
      <c r="T1156" s="144" t="s">
        <v>29</v>
      </c>
      <c r="U1156" s="150" t="s">
        <v>2479</v>
      </c>
      <c r="V1156" s="146">
        <v>2537</v>
      </c>
      <c r="W1156" s="148" t="s">
        <v>4484</v>
      </c>
      <c r="X1156" s="149">
        <v>45689</v>
      </c>
      <c r="Y1156" s="165" t="s">
        <v>2538</v>
      </c>
    </row>
    <row r="1157" spans="1:25">
      <c r="A1157" s="163" t="s">
        <v>7</v>
      </c>
      <c r="B1157" s="144" t="s">
        <v>2463</v>
      </c>
      <c r="C1157" s="164" t="s">
        <v>4486</v>
      </c>
      <c r="D1157" s="144" t="s">
        <v>699</v>
      </c>
      <c r="E1157" s="150" t="s">
        <v>2466</v>
      </c>
      <c r="F1157" s="144" t="s">
        <v>2467</v>
      </c>
      <c r="G1157" s="166"/>
      <c r="H1157" s="151">
        <v>240</v>
      </c>
      <c r="I1157" s="160"/>
      <c r="J1157" s="159">
        <v>1</v>
      </c>
      <c r="K1157" s="161"/>
      <c r="L1157" s="159">
        <v>240</v>
      </c>
      <c r="M1157" s="160">
        <v>240</v>
      </c>
      <c r="N1157" s="145">
        <v>800</v>
      </c>
      <c r="O1157" s="156" t="s">
        <v>135</v>
      </c>
      <c r="P1157" s="144" t="s">
        <v>2468</v>
      </c>
      <c r="Q1157" s="147"/>
      <c r="R1157" s="146"/>
      <c r="S1157" s="157"/>
      <c r="T1157" s="144" t="s">
        <v>29</v>
      </c>
      <c r="U1157" s="150" t="s">
        <v>20</v>
      </c>
      <c r="V1157" s="146">
        <v>2792</v>
      </c>
      <c r="W1157" s="148" t="s">
        <v>4487</v>
      </c>
      <c r="X1157" s="149">
        <v>45689</v>
      </c>
      <c r="Y1157" s="165" t="s">
        <v>2474</v>
      </c>
    </row>
    <row r="1158" spans="1:25">
      <c r="A1158" s="163" t="s">
        <v>309</v>
      </c>
      <c r="B1158" s="144" t="s">
        <v>163</v>
      </c>
      <c r="C1158" s="164" t="s">
        <v>2002</v>
      </c>
      <c r="D1158" s="144" t="s">
        <v>4488</v>
      </c>
      <c r="E1158" s="150" t="s">
        <v>2491</v>
      </c>
      <c r="F1158" s="144" t="s">
        <v>2477</v>
      </c>
      <c r="G1158" s="166" t="s">
        <v>4489</v>
      </c>
      <c r="H1158" s="151">
        <v>64</v>
      </c>
      <c r="I1158" s="160">
        <v>2</v>
      </c>
      <c r="J1158" s="159">
        <v>2</v>
      </c>
      <c r="K1158" s="161">
        <v>128</v>
      </c>
      <c r="L1158" s="159">
        <v>128</v>
      </c>
      <c r="M1158" s="160">
        <v>128</v>
      </c>
      <c r="N1158" s="145"/>
      <c r="O1158" s="156" t="s">
        <v>166</v>
      </c>
      <c r="P1158" s="144" t="s">
        <v>2478</v>
      </c>
      <c r="Q1158" s="147"/>
      <c r="R1158" s="146">
        <v>2043</v>
      </c>
      <c r="S1158" s="157"/>
      <c r="T1158" s="144" t="s">
        <v>25</v>
      </c>
      <c r="U1158" s="150" t="s">
        <v>2479</v>
      </c>
      <c r="V1158" s="146">
        <v>1401</v>
      </c>
      <c r="W1158" s="148"/>
      <c r="X1158" s="149">
        <v>45689</v>
      </c>
      <c r="Y1158" s="165" t="s">
        <v>3278</v>
      </c>
    </row>
    <row r="1159" spans="1:25">
      <c r="A1159" s="163" t="s">
        <v>565</v>
      </c>
      <c r="B1159" s="144" t="s">
        <v>163</v>
      </c>
      <c r="C1159" s="164" t="s">
        <v>4490</v>
      </c>
      <c r="D1159" s="144" t="s">
        <v>1137</v>
      </c>
      <c r="E1159" s="150" t="s">
        <v>2593</v>
      </c>
      <c r="F1159" s="144" t="s">
        <v>2482</v>
      </c>
      <c r="G1159" s="166" t="s">
        <v>4491</v>
      </c>
      <c r="H1159" s="151">
        <v>1</v>
      </c>
      <c r="I1159" s="160">
        <v>10.5</v>
      </c>
      <c r="J1159" s="159">
        <v>10.5</v>
      </c>
      <c r="K1159" s="161">
        <v>10.5</v>
      </c>
      <c r="L1159" s="159">
        <v>10.5</v>
      </c>
      <c r="M1159" s="160">
        <v>10.5</v>
      </c>
      <c r="N1159" s="145"/>
      <c r="O1159" s="156" t="s">
        <v>166</v>
      </c>
      <c r="P1159" s="144" t="s">
        <v>2480</v>
      </c>
      <c r="Q1159" s="147"/>
      <c r="R1159" s="146">
        <v>2100</v>
      </c>
      <c r="S1159" s="157"/>
      <c r="T1159" s="144" t="s">
        <v>25</v>
      </c>
      <c r="U1159" s="150" t="s">
        <v>18</v>
      </c>
      <c r="V1159" s="146">
        <v>1174</v>
      </c>
      <c r="W1159" s="148"/>
      <c r="X1159" s="149">
        <v>45566</v>
      </c>
      <c r="Y1159" s="165" t="s">
        <v>2913</v>
      </c>
    </row>
    <row r="1160" spans="1:25">
      <c r="A1160" s="163" t="s">
        <v>565</v>
      </c>
      <c r="B1160" s="144" t="s">
        <v>2463</v>
      </c>
      <c r="C1160" s="164" t="s">
        <v>4492</v>
      </c>
      <c r="D1160" s="144" t="s">
        <v>1137</v>
      </c>
      <c r="E1160" s="150" t="s">
        <v>2636</v>
      </c>
      <c r="F1160" s="144" t="s">
        <v>2482</v>
      </c>
      <c r="G1160" s="166"/>
      <c r="H1160" s="151">
        <v>4</v>
      </c>
      <c r="I1160" s="160"/>
      <c r="J1160" s="159">
        <v>187.5</v>
      </c>
      <c r="K1160" s="161"/>
      <c r="L1160" s="159">
        <v>750</v>
      </c>
      <c r="M1160" s="160">
        <v>750</v>
      </c>
      <c r="N1160" s="145">
        <v>12000</v>
      </c>
      <c r="O1160" s="156" t="s">
        <v>135</v>
      </c>
      <c r="P1160" s="144" t="s">
        <v>2468</v>
      </c>
      <c r="Q1160" s="147"/>
      <c r="R1160" s="146"/>
      <c r="S1160" s="157"/>
      <c r="T1160" s="144" t="s">
        <v>29</v>
      </c>
      <c r="U1160" s="150" t="s">
        <v>18</v>
      </c>
      <c r="V1160" s="146">
        <v>2225</v>
      </c>
      <c r="W1160" s="148" t="s">
        <v>4493</v>
      </c>
      <c r="X1160" s="149">
        <v>45689</v>
      </c>
      <c r="Y1160" s="165" t="s">
        <v>2637</v>
      </c>
    </row>
    <row r="1161" spans="1:25">
      <c r="A1161" s="163" t="s">
        <v>7</v>
      </c>
      <c r="B1161" s="144" t="s">
        <v>163</v>
      </c>
      <c r="C1161" s="164" t="s">
        <v>2299</v>
      </c>
      <c r="D1161" s="144" t="s">
        <v>4494</v>
      </c>
      <c r="E1161" s="150" t="s">
        <v>2476</v>
      </c>
      <c r="F1161" s="144" t="s">
        <v>2477</v>
      </c>
      <c r="G1161" s="166" t="s">
        <v>4495</v>
      </c>
      <c r="H1161" s="151">
        <v>20</v>
      </c>
      <c r="I1161" s="160">
        <v>1</v>
      </c>
      <c r="J1161" s="159">
        <v>1</v>
      </c>
      <c r="K1161" s="161">
        <v>20</v>
      </c>
      <c r="L1161" s="159">
        <v>20</v>
      </c>
      <c r="M1161" s="160">
        <v>20</v>
      </c>
      <c r="N1161" s="145"/>
      <c r="O1161" s="156" t="s">
        <v>166</v>
      </c>
      <c r="P1161" s="144" t="s">
        <v>2480</v>
      </c>
      <c r="Q1161" s="147"/>
      <c r="R1161" s="146">
        <v>2045</v>
      </c>
      <c r="S1161" s="157"/>
      <c r="T1161" s="144" t="s">
        <v>25</v>
      </c>
      <c r="U1161" s="150" t="s">
        <v>2479</v>
      </c>
      <c r="V1161" s="146">
        <v>1336</v>
      </c>
      <c r="W1161" s="148"/>
      <c r="X1161" s="149">
        <v>45566</v>
      </c>
      <c r="Y1161" s="165" t="s">
        <v>4496</v>
      </c>
    </row>
    <row r="1162" spans="1:25">
      <c r="A1162" s="163" t="s">
        <v>423</v>
      </c>
      <c r="B1162" s="144" t="s">
        <v>2463</v>
      </c>
      <c r="C1162" s="164" t="s">
        <v>4497</v>
      </c>
      <c r="D1162" s="144" t="s">
        <v>3172</v>
      </c>
      <c r="E1162" s="150" t="s">
        <v>2466</v>
      </c>
      <c r="F1162" s="144" t="s">
        <v>2467</v>
      </c>
      <c r="G1162" s="166"/>
      <c r="H1162" s="151">
        <v>74</v>
      </c>
      <c r="I1162" s="160">
        <v>0</v>
      </c>
      <c r="J1162" s="159">
        <v>4.2</v>
      </c>
      <c r="K1162" s="161">
        <v>0</v>
      </c>
      <c r="L1162" s="159">
        <v>310.8</v>
      </c>
      <c r="M1162" s="160">
        <v>310.8</v>
      </c>
      <c r="N1162" s="145">
        <v>800</v>
      </c>
      <c r="O1162" s="156" t="s">
        <v>135</v>
      </c>
      <c r="P1162" s="144" t="s">
        <v>2468</v>
      </c>
      <c r="Q1162" s="147"/>
      <c r="R1162" s="146"/>
      <c r="S1162" s="157"/>
      <c r="T1162" s="144" t="s">
        <v>29</v>
      </c>
      <c r="U1162" s="150" t="s">
        <v>20</v>
      </c>
      <c r="V1162" s="146">
        <v>3033</v>
      </c>
      <c r="W1162" s="148" t="s">
        <v>4498</v>
      </c>
      <c r="X1162" s="149"/>
      <c r="Y1162" s="165"/>
    </row>
    <row r="1163" spans="1:25">
      <c r="A1163" s="163" t="s">
        <v>423</v>
      </c>
      <c r="B1163" s="144" t="s">
        <v>163</v>
      </c>
      <c r="C1163" s="164" t="s">
        <v>4499</v>
      </c>
      <c r="D1163" s="144" t="s">
        <v>1511</v>
      </c>
      <c r="E1163" s="150" t="s">
        <v>2593</v>
      </c>
      <c r="F1163" s="144" t="s">
        <v>2482</v>
      </c>
      <c r="G1163" s="166" t="s">
        <v>4500</v>
      </c>
      <c r="H1163" s="151">
        <v>5</v>
      </c>
      <c r="I1163" s="160"/>
      <c r="J1163" s="159">
        <v>2.7</v>
      </c>
      <c r="K1163" s="161"/>
      <c r="L1163" s="159">
        <v>13.5</v>
      </c>
      <c r="M1163" s="160">
        <v>13.5</v>
      </c>
      <c r="N1163" s="145"/>
      <c r="O1163" s="156" t="s">
        <v>166</v>
      </c>
      <c r="P1163" s="144" t="s">
        <v>2480</v>
      </c>
      <c r="Q1163" s="147"/>
      <c r="R1163" s="146"/>
      <c r="S1163" s="157"/>
      <c r="T1163" s="144" t="s">
        <v>25</v>
      </c>
      <c r="U1163" s="150" t="s">
        <v>18</v>
      </c>
      <c r="V1163" s="146">
        <v>1175</v>
      </c>
      <c r="W1163" s="148"/>
      <c r="X1163" s="149">
        <v>45566</v>
      </c>
      <c r="Y1163" s="165" t="s">
        <v>2558</v>
      </c>
    </row>
    <row r="1164" spans="1:25">
      <c r="A1164" s="163" t="s">
        <v>423</v>
      </c>
      <c r="B1164" s="144" t="s">
        <v>2463</v>
      </c>
      <c r="C1164" s="164" t="s">
        <v>4501</v>
      </c>
      <c r="D1164" s="144" t="s">
        <v>3172</v>
      </c>
      <c r="E1164" s="150" t="s">
        <v>2491</v>
      </c>
      <c r="F1164" s="144" t="s">
        <v>2477</v>
      </c>
      <c r="G1164" s="166"/>
      <c r="H1164" s="151">
        <v>30</v>
      </c>
      <c r="I1164" s="160">
        <v>0</v>
      </c>
      <c r="J1164" s="159">
        <v>4.2</v>
      </c>
      <c r="K1164" s="161">
        <v>0</v>
      </c>
      <c r="L1164" s="159">
        <v>126</v>
      </c>
      <c r="M1164" s="160">
        <v>126</v>
      </c>
      <c r="N1164" s="145"/>
      <c r="O1164" s="156" t="s">
        <v>135</v>
      </c>
      <c r="P1164" s="144" t="s">
        <v>2478</v>
      </c>
      <c r="Q1164" s="147"/>
      <c r="R1164" s="146"/>
      <c r="S1164" s="157"/>
      <c r="T1164" s="144" t="s">
        <v>29</v>
      </c>
      <c r="U1164" s="150" t="s">
        <v>2479</v>
      </c>
      <c r="V1164" s="146">
        <v>3032</v>
      </c>
      <c r="W1164" s="148" t="s">
        <v>4498</v>
      </c>
      <c r="X1164" s="149"/>
      <c r="Y1164" s="165"/>
    </row>
    <row r="1165" spans="1:25">
      <c r="A1165" s="163" t="s">
        <v>7</v>
      </c>
      <c r="B1165" s="144" t="s">
        <v>2463</v>
      </c>
      <c r="C1165" s="164" t="s">
        <v>4502</v>
      </c>
      <c r="D1165" s="144" t="s">
        <v>1209</v>
      </c>
      <c r="E1165" s="150" t="s">
        <v>2466</v>
      </c>
      <c r="F1165" s="144" t="s">
        <v>2486</v>
      </c>
      <c r="G1165" s="166"/>
      <c r="H1165" s="151">
        <v>1</v>
      </c>
      <c r="I1165" s="160">
        <v>48</v>
      </c>
      <c r="J1165" s="159">
        <v>48</v>
      </c>
      <c r="K1165" s="161">
        <v>48</v>
      </c>
      <c r="L1165" s="159">
        <v>48</v>
      </c>
      <c r="M1165" s="160">
        <v>48</v>
      </c>
      <c r="N1165" s="145">
        <v>96</v>
      </c>
      <c r="O1165" s="156" t="s">
        <v>135</v>
      </c>
      <c r="P1165" s="144" t="s">
        <v>2468</v>
      </c>
      <c r="Q1165" s="147">
        <v>47392</v>
      </c>
      <c r="R1165" s="146"/>
      <c r="S1165" s="157"/>
      <c r="T1165" s="144" t="s">
        <v>29</v>
      </c>
      <c r="U1165" s="150" t="s">
        <v>20</v>
      </c>
      <c r="V1165" s="146">
        <v>2455</v>
      </c>
      <c r="W1165" s="148"/>
      <c r="X1165" s="149">
        <v>45689</v>
      </c>
      <c r="Y1165" s="165" t="s">
        <v>3156</v>
      </c>
    </row>
    <row r="1166" spans="1:25">
      <c r="A1166" s="163" t="s">
        <v>7</v>
      </c>
      <c r="B1166" s="144" t="s">
        <v>2463</v>
      </c>
      <c r="C1166" s="164" t="s">
        <v>4503</v>
      </c>
      <c r="D1166" s="144" t="s">
        <v>4504</v>
      </c>
      <c r="E1166" s="150" t="s">
        <v>2485</v>
      </c>
      <c r="F1166" s="144" t="s">
        <v>2486</v>
      </c>
      <c r="G1166" s="166"/>
      <c r="H1166" s="151">
        <v>40</v>
      </c>
      <c r="I1166" s="160">
        <v>6</v>
      </c>
      <c r="J1166" s="159">
        <v>6.2</v>
      </c>
      <c r="K1166" s="161">
        <v>240</v>
      </c>
      <c r="L1166" s="159">
        <v>248</v>
      </c>
      <c r="M1166" s="160" t="s">
        <v>4505</v>
      </c>
      <c r="N1166" s="145"/>
      <c r="O1166" s="156" t="s">
        <v>135</v>
      </c>
      <c r="P1166" s="144" t="s">
        <v>2478</v>
      </c>
      <c r="Q1166" s="147">
        <v>46997</v>
      </c>
      <c r="R1166" s="146"/>
      <c r="S1166" s="157"/>
      <c r="T1166" s="144" t="s">
        <v>29</v>
      </c>
      <c r="U1166" s="150" t="s">
        <v>17</v>
      </c>
      <c r="V1166" s="146">
        <v>1676</v>
      </c>
      <c r="W1166" s="148"/>
      <c r="X1166" s="149">
        <v>45778</v>
      </c>
      <c r="Y1166" s="165" t="s">
        <v>3161</v>
      </c>
    </row>
    <row r="1167" spans="1:25">
      <c r="A1167" s="163" t="s">
        <v>7</v>
      </c>
      <c r="B1167" s="144" t="s">
        <v>2463</v>
      </c>
      <c r="C1167" s="164" t="s">
        <v>4506</v>
      </c>
      <c r="D1167" s="144" t="s">
        <v>3722</v>
      </c>
      <c r="E1167" s="150" t="s">
        <v>2466</v>
      </c>
      <c r="F1167" s="144" t="s">
        <v>2486</v>
      </c>
      <c r="G1167" s="166"/>
      <c r="H1167" s="151">
        <v>1</v>
      </c>
      <c r="I1167" s="160">
        <v>48</v>
      </c>
      <c r="J1167" s="159">
        <v>48</v>
      </c>
      <c r="K1167" s="161">
        <v>48</v>
      </c>
      <c r="L1167" s="159">
        <v>48</v>
      </c>
      <c r="M1167" s="160">
        <v>48</v>
      </c>
      <c r="N1167" s="145">
        <v>48</v>
      </c>
      <c r="O1167" s="156" t="s">
        <v>135</v>
      </c>
      <c r="P1167" s="144" t="s">
        <v>2468</v>
      </c>
      <c r="Q1167" s="147">
        <v>47453</v>
      </c>
      <c r="R1167" s="146"/>
      <c r="S1167" s="157"/>
      <c r="T1167" s="144" t="s">
        <v>29</v>
      </c>
      <c r="U1167" s="150" t="s">
        <v>20</v>
      </c>
      <c r="V1167" s="146">
        <v>2456</v>
      </c>
      <c r="W1167" s="148"/>
      <c r="X1167" s="149">
        <v>45689</v>
      </c>
      <c r="Y1167" s="165" t="s">
        <v>3723</v>
      </c>
    </row>
    <row r="1168" spans="1:25">
      <c r="A1168" s="163" t="s">
        <v>7</v>
      </c>
      <c r="B1168" s="144" t="s">
        <v>2463</v>
      </c>
      <c r="C1168" s="164" t="s">
        <v>4507</v>
      </c>
      <c r="D1168" s="144" t="s">
        <v>3722</v>
      </c>
      <c r="E1168" s="150" t="s">
        <v>2485</v>
      </c>
      <c r="F1168" s="144" t="s">
        <v>2486</v>
      </c>
      <c r="G1168" s="166"/>
      <c r="H1168" s="151">
        <v>80</v>
      </c>
      <c r="I1168" s="160">
        <v>6</v>
      </c>
      <c r="J1168" s="159">
        <v>6.2</v>
      </c>
      <c r="K1168" s="161">
        <v>480</v>
      </c>
      <c r="L1168" s="159">
        <v>496</v>
      </c>
      <c r="M1168" s="160" t="s">
        <v>4508</v>
      </c>
      <c r="N1168" s="145"/>
      <c r="O1168" s="156" t="s">
        <v>135</v>
      </c>
      <c r="P1168" s="144" t="s">
        <v>2478</v>
      </c>
      <c r="Q1168" s="147">
        <v>48153</v>
      </c>
      <c r="R1168" s="146"/>
      <c r="S1168" s="157"/>
      <c r="T1168" s="144" t="s">
        <v>29</v>
      </c>
      <c r="U1168" s="150" t="s">
        <v>17</v>
      </c>
      <c r="V1168" s="146">
        <v>2458</v>
      </c>
      <c r="W1168" s="148"/>
      <c r="X1168" s="149">
        <v>45689</v>
      </c>
      <c r="Y1168" s="165" t="s">
        <v>3156</v>
      </c>
    </row>
    <row r="1169" spans="1:25">
      <c r="A1169" s="163" t="s">
        <v>309</v>
      </c>
      <c r="B1169" s="144" t="s">
        <v>163</v>
      </c>
      <c r="C1169" s="164" t="s">
        <v>2006</v>
      </c>
      <c r="D1169" s="144" t="s">
        <v>4509</v>
      </c>
      <c r="E1169" s="150" t="s">
        <v>2491</v>
      </c>
      <c r="F1169" s="144" t="s">
        <v>2477</v>
      </c>
      <c r="G1169" s="166" t="s">
        <v>4510</v>
      </c>
      <c r="H1169" s="151">
        <v>1</v>
      </c>
      <c r="I1169" s="160">
        <v>65</v>
      </c>
      <c r="J1169" s="159">
        <v>65</v>
      </c>
      <c r="K1169" s="161">
        <v>65</v>
      </c>
      <c r="L1169" s="159">
        <v>65</v>
      </c>
      <c r="M1169" s="160">
        <v>65</v>
      </c>
      <c r="N1169" s="145"/>
      <c r="O1169" s="156" t="s">
        <v>166</v>
      </c>
      <c r="P1169" s="144" t="s">
        <v>2478</v>
      </c>
      <c r="Q1169" s="147">
        <v>44105</v>
      </c>
      <c r="R1169" s="146">
        <v>2049</v>
      </c>
      <c r="S1169" s="157"/>
      <c r="T1169" s="144" t="s">
        <v>25</v>
      </c>
      <c r="U1169" s="150" t="s">
        <v>2479</v>
      </c>
      <c r="V1169" s="146">
        <v>1493</v>
      </c>
      <c r="W1169" s="148"/>
      <c r="X1169" s="149">
        <v>45689</v>
      </c>
      <c r="Y1169" s="165" t="s">
        <v>2574</v>
      </c>
    </row>
    <row r="1170" spans="1:25">
      <c r="A1170" s="163" t="s">
        <v>309</v>
      </c>
      <c r="B1170" s="144" t="s">
        <v>2463</v>
      </c>
      <c r="C1170" s="164" t="s">
        <v>4511</v>
      </c>
      <c r="D1170" s="144" t="s">
        <v>228</v>
      </c>
      <c r="E1170" s="150" t="s">
        <v>2466</v>
      </c>
      <c r="F1170" s="144" t="s">
        <v>2467</v>
      </c>
      <c r="G1170" s="166"/>
      <c r="H1170" s="151">
        <v>1</v>
      </c>
      <c r="I1170" s="160"/>
      <c r="J1170" s="159">
        <v>600</v>
      </c>
      <c r="K1170" s="161"/>
      <c r="L1170" s="159">
        <v>600</v>
      </c>
      <c r="M1170" s="160">
        <v>600</v>
      </c>
      <c r="N1170" s="145">
        <v>600</v>
      </c>
      <c r="O1170" s="156" t="s">
        <v>135</v>
      </c>
      <c r="P1170" s="144" t="s">
        <v>662</v>
      </c>
      <c r="Q1170" s="147"/>
      <c r="R1170" s="146"/>
      <c r="S1170" s="157"/>
      <c r="T1170" s="144" t="s">
        <v>29</v>
      </c>
      <c r="U1170" s="150" t="s">
        <v>20</v>
      </c>
      <c r="V1170" s="146">
        <v>2499</v>
      </c>
      <c r="W1170" s="148" t="s">
        <v>4512</v>
      </c>
      <c r="X1170" s="149">
        <v>45901</v>
      </c>
      <c r="Y1170" s="165" t="s">
        <v>2620</v>
      </c>
    </row>
    <row r="1171" spans="1:25">
      <c r="A1171" s="163" t="s">
        <v>309</v>
      </c>
      <c r="B1171" s="144" t="s">
        <v>2463</v>
      </c>
      <c r="C1171" s="164" t="s">
        <v>4511</v>
      </c>
      <c r="D1171" s="144" t="s">
        <v>228</v>
      </c>
      <c r="E1171" s="150" t="s">
        <v>2491</v>
      </c>
      <c r="F1171" s="144" t="s">
        <v>2477</v>
      </c>
      <c r="G1171" s="166"/>
      <c r="H1171" s="151">
        <v>1</v>
      </c>
      <c r="I1171" s="160">
        <v>600</v>
      </c>
      <c r="J1171" s="159">
        <v>600</v>
      </c>
      <c r="K1171" s="161">
        <v>600</v>
      </c>
      <c r="L1171" s="159">
        <v>600</v>
      </c>
      <c r="M1171" s="160">
        <v>600</v>
      </c>
      <c r="N1171" s="145"/>
      <c r="O1171" s="156" t="s">
        <v>135</v>
      </c>
      <c r="P1171" s="144" t="s">
        <v>2478</v>
      </c>
      <c r="Q1171" s="147"/>
      <c r="R1171" s="146"/>
      <c r="S1171" s="157"/>
      <c r="T1171" s="144" t="s">
        <v>29</v>
      </c>
      <c r="U1171" s="150" t="s">
        <v>2479</v>
      </c>
      <c r="V1171" s="146">
        <v>2499</v>
      </c>
      <c r="W1171" s="148" t="s">
        <v>4512</v>
      </c>
      <c r="X1171" s="149">
        <v>45901</v>
      </c>
      <c r="Y1171" s="165" t="s">
        <v>2620</v>
      </c>
    </row>
    <row r="1172" spans="1:25">
      <c r="A1172" s="163" t="s">
        <v>309</v>
      </c>
      <c r="B1172" s="144" t="s">
        <v>2463</v>
      </c>
      <c r="C1172" s="164" t="s">
        <v>4513</v>
      </c>
      <c r="D1172" s="144" t="s">
        <v>4514</v>
      </c>
      <c r="E1172" s="150" t="s">
        <v>2466</v>
      </c>
      <c r="F1172" s="144" t="s">
        <v>2467</v>
      </c>
      <c r="G1172" s="166"/>
      <c r="H1172" s="151">
        <v>1</v>
      </c>
      <c r="I1172" s="160">
        <v>400</v>
      </c>
      <c r="J1172" s="159">
        <v>400</v>
      </c>
      <c r="K1172" s="161">
        <v>400</v>
      </c>
      <c r="L1172" s="159">
        <v>400</v>
      </c>
      <c r="M1172" s="160">
        <v>400</v>
      </c>
      <c r="N1172" s="145">
        <v>0</v>
      </c>
      <c r="O1172" s="156" t="s">
        <v>135</v>
      </c>
      <c r="P1172" s="144" t="s">
        <v>2468</v>
      </c>
      <c r="Q1172" s="147"/>
      <c r="R1172" s="146"/>
      <c r="S1172" s="157"/>
      <c r="T1172" s="144" t="s">
        <v>29</v>
      </c>
      <c r="U1172" s="150" t="s">
        <v>20</v>
      </c>
      <c r="V1172" s="146">
        <v>2730</v>
      </c>
      <c r="W1172" s="148" t="s">
        <v>4515</v>
      </c>
      <c r="X1172" s="149">
        <v>45901</v>
      </c>
      <c r="Y1172" s="165" t="s">
        <v>4516</v>
      </c>
    </row>
    <row r="1173" spans="1:25">
      <c r="A1173" s="163" t="s">
        <v>309</v>
      </c>
      <c r="B1173" s="144" t="s">
        <v>2463</v>
      </c>
      <c r="C1173" s="164" t="s">
        <v>4517</v>
      </c>
      <c r="D1173" s="144" t="s">
        <v>4514</v>
      </c>
      <c r="E1173" s="150" t="s">
        <v>2476</v>
      </c>
      <c r="F1173" s="144" t="s">
        <v>2477</v>
      </c>
      <c r="G1173" s="166"/>
      <c r="H1173" s="151">
        <v>1</v>
      </c>
      <c r="I1173" s="160">
        <v>400</v>
      </c>
      <c r="J1173" s="159">
        <v>400</v>
      </c>
      <c r="K1173" s="161">
        <v>400</v>
      </c>
      <c r="L1173" s="159">
        <v>400</v>
      </c>
      <c r="M1173" s="160">
        <v>400</v>
      </c>
      <c r="N1173" s="145"/>
      <c r="O1173" s="156" t="s">
        <v>135</v>
      </c>
      <c r="P1173" s="144" t="s">
        <v>2478</v>
      </c>
      <c r="Q1173" s="147"/>
      <c r="R1173" s="146"/>
      <c r="S1173" s="157"/>
      <c r="T1173" s="144" t="s">
        <v>29</v>
      </c>
      <c r="U1173" s="150" t="s">
        <v>2479</v>
      </c>
      <c r="V1173" s="146">
        <v>2729</v>
      </c>
      <c r="W1173" s="148" t="s">
        <v>4515</v>
      </c>
      <c r="X1173" s="149">
        <v>45901</v>
      </c>
      <c r="Y1173" s="165" t="s">
        <v>4516</v>
      </c>
    </row>
    <row r="1174" spans="1:25">
      <c r="A1174" s="163" t="s">
        <v>423</v>
      </c>
      <c r="B1174" s="144" t="s">
        <v>163</v>
      </c>
      <c r="C1174" s="164" t="s">
        <v>486</v>
      </c>
      <c r="D1174" s="144" t="s">
        <v>487</v>
      </c>
      <c r="E1174" s="150" t="s">
        <v>2485</v>
      </c>
      <c r="F1174" s="144" t="s">
        <v>2486</v>
      </c>
      <c r="G1174" s="166" t="s">
        <v>488</v>
      </c>
      <c r="H1174" s="151">
        <v>52</v>
      </c>
      <c r="I1174" s="160">
        <v>4.2</v>
      </c>
      <c r="J1174" s="159">
        <v>4.2</v>
      </c>
      <c r="K1174" s="161">
        <v>218.4</v>
      </c>
      <c r="L1174" s="159">
        <v>218.4</v>
      </c>
      <c r="M1174" s="160">
        <v>218.4</v>
      </c>
      <c r="N1174" s="145"/>
      <c r="O1174" s="156" t="s">
        <v>166</v>
      </c>
      <c r="P1174" s="144" t="s">
        <v>2478</v>
      </c>
      <c r="Q1174" s="147">
        <v>45566</v>
      </c>
      <c r="R1174" s="146">
        <v>2054</v>
      </c>
      <c r="S1174" s="157"/>
      <c r="T1174" s="144" t="s">
        <v>25</v>
      </c>
      <c r="U1174" s="150" t="s">
        <v>17</v>
      </c>
      <c r="V1174" s="146">
        <v>1176</v>
      </c>
      <c r="W1174" s="148" t="s">
        <v>4518</v>
      </c>
      <c r="X1174" s="149">
        <v>45901</v>
      </c>
      <c r="Y1174" s="165" t="s">
        <v>3006</v>
      </c>
    </row>
    <row r="1175" spans="1:25">
      <c r="A1175" s="163" t="s">
        <v>7</v>
      </c>
      <c r="B1175" s="144" t="s">
        <v>163</v>
      </c>
      <c r="C1175" s="164" t="s">
        <v>922</v>
      </c>
      <c r="D1175" s="144" t="s">
        <v>236</v>
      </c>
      <c r="E1175" s="150" t="s">
        <v>2485</v>
      </c>
      <c r="F1175" s="144" t="s">
        <v>2486</v>
      </c>
      <c r="G1175" s="166" t="s">
        <v>923</v>
      </c>
      <c r="H1175" s="151">
        <v>66</v>
      </c>
      <c r="I1175" s="160"/>
      <c r="J1175" s="159">
        <v>6</v>
      </c>
      <c r="K1175" s="161"/>
      <c r="L1175" s="159">
        <v>396</v>
      </c>
      <c r="M1175" s="160">
        <v>396</v>
      </c>
      <c r="N1175" s="145"/>
      <c r="O1175" s="156" t="s">
        <v>166</v>
      </c>
      <c r="P1175" s="144" t="s">
        <v>2478</v>
      </c>
      <c r="Q1175" s="147">
        <v>45627</v>
      </c>
      <c r="R1175" s="146">
        <v>2048</v>
      </c>
      <c r="S1175" s="157"/>
      <c r="T1175" s="144" t="s">
        <v>25</v>
      </c>
      <c r="U1175" s="150" t="s">
        <v>17</v>
      </c>
      <c r="V1175" s="146">
        <v>1353</v>
      </c>
      <c r="W1175" s="148" t="s">
        <v>4519</v>
      </c>
      <c r="X1175" s="149">
        <v>45901</v>
      </c>
      <c r="Y1175" s="165" t="s">
        <v>2490</v>
      </c>
    </row>
    <row r="1176" spans="1:25">
      <c r="A1176" s="163" t="s">
        <v>7</v>
      </c>
      <c r="B1176" s="144" t="s">
        <v>2463</v>
      </c>
      <c r="C1176" s="164" t="s">
        <v>4520</v>
      </c>
      <c r="D1176" s="144" t="s">
        <v>3722</v>
      </c>
      <c r="E1176" s="150" t="s">
        <v>2466</v>
      </c>
      <c r="F1176" s="144" t="s">
        <v>2467</v>
      </c>
      <c r="G1176" s="166"/>
      <c r="H1176" s="151">
        <v>1</v>
      </c>
      <c r="I1176" s="160">
        <v>200</v>
      </c>
      <c r="J1176" s="159">
        <v>200</v>
      </c>
      <c r="K1176" s="161">
        <v>200</v>
      </c>
      <c r="L1176" s="159">
        <v>200</v>
      </c>
      <c r="M1176" s="160">
        <v>200</v>
      </c>
      <c r="N1176" s="145">
        <v>800</v>
      </c>
      <c r="O1176" s="156" t="s">
        <v>135</v>
      </c>
      <c r="P1176" s="144" t="s">
        <v>2468</v>
      </c>
      <c r="Q1176" s="147">
        <v>46661</v>
      </c>
      <c r="R1176" s="146"/>
      <c r="S1176" s="157"/>
      <c r="T1176" s="144" t="s">
        <v>29</v>
      </c>
      <c r="U1176" s="150" t="s">
        <v>20</v>
      </c>
      <c r="V1176" s="146">
        <v>2452</v>
      </c>
      <c r="W1176" s="148"/>
      <c r="X1176" s="149">
        <v>45689</v>
      </c>
      <c r="Y1176" s="165" t="s">
        <v>3723</v>
      </c>
    </row>
    <row r="1177" spans="1:25">
      <c r="A1177" s="163" t="s">
        <v>7</v>
      </c>
      <c r="B1177" s="144" t="s">
        <v>2463</v>
      </c>
      <c r="C1177" s="164" t="s">
        <v>4521</v>
      </c>
      <c r="D1177" s="144" t="s">
        <v>3722</v>
      </c>
      <c r="E1177" s="150" t="s">
        <v>2491</v>
      </c>
      <c r="F1177" s="144" t="s">
        <v>2477</v>
      </c>
      <c r="G1177" s="166"/>
      <c r="H1177" s="151">
        <v>56</v>
      </c>
      <c r="I1177" s="160">
        <v>5</v>
      </c>
      <c r="J1177" s="159">
        <v>5</v>
      </c>
      <c r="K1177" s="161">
        <v>280</v>
      </c>
      <c r="L1177" s="159">
        <v>280</v>
      </c>
      <c r="M1177" s="160">
        <v>280</v>
      </c>
      <c r="N1177" s="145"/>
      <c r="O1177" s="156" t="s">
        <v>135</v>
      </c>
      <c r="P1177" s="144" t="s">
        <v>2478</v>
      </c>
      <c r="Q1177" s="147">
        <v>48245</v>
      </c>
      <c r="R1177" s="146"/>
      <c r="S1177" s="157"/>
      <c r="T1177" s="144" t="s">
        <v>29</v>
      </c>
      <c r="U1177" s="150" t="s">
        <v>2479</v>
      </c>
      <c r="V1177" s="146">
        <v>1925</v>
      </c>
      <c r="W1177" s="148"/>
      <c r="X1177" s="149">
        <v>45778</v>
      </c>
      <c r="Y1177" s="165" t="s">
        <v>4522</v>
      </c>
    </row>
    <row r="1178" spans="1:25">
      <c r="A1178" s="163" t="s">
        <v>7</v>
      </c>
      <c r="B1178" s="144" t="s">
        <v>2463</v>
      </c>
      <c r="C1178" s="164" t="s">
        <v>4521</v>
      </c>
      <c r="D1178" s="144" t="s">
        <v>3722</v>
      </c>
      <c r="E1178" s="150" t="s">
        <v>2491</v>
      </c>
      <c r="F1178" s="144" t="s">
        <v>2477</v>
      </c>
      <c r="G1178" s="166"/>
      <c r="H1178" s="151">
        <v>34</v>
      </c>
      <c r="I1178" s="160">
        <v>5</v>
      </c>
      <c r="J1178" s="159">
        <v>5</v>
      </c>
      <c r="K1178" s="161">
        <v>170</v>
      </c>
      <c r="L1178" s="159">
        <v>170</v>
      </c>
      <c r="M1178" s="160">
        <v>170</v>
      </c>
      <c r="N1178" s="145"/>
      <c r="O1178" s="156" t="s">
        <v>135</v>
      </c>
      <c r="P1178" s="144" t="s">
        <v>2478</v>
      </c>
      <c r="Q1178" s="147">
        <v>48245</v>
      </c>
      <c r="R1178" s="146"/>
      <c r="S1178" s="157"/>
      <c r="T1178" s="144" t="s">
        <v>29</v>
      </c>
      <c r="U1178" s="150" t="s">
        <v>2479</v>
      </c>
      <c r="V1178" s="146">
        <v>1925</v>
      </c>
      <c r="W1178" s="148"/>
      <c r="X1178" s="149">
        <v>45778</v>
      </c>
      <c r="Y1178" s="165" t="s">
        <v>4522</v>
      </c>
    </row>
    <row r="1179" spans="1:25">
      <c r="A1179" s="163" t="s">
        <v>423</v>
      </c>
      <c r="B1179" s="144" t="s">
        <v>163</v>
      </c>
      <c r="C1179" s="164" t="s">
        <v>2053</v>
      </c>
      <c r="D1179" s="144" t="s">
        <v>4523</v>
      </c>
      <c r="E1179" s="150" t="s">
        <v>2485</v>
      </c>
      <c r="F1179" s="144" t="s">
        <v>2486</v>
      </c>
      <c r="G1179" s="166" t="s">
        <v>4524</v>
      </c>
      <c r="H1179" s="151">
        <v>15</v>
      </c>
      <c r="I1179" s="160">
        <v>3.6</v>
      </c>
      <c r="J1179" s="159">
        <v>3.6</v>
      </c>
      <c r="K1179" s="161">
        <v>54</v>
      </c>
      <c r="L1179" s="159">
        <v>54</v>
      </c>
      <c r="M1179" s="160">
        <v>54</v>
      </c>
      <c r="N1179" s="145"/>
      <c r="O1179" s="156" t="s">
        <v>166</v>
      </c>
      <c r="P1179" s="144" t="s">
        <v>2478</v>
      </c>
      <c r="Q1179" s="147"/>
      <c r="R1179" s="146">
        <v>2043</v>
      </c>
      <c r="S1179" s="157"/>
      <c r="T1179" s="144" t="s">
        <v>25</v>
      </c>
      <c r="U1179" s="150" t="s">
        <v>17</v>
      </c>
      <c r="V1179" s="146">
        <v>1244</v>
      </c>
      <c r="W1179" s="148" t="s">
        <v>4525</v>
      </c>
      <c r="X1179" s="149">
        <v>45689</v>
      </c>
      <c r="Y1179" s="165" t="s">
        <v>2609</v>
      </c>
    </row>
    <row r="1180" spans="1:25">
      <c r="A1180" s="163" t="s">
        <v>7</v>
      </c>
      <c r="B1180" s="144" t="s">
        <v>2463</v>
      </c>
      <c r="C1180" s="164" t="s">
        <v>4526</v>
      </c>
      <c r="D1180" s="144" t="s">
        <v>1250</v>
      </c>
      <c r="E1180" s="150" t="s">
        <v>2476</v>
      </c>
      <c r="F1180" s="144" t="s">
        <v>2477</v>
      </c>
      <c r="G1180" s="166"/>
      <c r="H1180" s="151">
        <v>300</v>
      </c>
      <c r="I1180" s="160">
        <v>1</v>
      </c>
      <c r="J1180" s="159">
        <v>1</v>
      </c>
      <c r="K1180" s="161">
        <v>300</v>
      </c>
      <c r="L1180" s="159">
        <v>300</v>
      </c>
      <c r="M1180" s="160">
        <v>300</v>
      </c>
      <c r="N1180" s="145"/>
      <c r="O1180" s="156" t="s">
        <v>135</v>
      </c>
      <c r="P1180" s="144" t="s">
        <v>2478</v>
      </c>
      <c r="Q1180" s="147"/>
      <c r="R1180" s="146"/>
      <c r="S1180" s="157"/>
      <c r="T1180" s="144" t="s">
        <v>29</v>
      </c>
      <c r="U1180" s="150" t="s">
        <v>2479</v>
      </c>
      <c r="V1180" s="146">
        <v>1618</v>
      </c>
      <c r="W1180" s="148" t="s">
        <v>4527</v>
      </c>
      <c r="X1180" s="149">
        <v>45689</v>
      </c>
      <c r="Y1180" s="165" t="s">
        <v>3074</v>
      </c>
    </row>
    <row r="1181" spans="1:25">
      <c r="A1181" s="163" t="s">
        <v>7</v>
      </c>
      <c r="B1181" s="144" t="s">
        <v>2463</v>
      </c>
      <c r="C1181" s="164" t="s">
        <v>4528</v>
      </c>
      <c r="D1181" s="144" t="s">
        <v>4529</v>
      </c>
      <c r="E1181" s="150" t="s">
        <v>2491</v>
      </c>
      <c r="F1181" s="144" t="s">
        <v>2477</v>
      </c>
      <c r="G1181" s="166"/>
      <c r="H1181" s="151">
        <v>1</v>
      </c>
      <c r="I1181" s="160"/>
      <c r="J1181" s="159">
        <v>700</v>
      </c>
      <c r="K1181" s="161"/>
      <c r="L1181" s="159">
        <v>700</v>
      </c>
      <c r="M1181" s="160">
        <v>700</v>
      </c>
      <c r="N1181" s="145"/>
      <c r="O1181" s="156" t="s">
        <v>135</v>
      </c>
      <c r="P1181" s="144" t="s">
        <v>2478</v>
      </c>
      <c r="Q1181" s="147"/>
      <c r="R1181" s="146"/>
      <c r="S1181" s="157"/>
      <c r="T1181" s="144" t="s">
        <v>29</v>
      </c>
      <c r="U1181" s="150" t="s">
        <v>2479</v>
      </c>
      <c r="V1181" s="146">
        <v>2895</v>
      </c>
      <c r="W1181" s="148"/>
      <c r="X1181" s="149">
        <v>45901</v>
      </c>
      <c r="Y1181" s="165" t="s">
        <v>4530</v>
      </c>
    </row>
    <row r="1182" spans="1:25">
      <c r="A1182" s="163" t="s">
        <v>7</v>
      </c>
      <c r="B1182" s="144" t="s">
        <v>2463</v>
      </c>
      <c r="C1182" s="164" t="s">
        <v>4531</v>
      </c>
      <c r="D1182" s="144" t="s">
        <v>3096</v>
      </c>
      <c r="E1182" s="150" t="s">
        <v>2491</v>
      </c>
      <c r="F1182" s="144" t="s">
        <v>2477</v>
      </c>
      <c r="G1182" s="166"/>
      <c r="H1182" s="151">
        <v>43</v>
      </c>
      <c r="I1182" s="160">
        <v>0</v>
      </c>
      <c r="J1182" s="159">
        <v>4.2</v>
      </c>
      <c r="K1182" s="161">
        <v>0</v>
      </c>
      <c r="L1182" s="159">
        <v>180.6</v>
      </c>
      <c r="M1182" s="160">
        <v>180.6</v>
      </c>
      <c r="N1182" s="145"/>
      <c r="O1182" s="156" t="s">
        <v>135</v>
      </c>
      <c r="P1182" s="144" t="s">
        <v>2478</v>
      </c>
      <c r="Q1182" s="147"/>
      <c r="R1182" s="146"/>
      <c r="S1182" s="157"/>
      <c r="T1182" s="144" t="s">
        <v>29</v>
      </c>
      <c r="U1182" s="150" t="s">
        <v>2479</v>
      </c>
      <c r="V1182" s="146">
        <v>2770</v>
      </c>
      <c r="W1182" s="148" t="s">
        <v>4532</v>
      </c>
      <c r="X1182" s="149"/>
      <c r="Y1182" s="165" t="s">
        <v>2474</v>
      </c>
    </row>
    <row r="1183" spans="1:25" ht="30" customHeight="1">
      <c r="A1183" s="163" t="s">
        <v>7</v>
      </c>
      <c r="B1183" s="144" t="s">
        <v>2463</v>
      </c>
      <c r="C1183" s="164" t="s">
        <v>4533</v>
      </c>
      <c r="D1183" s="144" t="s">
        <v>3096</v>
      </c>
      <c r="E1183" s="150" t="s">
        <v>2466</v>
      </c>
      <c r="F1183" s="144" t="s">
        <v>2467</v>
      </c>
      <c r="G1183" s="166"/>
      <c r="H1183" s="151">
        <v>48</v>
      </c>
      <c r="I1183" s="160">
        <v>0</v>
      </c>
      <c r="J1183" s="159">
        <v>4.2</v>
      </c>
      <c r="K1183" s="161">
        <v>0</v>
      </c>
      <c r="L1183" s="159">
        <v>201.6</v>
      </c>
      <c r="M1183" s="160">
        <v>201.6</v>
      </c>
      <c r="N1183" s="145">
        <v>600</v>
      </c>
      <c r="O1183" s="156" t="s">
        <v>135</v>
      </c>
      <c r="P1183" s="144" t="s">
        <v>2468</v>
      </c>
      <c r="Q1183" s="147"/>
      <c r="R1183" s="146"/>
      <c r="S1183" s="157"/>
      <c r="T1183" s="144" t="s">
        <v>29</v>
      </c>
      <c r="U1183" s="150" t="s">
        <v>20</v>
      </c>
      <c r="V1183" s="146">
        <v>2771</v>
      </c>
      <c r="W1183" s="148" t="s">
        <v>4532</v>
      </c>
      <c r="X1183" s="149"/>
      <c r="Y1183" s="165" t="s">
        <v>2474</v>
      </c>
    </row>
    <row r="1184" spans="1:25">
      <c r="A1184" s="163" t="s">
        <v>7</v>
      </c>
      <c r="B1184" s="144" t="s">
        <v>163</v>
      </c>
      <c r="C1184" s="164" t="s">
        <v>950</v>
      </c>
      <c r="D1184" s="144" t="s">
        <v>951</v>
      </c>
      <c r="E1184" s="150" t="s">
        <v>2485</v>
      </c>
      <c r="F1184" s="144" t="s">
        <v>2486</v>
      </c>
      <c r="G1184" s="166" t="s">
        <v>4534</v>
      </c>
      <c r="H1184" s="151">
        <v>75</v>
      </c>
      <c r="I1184" s="160">
        <v>0</v>
      </c>
      <c r="J1184" s="159">
        <v>3.6</v>
      </c>
      <c r="K1184" s="161">
        <v>0</v>
      </c>
      <c r="L1184" s="159">
        <v>270</v>
      </c>
      <c r="M1184" s="160">
        <v>270</v>
      </c>
      <c r="N1184" s="145"/>
      <c r="O1184" s="156" t="s">
        <v>166</v>
      </c>
      <c r="P1184" s="144" t="s">
        <v>2478</v>
      </c>
      <c r="Q1184" s="147"/>
      <c r="R1184" s="146">
        <v>2043</v>
      </c>
      <c r="S1184" s="157"/>
      <c r="T1184" s="144" t="s">
        <v>25</v>
      </c>
      <c r="U1184" s="150" t="s">
        <v>17</v>
      </c>
      <c r="V1184" s="146">
        <v>1270</v>
      </c>
      <c r="W1184" s="148"/>
      <c r="X1184" s="149">
        <v>45689</v>
      </c>
      <c r="Y1184" s="165" t="s">
        <v>2740</v>
      </c>
    </row>
    <row r="1185" spans="1:25">
      <c r="A1185" s="163" t="s">
        <v>423</v>
      </c>
      <c r="B1185" s="144" t="s">
        <v>2463</v>
      </c>
      <c r="C1185" s="164" t="s">
        <v>4535</v>
      </c>
      <c r="D1185" s="144" t="s">
        <v>4536</v>
      </c>
      <c r="E1185" s="150" t="s">
        <v>2630</v>
      </c>
      <c r="F1185" s="144" t="s">
        <v>2486</v>
      </c>
      <c r="G1185" s="166"/>
      <c r="H1185" s="151">
        <v>200</v>
      </c>
      <c r="I1185" s="160">
        <v>15</v>
      </c>
      <c r="J1185" s="159">
        <v>15</v>
      </c>
      <c r="K1185" s="161">
        <v>3000</v>
      </c>
      <c r="L1185" s="159">
        <v>3000</v>
      </c>
      <c r="M1185" s="160">
        <v>3000</v>
      </c>
      <c r="N1185" s="145"/>
      <c r="O1185" s="156" t="s">
        <v>135</v>
      </c>
      <c r="P1185" s="144" t="s">
        <v>2478</v>
      </c>
      <c r="Q1185" s="147"/>
      <c r="R1185" s="146">
        <v>2067</v>
      </c>
      <c r="S1185" s="157"/>
      <c r="T1185" s="144" t="s">
        <v>29</v>
      </c>
      <c r="U1185" s="150" t="s">
        <v>17</v>
      </c>
      <c r="V1185" s="146">
        <v>2545</v>
      </c>
      <c r="W1185" s="148" t="s">
        <v>4537</v>
      </c>
      <c r="X1185" s="149">
        <v>45689</v>
      </c>
      <c r="Y1185" s="165" t="s">
        <v>3187</v>
      </c>
    </row>
    <row r="1186" spans="1:25">
      <c r="A1186" s="163" t="s">
        <v>7</v>
      </c>
      <c r="B1186" s="144" t="s">
        <v>163</v>
      </c>
      <c r="C1186" s="164" t="s">
        <v>924</v>
      </c>
      <c r="D1186" s="144" t="s">
        <v>925</v>
      </c>
      <c r="E1186" s="150" t="s">
        <v>2491</v>
      </c>
      <c r="F1186" s="144" t="s">
        <v>2477</v>
      </c>
      <c r="G1186" s="166" t="s">
        <v>926</v>
      </c>
      <c r="H1186" s="151">
        <v>40</v>
      </c>
      <c r="I1186" s="160">
        <v>0</v>
      </c>
      <c r="J1186" s="159">
        <v>2.25</v>
      </c>
      <c r="K1186" s="161">
        <v>0</v>
      </c>
      <c r="L1186" s="159">
        <v>90</v>
      </c>
      <c r="M1186" s="160">
        <v>90</v>
      </c>
      <c r="N1186" s="145"/>
      <c r="O1186" s="156" t="s">
        <v>166</v>
      </c>
      <c r="P1186" s="144" t="s">
        <v>2478</v>
      </c>
      <c r="Q1186" s="147">
        <v>44927</v>
      </c>
      <c r="R1186" s="146">
        <v>2052</v>
      </c>
      <c r="S1186" s="157"/>
      <c r="T1186" s="144" t="s">
        <v>25</v>
      </c>
      <c r="U1186" s="150" t="s">
        <v>2479</v>
      </c>
      <c r="V1186" s="146">
        <v>1927</v>
      </c>
      <c r="W1186" s="148"/>
      <c r="X1186" s="149">
        <v>45689</v>
      </c>
      <c r="Y1186" s="165" t="s">
        <v>3067</v>
      </c>
    </row>
    <row r="1187" spans="1:25">
      <c r="A1187" s="163" t="s">
        <v>423</v>
      </c>
      <c r="B1187" s="144" t="s">
        <v>2463</v>
      </c>
      <c r="C1187" s="164" t="s">
        <v>4538</v>
      </c>
      <c r="D1187" s="144" t="s">
        <v>4539</v>
      </c>
      <c r="E1187" s="150" t="s">
        <v>2466</v>
      </c>
      <c r="F1187" s="144" t="s">
        <v>2467</v>
      </c>
      <c r="G1187" s="166"/>
      <c r="H1187" s="151">
        <v>1</v>
      </c>
      <c r="I1187" s="160"/>
      <c r="J1187" s="159">
        <v>100</v>
      </c>
      <c r="K1187" s="161"/>
      <c r="L1187" s="159">
        <v>100</v>
      </c>
      <c r="M1187" s="160">
        <v>100</v>
      </c>
      <c r="N1187" s="145">
        <v>200</v>
      </c>
      <c r="O1187" s="156" t="s">
        <v>135</v>
      </c>
      <c r="P1187" s="144" t="s">
        <v>2468</v>
      </c>
      <c r="Q1187" s="147"/>
      <c r="R1187" s="146"/>
      <c r="S1187" s="157"/>
      <c r="T1187" s="144" t="s">
        <v>29</v>
      </c>
      <c r="U1187" s="150" t="s">
        <v>20</v>
      </c>
      <c r="V1187" s="146">
        <v>3013</v>
      </c>
      <c r="W1187" s="148"/>
      <c r="X1187" s="149">
        <v>45901</v>
      </c>
      <c r="Y1187" s="165" t="s">
        <v>3241</v>
      </c>
    </row>
    <row r="1188" spans="1:25">
      <c r="A1188" s="163" t="s">
        <v>423</v>
      </c>
      <c r="B1188" s="144" t="s">
        <v>2463</v>
      </c>
      <c r="C1188" s="164" t="s">
        <v>4540</v>
      </c>
      <c r="D1188" s="144" t="s">
        <v>4541</v>
      </c>
      <c r="E1188" s="150" t="s">
        <v>2485</v>
      </c>
      <c r="F1188" s="144" t="s">
        <v>2486</v>
      </c>
      <c r="G1188" s="166"/>
      <c r="H1188" s="151">
        <v>115</v>
      </c>
      <c r="I1188" s="160">
        <v>4</v>
      </c>
      <c r="J1188" s="159">
        <v>8</v>
      </c>
      <c r="K1188" s="161">
        <v>460</v>
      </c>
      <c r="L1188" s="159">
        <v>920</v>
      </c>
      <c r="M1188" s="160" t="s">
        <v>4542</v>
      </c>
      <c r="N1188" s="145"/>
      <c r="O1188" s="156" t="s">
        <v>135</v>
      </c>
      <c r="P1188" s="144" t="s">
        <v>2478</v>
      </c>
      <c r="Q1188" s="147"/>
      <c r="R1188" s="146"/>
      <c r="S1188" s="157"/>
      <c r="T1188" s="144" t="s">
        <v>29</v>
      </c>
      <c r="U1188" s="150" t="s">
        <v>17</v>
      </c>
      <c r="V1188" s="146">
        <v>2811</v>
      </c>
      <c r="W1188" s="148"/>
      <c r="X1188" s="149"/>
      <c r="Y1188" s="165" t="s">
        <v>2538</v>
      </c>
    </row>
    <row r="1189" spans="1:25">
      <c r="A1189" s="163" t="s">
        <v>423</v>
      </c>
      <c r="B1189" s="144" t="s">
        <v>163</v>
      </c>
      <c r="C1189" s="164" t="s">
        <v>4543</v>
      </c>
      <c r="D1189" s="144" t="s">
        <v>957</v>
      </c>
      <c r="E1189" s="150" t="s">
        <v>2506</v>
      </c>
      <c r="F1189" s="144" t="s">
        <v>2741</v>
      </c>
      <c r="G1189" s="166"/>
      <c r="H1189" s="151">
        <v>1</v>
      </c>
      <c r="I1189" s="160">
        <v>1.1000000000000001</v>
      </c>
      <c r="J1189" s="159">
        <v>1.1000000000000001</v>
      </c>
      <c r="K1189" s="161">
        <v>1.1000000000000001</v>
      </c>
      <c r="L1189" s="159">
        <v>1.1000000000000001</v>
      </c>
      <c r="M1189" s="160">
        <v>1.1000000000000001</v>
      </c>
      <c r="N1189" s="145"/>
      <c r="O1189" s="156" t="s">
        <v>166</v>
      </c>
      <c r="P1189" s="144" t="s">
        <v>2480</v>
      </c>
      <c r="Q1189" s="147"/>
      <c r="R1189" s="146">
        <v>2038</v>
      </c>
      <c r="S1189" s="157"/>
      <c r="T1189" s="144" t="s">
        <v>25</v>
      </c>
      <c r="U1189" s="150" t="s">
        <v>19</v>
      </c>
      <c r="V1189" s="146">
        <v>1312</v>
      </c>
      <c r="W1189" s="148"/>
      <c r="X1189" s="149">
        <v>45566</v>
      </c>
      <c r="Y1189" s="165" t="s">
        <v>2570</v>
      </c>
    </row>
    <row r="1190" spans="1:25">
      <c r="A1190" s="163" t="s">
        <v>7</v>
      </c>
      <c r="B1190" s="144" t="s">
        <v>163</v>
      </c>
      <c r="C1190" s="164" t="s">
        <v>4544</v>
      </c>
      <c r="D1190" s="144" t="s">
        <v>1071</v>
      </c>
      <c r="E1190" s="150" t="s">
        <v>2636</v>
      </c>
      <c r="F1190" s="144" t="s">
        <v>2482</v>
      </c>
      <c r="G1190" s="166" t="s">
        <v>4545</v>
      </c>
      <c r="H1190" s="151">
        <v>2</v>
      </c>
      <c r="I1190" s="160">
        <v>0</v>
      </c>
      <c r="J1190" s="159">
        <v>41</v>
      </c>
      <c r="K1190" s="161">
        <v>0</v>
      </c>
      <c r="L1190" s="159">
        <v>82</v>
      </c>
      <c r="M1190" s="160">
        <v>82</v>
      </c>
      <c r="N1190" s="145">
        <v>480</v>
      </c>
      <c r="O1190" s="156" t="s">
        <v>166</v>
      </c>
      <c r="P1190" s="144" t="s">
        <v>2468</v>
      </c>
      <c r="Q1190" s="147"/>
      <c r="R1190" s="146">
        <v>2069</v>
      </c>
      <c r="S1190" s="157"/>
      <c r="T1190" s="144" t="s">
        <v>25</v>
      </c>
      <c r="U1190" s="150" t="s">
        <v>18</v>
      </c>
      <c r="V1190" s="146">
        <v>1177</v>
      </c>
      <c r="W1190" s="148"/>
      <c r="X1190" s="149">
        <v>45689</v>
      </c>
      <c r="Y1190" s="165" t="s">
        <v>2500</v>
      </c>
    </row>
    <row r="1191" spans="1:25">
      <c r="A1191" s="163" t="s">
        <v>7</v>
      </c>
      <c r="B1191" s="144" t="s">
        <v>163</v>
      </c>
      <c r="C1191" s="164" t="s">
        <v>4544</v>
      </c>
      <c r="D1191" s="144" t="s">
        <v>1071</v>
      </c>
      <c r="E1191" s="150" t="s">
        <v>2636</v>
      </c>
      <c r="F1191" s="144" t="s">
        <v>2482</v>
      </c>
      <c r="G1191" s="166" t="s">
        <v>4545</v>
      </c>
      <c r="H1191" s="151">
        <v>2</v>
      </c>
      <c r="I1191" s="160">
        <v>0</v>
      </c>
      <c r="J1191" s="159">
        <v>82.5</v>
      </c>
      <c r="K1191" s="161">
        <v>0</v>
      </c>
      <c r="L1191" s="159">
        <v>165</v>
      </c>
      <c r="M1191" s="160">
        <v>165</v>
      </c>
      <c r="N1191" s="145">
        <v>9200</v>
      </c>
      <c r="O1191" s="156" t="s">
        <v>166</v>
      </c>
      <c r="P1191" s="144" t="s">
        <v>2468</v>
      </c>
      <c r="Q1191" s="147"/>
      <c r="R1191" s="146">
        <v>2069</v>
      </c>
      <c r="S1191" s="157"/>
      <c r="T1191" s="144" t="s">
        <v>25</v>
      </c>
      <c r="U1191" s="150" t="s">
        <v>18</v>
      </c>
      <c r="V1191" s="146">
        <v>1177</v>
      </c>
      <c r="W1191" s="148"/>
      <c r="X1191" s="149">
        <v>45689</v>
      </c>
      <c r="Y1191" s="165" t="s">
        <v>2500</v>
      </c>
    </row>
    <row r="1192" spans="1:25">
      <c r="A1192" s="163" t="s">
        <v>7</v>
      </c>
      <c r="B1192" s="144" t="s">
        <v>2463</v>
      </c>
      <c r="C1192" s="164" t="s">
        <v>1305</v>
      </c>
      <c r="D1192" s="144" t="s">
        <v>1002</v>
      </c>
      <c r="E1192" s="150" t="s">
        <v>2636</v>
      </c>
      <c r="F1192" s="144" t="s">
        <v>2482</v>
      </c>
      <c r="G1192" s="166"/>
      <c r="H1192" s="151">
        <v>1</v>
      </c>
      <c r="I1192" s="160">
        <v>0</v>
      </c>
      <c r="J1192" s="159">
        <v>235</v>
      </c>
      <c r="K1192" s="161">
        <v>0</v>
      </c>
      <c r="L1192" s="159">
        <v>235</v>
      </c>
      <c r="M1192" s="160">
        <v>235</v>
      </c>
      <c r="N1192" s="145">
        <v>5640</v>
      </c>
      <c r="O1192" s="156" t="s">
        <v>135</v>
      </c>
      <c r="P1192" s="144" t="s">
        <v>2468</v>
      </c>
      <c r="Q1192" s="147"/>
      <c r="R1192" s="146"/>
      <c r="S1192" s="157"/>
      <c r="T1192" s="144" t="s">
        <v>29</v>
      </c>
      <c r="U1192" s="150" t="s">
        <v>18</v>
      </c>
      <c r="V1192" s="146">
        <v>1434</v>
      </c>
      <c r="W1192" s="148" t="s">
        <v>4546</v>
      </c>
      <c r="X1192" s="149">
        <v>45689</v>
      </c>
      <c r="Y1192" s="165" t="s">
        <v>2470</v>
      </c>
    </row>
    <row r="1193" spans="1:25">
      <c r="A1193" s="163" t="s">
        <v>7</v>
      </c>
      <c r="B1193" s="144" t="s">
        <v>2463</v>
      </c>
      <c r="C1193" s="164" t="s">
        <v>1042</v>
      </c>
      <c r="D1193" s="144" t="s">
        <v>1043</v>
      </c>
      <c r="E1193" s="150" t="s">
        <v>3009</v>
      </c>
      <c r="F1193" s="144" t="s">
        <v>2467</v>
      </c>
      <c r="G1193" s="166"/>
      <c r="H1193" s="151">
        <v>2</v>
      </c>
      <c r="I1193" s="160">
        <v>100</v>
      </c>
      <c r="J1193" s="159">
        <v>100</v>
      </c>
      <c r="K1193" s="161">
        <v>200</v>
      </c>
      <c r="L1193" s="159">
        <v>200</v>
      </c>
      <c r="M1193" s="160">
        <v>200</v>
      </c>
      <c r="N1193" s="145">
        <v>1600</v>
      </c>
      <c r="O1193" s="156" t="s">
        <v>28</v>
      </c>
      <c r="P1193" s="144" t="s">
        <v>2468</v>
      </c>
      <c r="Q1193" s="147">
        <v>47088</v>
      </c>
      <c r="R1193" s="146">
        <v>2058</v>
      </c>
      <c r="S1193" s="157"/>
      <c r="T1193" s="144" t="s">
        <v>28</v>
      </c>
      <c r="U1193" s="150" t="s">
        <v>20</v>
      </c>
      <c r="V1193" s="146">
        <v>2030</v>
      </c>
      <c r="W1193" s="148" t="s">
        <v>4547</v>
      </c>
      <c r="X1193" s="149">
        <v>45901</v>
      </c>
      <c r="Y1193" s="165" t="s">
        <v>2578</v>
      </c>
    </row>
    <row r="1194" spans="1:25">
      <c r="A1194" s="163" t="s">
        <v>7</v>
      </c>
      <c r="B1194" s="144" t="s">
        <v>2463</v>
      </c>
      <c r="C1194" s="164" t="s">
        <v>4548</v>
      </c>
      <c r="D1194" s="144" t="s">
        <v>4549</v>
      </c>
      <c r="E1194" s="150" t="s">
        <v>2491</v>
      </c>
      <c r="F1194" s="144" t="s">
        <v>2477</v>
      </c>
      <c r="G1194" s="166"/>
      <c r="H1194" s="151">
        <v>1</v>
      </c>
      <c r="I1194" s="160">
        <v>120</v>
      </c>
      <c r="J1194" s="159">
        <v>120</v>
      </c>
      <c r="K1194" s="161">
        <v>120</v>
      </c>
      <c r="L1194" s="159">
        <v>120</v>
      </c>
      <c r="M1194" s="160">
        <v>120</v>
      </c>
      <c r="N1194" s="145"/>
      <c r="O1194" s="156" t="s">
        <v>135</v>
      </c>
      <c r="P1194" s="144" t="s">
        <v>2478</v>
      </c>
      <c r="Q1194" s="147"/>
      <c r="R1194" s="146"/>
      <c r="S1194" s="157"/>
      <c r="T1194" s="144" t="s">
        <v>29</v>
      </c>
      <c r="U1194" s="150" t="s">
        <v>2479</v>
      </c>
      <c r="V1194" s="146">
        <v>2723</v>
      </c>
      <c r="W1194" s="148" t="s">
        <v>4550</v>
      </c>
      <c r="X1194" s="149">
        <v>45901</v>
      </c>
      <c r="Y1194" s="165" t="s">
        <v>2810</v>
      </c>
    </row>
    <row r="1195" spans="1:25">
      <c r="A1195" s="163" t="s">
        <v>7</v>
      </c>
      <c r="B1195" s="144" t="s">
        <v>163</v>
      </c>
      <c r="C1195" s="164" t="s">
        <v>2063</v>
      </c>
      <c r="D1195" s="144" t="s">
        <v>4551</v>
      </c>
      <c r="E1195" s="150" t="s">
        <v>2485</v>
      </c>
      <c r="F1195" s="144" t="s">
        <v>2486</v>
      </c>
      <c r="G1195" s="166" t="s">
        <v>4552</v>
      </c>
      <c r="H1195" s="151">
        <v>58</v>
      </c>
      <c r="I1195" s="160"/>
      <c r="J1195" s="159">
        <v>3.43</v>
      </c>
      <c r="K1195" s="161"/>
      <c r="L1195" s="159">
        <v>198.94</v>
      </c>
      <c r="M1195" s="160">
        <v>198.94</v>
      </c>
      <c r="N1195" s="145"/>
      <c r="O1195" s="156" t="s">
        <v>166</v>
      </c>
      <c r="P1195" s="144" t="s">
        <v>2478</v>
      </c>
      <c r="Q1195" s="147">
        <v>44166</v>
      </c>
      <c r="R1195" s="146">
        <v>2043</v>
      </c>
      <c r="S1195" s="157"/>
      <c r="T1195" s="144" t="s">
        <v>25</v>
      </c>
      <c r="U1195" s="150" t="s">
        <v>17</v>
      </c>
      <c r="V1195" s="146">
        <v>1178</v>
      </c>
      <c r="W1195" s="148"/>
      <c r="X1195" s="149">
        <v>45689</v>
      </c>
      <c r="Y1195" s="165" t="s">
        <v>2609</v>
      </c>
    </row>
    <row r="1196" spans="1:25">
      <c r="A1196" s="163" t="s">
        <v>7</v>
      </c>
      <c r="B1196" s="144" t="s">
        <v>2463</v>
      </c>
      <c r="C1196" s="164" t="s">
        <v>213</v>
      </c>
      <c r="D1196" s="144" t="s">
        <v>214</v>
      </c>
      <c r="E1196" s="150" t="s">
        <v>2466</v>
      </c>
      <c r="F1196" s="144" t="s">
        <v>2467</v>
      </c>
      <c r="G1196" s="166" t="s">
        <v>215</v>
      </c>
      <c r="H1196" s="151">
        <v>36</v>
      </c>
      <c r="I1196" s="160"/>
      <c r="J1196" s="159">
        <v>2.4</v>
      </c>
      <c r="K1196" s="161"/>
      <c r="L1196" s="159">
        <v>86.4</v>
      </c>
      <c r="M1196" s="160">
        <v>86.4</v>
      </c>
      <c r="N1196" s="145">
        <v>130</v>
      </c>
      <c r="O1196" s="156" t="s">
        <v>27</v>
      </c>
      <c r="P1196" s="144" t="s">
        <v>2468</v>
      </c>
      <c r="Q1196" s="147">
        <v>45992</v>
      </c>
      <c r="R1196" s="146">
        <v>2040</v>
      </c>
      <c r="S1196" s="157"/>
      <c r="T1196" s="144" t="s">
        <v>27</v>
      </c>
      <c r="U1196" s="150" t="s">
        <v>20</v>
      </c>
      <c r="V1196" s="146">
        <v>2623</v>
      </c>
      <c r="W1196" s="148"/>
      <c r="X1196" s="149">
        <v>45901</v>
      </c>
      <c r="Y1196" s="165" t="s">
        <v>2820</v>
      </c>
    </row>
    <row r="1197" spans="1:25">
      <c r="A1197" s="163" t="s">
        <v>7</v>
      </c>
      <c r="B1197" s="144" t="s">
        <v>163</v>
      </c>
      <c r="C1197" s="164" t="s">
        <v>631</v>
      </c>
      <c r="D1197" s="144" t="s">
        <v>632</v>
      </c>
      <c r="E1197" s="150" t="s">
        <v>2555</v>
      </c>
      <c r="F1197" s="144" t="s">
        <v>2556</v>
      </c>
      <c r="G1197" s="166" t="s">
        <v>4553</v>
      </c>
      <c r="H1197" s="151">
        <v>3</v>
      </c>
      <c r="I1197" s="160">
        <v>41.9</v>
      </c>
      <c r="J1197" s="159">
        <v>41.9</v>
      </c>
      <c r="K1197" s="161">
        <v>125.7</v>
      </c>
      <c r="L1197" s="159">
        <v>125.7</v>
      </c>
      <c r="M1197" s="160">
        <v>125.7</v>
      </c>
      <c r="N1197" s="145"/>
      <c r="O1197" s="156" t="s">
        <v>166</v>
      </c>
      <c r="P1197" s="144" t="s">
        <v>2468</v>
      </c>
      <c r="Q1197" s="147"/>
      <c r="R1197" s="146">
        <v>2044</v>
      </c>
      <c r="S1197" s="157"/>
      <c r="T1197" s="144" t="s">
        <v>25</v>
      </c>
      <c r="U1197" s="150" t="s">
        <v>14</v>
      </c>
      <c r="V1197" s="146">
        <v>1179</v>
      </c>
      <c r="W1197" s="148"/>
      <c r="X1197" s="149">
        <v>45689</v>
      </c>
      <c r="Y1197" s="165" t="s">
        <v>2609</v>
      </c>
    </row>
    <row r="1198" spans="1:25">
      <c r="A1198" s="163" t="s">
        <v>309</v>
      </c>
      <c r="B1198" s="144" t="s">
        <v>2463</v>
      </c>
      <c r="C1198" s="164" t="s">
        <v>4554</v>
      </c>
      <c r="D1198" s="144" t="s">
        <v>540</v>
      </c>
      <c r="E1198" s="150" t="s">
        <v>2466</v>
      </c>
      <c r="F1198" s="144" t="s">
        <v>2477</v>
      </c>
      <c r="G1198" s="166"/>
      <c r="H1198" s="151">
        <v>1</v>
      </c>
      <c r="I1198" s="160"/>
      <c r="J1198" s="159">
        <v>300</v>
      </c>
      <c r="K1198" s="161"/>
      <c r="L1198" s="159">
        <v>300</v>
      </c>
      <c r="M1198" s="160">
        <v>300</v>
      </c>
      <c r="N1198" s="145">
        <v>1200</v>
      </c>
      <c r="O1198" s="156" t="s">
        <v>135</v>
      </c>
      <c r="P1198" s="144" t="s">
        <v>2468</v>
      </c>
      <c r="Q1198" s="147"/>
      <c r="R1198" s="146"/>
      <c r="S1198" s="157"/>
      <c r="T1198" s="144" t="s">
        <v>29</v>
      </c>
      <c r="U1198" s="150" t="s">
        <v>20</v>
      </c>
      <c r="V1198" s="146">
        <v>1708</v>
      </c>
      <c r="W1198" s="148" t="s">
        <v>4555</v>
      </c>
      <c r="X1198" s="149">
        <v>45778</v>
      </c>
      <c r="Y1198" s="165" t="s">
        <v>2500</v>
      </c>
    </row>
    <row r="1199" spans="1:25">
      <c r="A1199" s="163" t="s">
        <v>309</v>
      </c>
      <c r="B1199" s="144" t="s">
        <v>2463</v>
      </c>
      <c r="C1199" s="164" t="s">
        <v>4554</v>
      </c>
      <c r="D1199" s="144" t="s">
        <v>540</v>
      </c>
      <c r="E1199" s="150" t="s">
        <v>2491</v>
      </c>
      <c r="F1199" s="144" t="s">
        <v>2477</v>
      </c>
      <c r="G1199" s="166"/>
      <c r="H1199" s="151">
        <v>1</v>
      </c>
      <c r="I1199" s="160"/>
      <c r="J1199" s="159">
        <v>300</v>
      </c>
      <c r="K1199" s="161"/>
      <c r="L1199" s="159">
        <v>300</v>
      </c>
      <c r="M1199" s="160">
        <v>300</v>
      </c>
      <c r="N1199" s="145"/>
      <c r="O1199" s="156" t="s">
        <v>135</v>
      </c>
      <c r="P1199" s="144" t="s">
        <v>2478</v>
      </c>
      <c r="Q1199" s="147"/>
      <c r="R1199" s="146"/>
      <c r="S1199" s="157"/>
      <c r="T1199" s="144" t="s">
        <v>29</v>
      </c>
      <c r="U1199" s="150" t="s">
        <v>2479</v>
      </c>
      <c r="V1199" s="146">
        <v>1708</v>
      </c>
      <c r="W1199" s="148" t="s">
        <v>4555</v>
      </c>
      <c r="X1199" s="149">
        <v>45778</v>
      </c>
      <c r="Y1199" s="165" t="s">
        <v>2500</v>
      </c>
    </row>
    <row r="1200" spans="1:25">
      <c r="A1200" s="163" t="s">
        <v>380</v>
      </c>
      <c r="B1200" s="144" t="s">
        <v>163</v>
      </c>
      <c r="C1200" s="164" t="s">
        <v>1449</v>
      </c>
      <c r="D1200" s="144" t="s">
        <v>1450</v>
      </c>
      <c r="E1200" s="150" t="s">
        <v>2555</v>
      </c>
      <c r="F1200" s="144" t="s">
        <v>2814</v>
      </c>
      <c r="G1200" s="166" t="s">
        <v>1451</v>
      </c>
      <c r="H1200" s="151">
        <v>1</v>
      </c>
      <c r="I1200" s="160"/>
      <c r="J1200" s="159">
        <v>30.8</v>
      </c>
      <c r="K1200" s="161"/>
      <c r="L1200" s="159">
        <v>30.8</v>
      </c>
      <c r="M1200" s="160">
        <v>30.8</v>
      </c>
      <c r="N1200" s="145"/>
      <c r="O1200" s="156" t="s">
        <v>166</v>
      </c>
      <c r="P1200" s="144" t="s">
        <v>2468</v>
      </c>
      <c r="Q1200" s="147">
        <v>44713</v>
      </c>
      <c r="R1200" s="146">
        <v>2046</v>
      </c>
      <c r="S1200" s="157"/>
      <c r="T1200" s="144" t="s">
        <v>25</v>
      </c>
      <c r="U1200" s="150" t="s">
        <v>14</v>
      </c>
      <c r="V1200" s="146">
        <v>1532</v>
      </c>
      <c r="W1200" s="148"/>
      <c r="X1200" s="149">
        <v>45689</v>
      </c>
      <c r="Y1200" s="165" t="s">
        <v>2500</v>
      </c>
    </row>
    <row r="1201" spans="1:25">
      <c r="A1201" s="163" t="s">
        <v>380</v>
      </c>
      <c r="B1201" s="144" t="s">
        <v>163</v>
      </c>
      <c r="C1201" s="164" t="s">
        <v>1449</v>
      </c>
      <c r="D1201" s="144" t="s">
        <v>1450</v>
      </c>
      <c r="E1201" s="150" t="s">
        <v>2555</v>
      </c>
      <c r="F1201" s="144" t="s">
        <v>2814</v>
      </c>
      <c r="G1201" s="166" t="s">
        <v>1451</v>
      </c>
      <c r="H1201" s="151">
        <v>4</v>
      </c>
      <c r="I1201" s="160"/>
      <c r="J1201" s="159">
        <v>30.8</v>
      </c>
      <c r="K1201" s="161"/>
      <c r="L1201" s="159">
        <v>123.2</v>
      </c>
      <c r="M1201" s="160">
        <v>123.2</v>
      </c>
      <c r="N1201" s="145"/>
      <c r="O1201" s="156" t="s">
        <v>166</v>
      </c>
      <c r="P1201" s="144" t="s">
        <v>2468</v>
      </c>
      <c r="Q1201" s="147">
        <v>44713</v>
      </c>
      <c r="R1201" s="146">
        <v>2046</v>
      </c>
      <c r="S1201" s="157"/>
      <c r="T1201" s="144" t="s">
        <v>25</v>
      </c>
      <c r="U1201" s="150" t="s">
        <v>14</v>
      </c>
      <c r="V1201" s="146">
        <v>1532</v>
      </c>
      <c r="W1201" s="148"/>
      <c r="X1201" s="149">
        <v>45689</v>
      </c>
      <c r="Y1201" s="165" t="s">
        <v>2500</v>
      </c>
    </row>
    <row r="1202" spans="1:25">
      <c r="A1202" s="163" t="s">
        <v>380</v>
      </c>
      <c r="B1202" s="144" t="s">
        <v>2463</v>
      </c>
      <c r="C1202" s="164" t="s">
        <v>4556</v>
      </c>
      <c r="D1202" s="144" t="s">
        <v>746</v>
      </c>
      <c r="E1202" s="150" t="s">
        <v>2476</v>
      </c>
      <c r="F1202" s="144" t="s">
        <v>2477</v>
      </c>
      <c r="G1202" s="166"/>
      <c r="H1202" s="151">
        <v>11</v>
      </c>
      <c r="I1202" s="160">
        <v>4</v>
      </c>
      <c r="J1202" s="159">
        <v>4</v>
      </c>
      <c r="K1202" s="161">
        <v>44</v>
      </c>
      <c r="L1202" s="159">
        <v>44</v>
      </c>
      <c r="M1202" s="160">
        <v>44</v>
      </c>
      <c r="N1202" s="145">
        <v>0</v>
      </c>
      <c r="O1202" s="156" t="s">
        <v>135</v>
      </c>
      <c r="P1202" s="144" t="s">
        <v>2478</v>
      </c>
      <c r="Q1202" s="147"/>
      <c r="R1202" s="146"/>
      <c r="S1202" s="157"/>
      <c r="T1202" s="144" t="s">
        <v>29</v>
      </c>
      <c r="U1202" s="150" t="s">
        <v>2479</v>
      </c>
      <c r="V1202" s="146">
        <v>1486</v>
      </c>
      <c r="W1202" s="148"/>
      <c r="X1202" s="149">
        <v>45689</v>
      </c>
      <c r="Y1202" s="165" t="s">
        <v>4557</v>
      </c>
    </row>
    <row r="1203" spans="1:25">
      <c r="A1203" s="163" t="s">
        <v>380</v>
      </c>
      <c r="B1203" s="144" t="s">
        <v>2463</v>
      </c>
      <c r="C1203" s="164" t="s">
        <v>4558</v>
      </c>
      <c r="D1203" s="144" t="s">
        <v>746</v>
      </c>
      <c r="E1203" s="150" t="s">
        <v>2466</v>
      </c>
      <c r="F1203" s="144" t="s">
        <v>2467</v>
      </c>
      <c r="G1203" s="166"/>
      <c r="H1203" s="151">
        <v>1</v>
      </c>
      <c r="I1203" s="160">
        <v>0</v>
      </c>
      <c r="J1203" s="159">
        <v>100</v>
      </c>
      <c r="K1203" s="161">
        <v>0</v>
      </c>
      <c r="L1203" s="159">
        <v>100</v>
      </c>
      <c r="M1203" s="160">
        <v>100</v>
      </c>
      <c r="N1203" s="145">
        <v>200</v>
      </c>
      <c r="O1203" s="156" t="s">
        <v>135</v>
      </c>
      <c r="P1203" s="144" t="s">
        <v>2468</v>
      </c>
      <c r="Q1203" s="147"/>
      <c r="R1203" s="146"/>
      <c r="S1203" s="157"/>
      <c r="T1203" s="144" t="s">
        <v>29</v>
      </c>
      <c r="U1203" s="150" t="s">
        <v>20</v>
      </c>
      <c r="V1203" s="146">
        <v>1600</v>
      </c>
      <c r="W1203" s="148"/>
      <c r="X1203" s="149">
        <v>45689</v>
      </c>
      <c r="Y1203" s="165" t="s">
        <v>2609</v>
      </c>
    </row>
    <row r="1204" spans="1:25">
      <c r="A1204" s="163" t="s">
        <v>380</v>
      </c>
      <c r="B1204" s="144" t="s">
        <v>163</v>
      </c>
      <c r="C1204" s="164" t="s">
        <v>4559</v>
      </c>
      <c r="D1204" s="144" t="s">
        <v>4560</v>
      </c>
      <c r="E1204" s="150" t="s">
        <v>2485</v>
      </c>
      <c r="F1204" s="144" t="s">
        <v>2486</v>
      </c>
      <c r="G1204" s="166" t="s">
        <v>4561</v>
      </c>
      <c r="H1204" s="151">
        <v>48</v>
      </c>
      <c r="I1204" s="160"/>
      <c r="J1204" s="159">
        <v>3</v>
      </c>
      <c r="K1204" s="161"/>
      <c r="L1204" s="159">
        <v>144</v>
      </c>
      <c r="M1204" s="160">
        <v>144</v>
      </c>
      <c r="N1204" s="145"/>
      <c r="O1204" s="156" t="s">
        <v>166</v>
      </c>
      <c r="P1204" s="144" t="s">
        <v>2478</v>
      </c>
      <c r="Q1204" s="147"/>
      <c r="R1204" s="146">
        <v>2039</v>
      </c>
      <c r="S1204" s="157"/>
      <c r="T1204" s="144" t="s">
        <v>25</v>
      </c>
      <c r="U1204" s="150" t="s">
        <v>17</v>
      </c>
      <c r="V1204" s="146">
        <v>1181</v>
      </c>
      <c r="W1204" s="148"/>
      <c r="X1204" s="149">
        <v>45689</v>
      </c>
      <c r="Y1204" s="165" t="s">
        <v>2538</v>
      </c>
    </row>
    <row r="1205" spans="1:25">
      <c r="A1205" s="163" t="s">
        <v>380</v>
      </c>
      <c r="B1205" s="144" t="s">
        <v>163</v>
      </c>
      <c r="C1205" s="164" t="s">
        <v>4559</v>
      </c>
      <c r="D1205" s="144" t="s">
        <v>4560</v>
      </c>
      <c r="E1205" s="150" t="s">
        <v>2485</v>
      </c>
      <c r="F1205" s="144" t="s">
        <v>2486</v>
      </c>
      <c r="G1205" s="166" t="s">
        <v>4562</v>
      </c>
      <c r="H1205" s="151">
        <v>42</v>
      </c>
      <c r="I1205" s="160"/>
      <c r="J1205" s="159">
        <v>3</v>
      </c>
      <c r="K1205" s="161"/>
      <c r="L1205" s="159">
        <v>126</v>
      </c>
      <c r="M1205" s="160">
        <v>126</v>
      </c>
      <c r="N1205" s="145"/>
      <c r="O1205" s="156" t="s">
        <v>166</v>
      </c>
      <c r="P1205" s="144" t="s">
        <v>2478</v>
      </c>
      <c r="Q1205" s="147"/>
      <c r="R1205" s="146">
        <v>2039</v>
      </c>
      <c r="S1205" s="157"/>
      <c r="T1205" s="144" t="s">
        <v>25</v>
      </c>
      <c r="U1205" s="150" t="s">
        <v>17</v>
      </c>
      <c r="V1205" s="146">
        <v>1181</v>
      </c>
      <c r="W1205" s="148"/>
      <c r="X1205" s="149">
        <v>45689</v>
      </c>
      <c r="Y1205" s="165" t="s">
        <v>2538</v>
      </c>
    </row>
    <row r="1206" spans="1:25">
      <c r="A1206" s="163" t="s">
        <v>380</v>
      </c>
      <c r="B1206" s="144" t="s">
        <v>163</v>
      </c>
      <c r="C1206" s="164" t="s">
        <v>4563</v>
      </c>
      <c r="D1206" s="144" t="s">
        <v>4564</v>
      </c>
      <c r="E1206" s="150" t="s">
        <v>2485</v>
      </c>
      <c r="F1206" s="144" t="s">
        <v>2486</v>
      </c>
      <c r="G1206" s="166" t="s">
        <v>4565</v>
      </c>
      <c r="H1206" s="151">
        <v>47</v>
      </c>
      <c r="I1206" s="160"/>
      <c r="J1206" s="159">
        <v>2.1</v>
      </c>
      <c r="K1206" s="161"/>
      <c r="L1206" s="159">
        <v>98.7</v>
      </c>
      <c r="M1206" s="160">
        <v>98.7</v>
      </c>
      <c r="N1206" s="145"/>
      <c r="O1206" s="156" t="s">
        <v>166</v>
      </c>
      <c r="P1206" s="144" t="s">
        <v>2478</v>
      </c>
      <c r="Q1206" s="147"/>
      <c r="R1206" s="146">
        <v>2033</v>
      </c>
      <c r="S1206" s="157"/>
      <c r="T1206" s="144" t="s">
        <v>25</v>
      </c>
      <c r="U1206" s="150" t="s">
        <v>17</v>
      </c>
      <c r="V1206" s="146">
        <v>1180</v>
      </c>
      <c r="W1206" s="148"/>
      <c r="X1206" s="149">
        <v>45689</v>
      </c>
      <c r="Y1206" s="165" t="s">
        <v>2622</v>
      </c>
    </row>
    <row r="1207" spans="1:25">
      <c r="A1207" s="163" t="s">
        <v>7</v>
      </c>
      <c r="B1207" s="144" t="s">
        <v>2463</v>
      </c>
      <c r="C1207" s="164" t="s">
        <v>217</v>
      </c>
      <c r="D1207" s="144" t="s">
        <v>218</v>
      </c>
      <c r="E1207" s="150" t="s">
        <v>2636</v>
      </c>
      <c r="F1207" s="144" t="s">
        <v>2482</v>
      </c>
      <c r="G1207" s="166"/>
      <c r="H1207" s="151">
        <v>2</v>
      </c>
      <c r="I1207" s="160"/>
      <c r="J1207" s="159">
        <v>366</v>
      </c>
      <c r="K1207" s="161"/>
      <c r="L1207" s="159">
        <v>732</v>
      </c>
      <c r="M1207" s="160">
        <v>732</v>
      </c>
      <c r="N1207" s="145">
        <v>116660</v>
      </c>
      <c r="O1207" s="156" t="s">
        <v>4566</v>
      </c>
      <c r="P1207" s="144" t="s">
        <v>2468</v>
      </c>
      <c r="Q1207" s="147">
        <v>47088</v>
      </c>
      <c r="R1207" s="146">
        <v>2129</v>
      </c>
      <c r="S1207" s="157"/>
      <c r="T1207" s="144" t="s">
        <v>27</v>
      </c>
      <c r="U1207" s="150" t="s">
        <v>18</v>
      </c>
      <c r="V1207" s="146">
        <v>1752</v>
      </c>
      <c r="W1207" s="148"/>
      <c r="X1207" s="149">
        <v>45901</v>
      </c>
      <c r="Y1207" s="165" t="s">
        <v>2671</v>
      </c>
    </row>
    <row r="1208" spans="1:25">
      <c r="A1208" s="163" t="s">
        <v>7</v>
      </c>
      <c r="B1208" s="144" t="s">
        <v>2463</v>
      </c>
      <c r="C1208" s="164" t="s">
        <v>217</v>
      </c>
      <c r="D1208" s="144" t="s">
        <v>218</v>
      </c>
      <c r="E1208" s="150" t="s">
        <v>2636</v>
      </c>
      <c r="F1208" s="144" t="s">
        <v>2482</v>
      </c>
      <c r="G1208" s="166"/>
      <c r="H1208" s="151">
        <v>4</v>
      </c>
      <c r="I1208" s="160"/>
      <c r="J1208" s="159">
        <v>367</v>
      </c>
      <c r="K1208" s="161"/>
      <c r="L1208" s="159">
        <v>1468</v>
      </c>
      <c r="M1208" s="160">
        <v>1468</v>
      </c>
      <c r="N1208" s="145">
        <v>233320</v>
      </c>
      <c r="O1208" s="156" t="s">
        <v>4566</v>
      </c>
      <c r="P1208" s="144" t="s">
        <v>2468</v>
      </c>
      <c r="Q1208" s="147">
        <v>47088</v>
      </c>
      <c r="R1208" s="146">
        <v>2129</v>
      </c>
      <c r="S1208" s="157"/>
      <c r="T1208" s="144" t="s">
        <v>27</v>
      </c>
      <c r="U1208" s="150" t="s">
        <v>18</v>
      </c>
      <c r="V1208" s="146">
        <v>1752</v>
      </c>
      <c r="W1208" s="148"/>
      <c r="X1208" s="149">
        <v>45901</v>
      </c>
      <c r="Y1208" s="165" t="s">
        <v>2671</v>
      </c>
    </row>
    <row r="1209" spans="1:25" ht="20.6">
      <c r="A1209" s="163" t="s">
        <v>380</v>
      </c>
      <c r="B1209" s="144" t="s">
        <v>163</v>
      </c>
      <c r="C1209" s="164" t="s">
        <v>1044</v>
      </c>
      <c r="D1209" s="144" t="s">
        <v>1045</v>
      </c>
      <c r="E1209" s="150" t="s">
        <v>2555</v>
      </c>
      <c r="F1209" s="144" t="s">
        <v>2502</v>
      </c>
      <c r="G1209" s="166" t="s">
        <v>1118</v>
      </c>
      <c r="H1209" s="151">
        <v>3</v>
      </c>
      <c r="I1209" s="160"/>
      <c r="J1209" s="159">
        <v>21</v>
      </c>
      <c r="K1209" s="161"/>
      <c r="L1209" s="159">
        <v>63</v>
      </c>
      <c r="M1209" s="160">
        <v>63</v>
      </c>
      <c r="N1209" s="145"/>
      <c r="O1209" s="156" t="s">
        <v>3313</v>
      </c>
      <c r="P1209" s="144" t="s">
        <v>2468</v>
      </c>
      <c r="Q1209" s="147"/>
      <c r="R1209" s="146">
        <v>2028</v>
      </c>
      <c r="S1209" s="157">
        <v>46753</v>
      </c>
      <c r="T1209" s="144" t="s">
        <v>24</v>
      </c>
      <c r="U1209" s="150" t="s">
        <v>14</v>
      </c>
      <c r="V1209" s="146">
        <v>1182</v>
      </c>
      <c r="W1209" s="148"/>
      <c r="X1209" s="149">
        <v>45778</v>
      </c>
      <c r="Y1209" s="165" t="s">
        <v>4567</v>
      </c>
    </row>
    <row r="1210" spans="1:25" ht="20.6">
      <c r="A1210" s="163" t="s">
        <v>380</v>
      </c>
      <c r="B1210" s="144" t="s">
        <v>163</v>
      </c>
      <c r="C1210" s="164" t="s">
        <v>1044</v>
      </c>
      <c r="D1210" s="144" t="s">
        <v>1045</v>
      </c>
      <c r="E1210" s="150" t="s">
        <v>2555</v>
      </c>
      <c r="F1210" s="144" t="s">
        <v>2502</v>
      </c>
      <c r="G1210" s="166" t="s">
        <v>1046</v>
      </c>
      <c r="H1210" s="151">
        <v>1</v>
      </c>
      <c r="I1210" s="160"/>
      <c r="J1210" s="159">
        <v>21</v>
      </c>
      <c r="K1210" s="161"/>
      <c r="L1210" s="159">
        <v>21</v>
      </c>
      <c r="M1210" s="160">
        <v>21</v>
      </c>
      <c r="N1210" s="145"/>
      <c r="O1210" s="156" t="s">
        <v>3313</v>
      </c>
      <c r="P1210" s="144" t="s">
        <v>2480</v>
      </c>
      <c r="Q1210" s="147"/>
      <c r="R1210" s="146">
        <v>2028</v>
      </c>
      <c r="S1210" s="157">
        <v>46753</v>
      </c>
      <c r="T1210" s="144" t="s">
        <v>24</v>
      </c>
      <c r="U1210" s="150" t="s">
        <v>14</v>
      </c>
      <c r="V1210" s="146">
        <v>1182</v>
      </c>
      <c r="W1210" s="148"/>
      <c r="X1210" s="149">
        <v>45778</v>
      </c>
      <c r="Y1210" s="165" t="s">
        <v>4567</v>
      </c>
    </row>
    <row r="1211" spans="1:25">
      <c r="A1211" s="163" t="s">
        <v>380</v>
      </c>
      <c r="B1211" s="144" t="s">
        <v>2463</v>
      </c>
      <c r="C1211" s="164" t="s">
        <v>417</v>
      </c>
      <c r="D1211" s="144" t="s">
        <v>418</v>
      </c>
      <c r="E1211" s="150" t="s">
        <v>2491</v>
      </c>
      <c r="F1211" s="144" t="s">
        <v>2477</v>
      </c>
      <c r="G1211" s="166"/>
      <c r="H1211" s="151">
        <v>92</v>
      </c>
      <c r="I1211" s="160">
        <v>2.78</v>
      </c>
      <c r="J1211" s="159">
        <v>2.78</v>
      </c>
      <c r="K1211" s="161">
        <v>255.76</v>
      </c>
      <c r="L1211" s="159">
        <v>255.76</v>
      </c>
      <c r="M1211" s="160">
        <v>255.76</v>
      </c>
      <c r="N1211" s="145"/>
      <c r="O1211" s="156" t="s">
        <v>28</v>
      </c>
      <c r="P1211" s="144" t="s">
        <v>2478</v>
      </c>
      <c r="Q1211" s="147">
        <v>46692</v>
      </c>
      <c r="R1211" s="146">
        <v>2056</v>
      </c>
      <c r="S1211" s="157"/>
      <c r="T1211" s="144" t="s">
        <v>28</v>
      </c>
      <c r="U1211" s="150" t="s">
        <v>2479</v>
      </c>
      <c r="V1211" s="146">
        <v>2550</v>
      </c>
      <c r="W1211" s="148" t="s">
        <v>4568</v>
      </c>
      <c r="X1211" s="149">
        <v>45901</v>
      </c>
      <c r="Y1211" s="165" t="s">
        <v>2475</v>
      </c>
    </row>
    <row r="1212" spans="1:25">
      <c r="A1212" s="163" t="s">
        <v>380</v>
      </c>
      <c r="B1212" s="144" t="s">
        <v>2463</v>
      </c>
      <c r="C1212" s="164" t="s">
        <v>417</v>
      </c>
      <c r="D1212" s="144" t="s">
        <v>418</v>
      </c>
      <c r="E1212" s="150" t="s">
        <v>2466</v>
      </c>
      <c r="F1212" s="144" t="s">
        <v>2467</v>
      </c>
      <c r="G1212" s="166"/>
      <c r="H1212" s="151">
        <v>1</v>
      </c>
      <c r="I1212" s="160">
        <v>123</v>
      </c>
      <c r="J1212" s="159">
        <v>123</v>
      </c>
      <c r="K1212" s="161">
        <v>123</v>
      </c>
      <c r="L1212" s="159">
        <v>123</v>
      </c>
      <c r="M1212" s="160">
        <v>123</v>
      </c>
      <c r="N1212" s="145">
        <v>225</v>
      </c>
      <c r="O1212" s="156" t="s">
        <v>28</v>
      </c>
      <c r="P1212" s="144" t="s">
        <v>2468</v>
      </c>
      <c r="Q1212" s="147">
        <v>46692</v>
      </c>
      <c r="R1212" s="146"/>
      <c r="S1212" s="157"/>
      <c r="T1212" s="144" t="s">
        <v>28</v>
      </c>
      <c r="U1212" s="150" t="s">
        <v>20</v>
      </c>
      <c r="V1212" s="146">
        <v>2550</v>
      </c>
      <c r="W1212" s="148" t="s">
        <v>4568</v>
      </c>
      <c r="X1212" s="149">
        <v>45901</v>
      </c>
      <c r="Y1212" s="165" t="s">
        <v>2475</v>
      </c>
    </row>
    <row r="1213" spans="1:25">
      <c r="A1213" s="163" t="s">
        <v>423</v>
      </c>
      <c r="B1213" s="144" t="s">
        <v>163</v>
      </c>
      <c r="C1213" s="164" t="s">
        <v>1919</v>
      </c>
      <c r="D1213" s="144" t="s">
        <v>1920</v>
      </c>
      <c r="E1213" s="150" t="s">
        <v>2555</v>
      </c>
      <c r="F1213" s="144" t="s">
        <v>2556</v>
      </c>
      <c r="G1213" s="166" t="s">
        <v>4569</v>
      </c>
      <c r="H1213" s="151">
        <v>4</v>
      </c>
      <c r="I1213" s="160">
        <v>0</v>
      </c>
      <c r="J1213" s="159">
        <v>42.5</v>
      </c>
      <c r="K1213" s="161">
        <v>0</v>
      </c>
      <c r="L1213" s="159">
        <v>170</v>
      </c>
      <c r="M1213" s="160">
        <v>170</v>
      </c>
      <c r="N1213" s="145"/>
      <c r="O1213" s="156" t="s">
        <v>166</v>
      </c>
      <c r="P1213" s="144" t="s">
        <v>2468</v>
      </c>
      <c r="Q1213" s="147"/>
      <c r="R1213" s="146">
        <v>2033</v>
      </c>
      <c r="S1213" s="157"/>
      <c r="T1213" s="144" t="s">
        <v>25</v>
      </c>
      <c r="U1213" s="150" t="s">
        <v>14</v>
      </c>
      <c r="V1213" s="146">
        <v>1183</v>
      </c>
      <c r="W1213" s="148"/>
      <c r="X1213" s="149">
        <v>45689</v>
      </c>
      <c r="Y1213" s="165" t="s">
        <v>2558</v>
      </c>
    </row>
    <row r="1214" spans="1:25">
      <c r="A1214" s="163" t="s">
        <v>309</v>
      </c>
      <c r="B1214" s="144" t="s">
        <v>2463</v>
      </c>
      <c r="C1214" s="164" t="s">
        <v>4570</v>
      </c>
      <c r="D1214" s="144" t="s">
        <v>616</v>
      </c>
      <c r="E1214" s="150" t="s">
        <v>2466</v>
      </c>
      <c r="F1214" s="144" t="s">
        <v>2467</v>
      </c>
      <c r="G1214" s="166"/>
      <c r="H1214" s="151">
        <v>1</v>
      </c>
      <c r="I1214" s="160">
        <v>300</v>
      </c>
      <c r="J1214" s="159">
        <v>300</v>
      </c>
      <c r="K1214" s="161">
        <v>300</v>
      </c>
      <c r="L1214" s="159">
        <v>300</v>
      </c>
      <c r="M1214" s="160">
        <v>300</v>
      </c>
      <c r="N1214" s="145">
        <v>0</v>
      </c>
      <c r="O1214" s="156" t="s">
        <v>135</v>
      </c>
      <c r="P1214" s="144" t="s">
        <v>2468</v>
      </c>
      <c r="Q1214" s="147">
        <v>46631</v>
      </c>
      <c r="R1214" s="146"/>
      <c r="S1214" s="157"/>
      <c r="T1214" s="144" t="s">
        <v>29</v>
      </c>
      <c r="U1214" s="150" t="s">
        <v>20</v>
      </c>
      <c r="V1214" s="146">
        <v>3001</v>
      </c>
      <c r="W1214" s="148" t="s">
        <v>3549</v>
      </c>
      <c r="X1214" s="149">
        <v>45901</v>
      </c>
      <c r="Y1214" s="165" t="s">
        <v>2800</v>
      </c>
    </row>
    <row r="1215" spans="1:25">
      <c r="A1215" s="163" t="s">
        <v>7</v>
      </c>
      <c r="B1215" s="144" t="s">
        <v>2463</v>
      </c>
      <c r="C1215" s="164" t="s">
        <v>4571</v>
      </c>
      <c r="D1215" s="144" t="s">
        <v>699</v>
      </c>
      <c r="E1215" s="150" t="s">
        <v>2466</v>
      </c>
      <c r="F1215" s="144" t="s">
        <v>2467</v>
      </c>
      <c r="G1215" s="166"/>
      <c r="H1215" s="151">
        <v>84</v>
      </c>
      <c r="I1215" s="160">
        <v>0</v>
      </c>
      <c r="J1215" s="159">
        <v>1</v>
      </c>
      <c r="K1215" s="161">
        <v>0</v>
      </c>
      <c r="L1215" s="159">
        <v>84</v>
      </c>
      <c r="M1215" s="160">
        <v>84</v>
      </c>
      <c r="N1215" s="145">
        <v>320</v>
      </c>
      <c r="O1215" s="156" t="s">
        <v>135</v>
      </c>
      <c r="P1215" s="144" t="s">
        <v>2468</v>
      </c>
      <c r="Q1215" s="147"/>
      <c r="R1215" s="146"/>
      <c r="S1215" s="157"/>
      <c r="T1215" s="144" t="s">
        <v>29</v>
      </c>
      <c r="U1215" s="150" t="s">
        <v>20</v>
      </c>
      <c r="V1215" s="146">
        <v>2773</v>
      </c>
      <c r="W1215" s="148" t="s">
        <v>4572</v>
      </c>
      <c r="X1215" s="149"/>
      <c r="Y1215" s="165" t="s">
        <v>2474</v>
      </c>
    </row>
    <row r="1216" spans="1:25">
      <c r="A1216" s="163" t="s">
        <v>380</v>
      </c>
      <c r="B1216" s="144" t="s">
        <v>2463</v>
      </c>
      <c r="C1216" s="164" t="s">
        <v>4573</v>
      </c>
      <c r="D1216" s="144" t="s">
        <v>4574</v>
      </c>
      <c r="E1216" s="150" t="s">
        <v>2466</v>
      </c>
      <c r="F1216" s="144" t="s">
        <v>2467</v>
      </c>
      <c r="G1216" s="166"/>
      <c r="H1216" s="151">
        <v>1</v>
      </c>
      <c r="I1216" s="160">
        <v>200</v>
      </c>
      <c r="J1216" s="159">
        <v>200</v>
      </c>
      <c r="K1216" s="161">
        <v>200</v>
      </c>
      <c r="L1216" s="159">
        <v>200</v>
      </c>
      <c r="M1216" s="160">
        <v>200</v>
      </c>
      <c r="N1216" s="145">
        <v>400</v>
      </c>
      <c r="O1216" s="156" t="s">
        <v>135</v>
      </c>
      <c r="P1216" s="144" t="s">
        <v>2468</v>
      </c>
      <c r="Q1216" s="147">
        <v>47665</v>
      </c>
      <c r="R1216" s="146"/>
      <c r="S1216" s="157"/>
      <c r="T1216" s="144" t="s">
        <v>29</v>
      </c>
      <c r="U1216" s="150" t="s">
        <v>20</v>
      </c>
      <c r="V1216" s="146">
        <v>2387</v>
      </c>
      <c r="W1216" s="148" t="s">
        <v>4575</v>
      </c>
      <c r="X1216" s="149">
        <v>45689</v>
      </c>
      <c r="Y1216" s="165" t="s">
        <v>2500</v>
      </c>
    </row>
    <row r="1217" spans="1:25">
      <c r="A1217" s="163" t="s">
        <v>309</v>
      </c>
      <c r="B1217" s="144" t="s">
        <v>2463</v>
      </c>
      <c r="C1217" s="164" t="s">
        <v>4576</v>
      </c>
      <c r="D1217" s="144" t="s">
        <v>1797</v>
      </c>
      <c r="E1217" s="150" t="s">
        <v>2639</v>
      </c>
      <c r="F1217" s="144" t="s">
        <v>3104</v>
      </c>
      <c r="G1217" s="166"/>
      <c r="H1217" s="151">
        <v>1</v>
      </c>
      <c r="I1217" s="160"/>
      <c r="J1217" s="159">
        <v>32</v>
      </c>
      <c r="K1217" s="161"/>
      <c r="L1217" s="159">
        <v>32</v>
      </c>
      <c r="M1217" s="160">
        <v>32</v>
      </c>
      <c r="N1217" s="145"/>
      <c r="O1217" s="156" t="s">
        <v>135</v>
      </c>
      <c r="P1217" s="144" t="s">
        <v>2480</v>
      </c>
      <c r="Q1217" s="147"/>
      <c r="R1217" s="146"/>
      <c r="S1217" s="157"/>
      <c r="T1217" s="144" t="s">
        <v>29</v>
      </c>
      <c r="U1217" s="150" t="s">
        <v>19</v>
      </c>
      <c r="V1217" s="146">
        <v>2045</v>
      </c>
      <c r="W1217" s="148"/>
      <c r="X1217" s="149">
        <v>45689</v>
      </c>
      <c r="Y1217" s="165" t="s">
        <v>2520</v>
      </c>
    </row>
    <row r="1218" spans="1:25">
      <c r="A1218" s="163" t="s">
        <v>7</v>
      </c>
      <c r="B1218" s="144" t="s">
        <v>2463</v>
      </c>
      <c r="C1218" s="164" t="s">
        <v>4577</v>
      </c>
      <c r="D1218" s="144" t="s">
        <v>3001</v>
      </c>
      <c r="E1218" s="150" t="s">
        <v>2466</v>
      </c>
      <c r="F1218" s="144" t="s">
        <v>2467</v>
      </c>
      <c r="G1218" s="166"/>
      <c r="H1218" s="151">
        <v>80</v>
      </c>
      <c r="I1218" s="160">
        <v>2.5</v>
      </c>
      <c r="J1218" s="159">
        <v>2.5</v>
      </c>
      <c r="K1218" s="161">
        <v>200</v>
      </c>
      <c r="L1218" s="159">
        <v>200</v>
      </c>
      <c r="M1218" s="160">
        <v>200</v>
      </c>
      <c r="N1218" s="145">
        <v>0</v>
      </c>
      <c r="O1218" s="156" t="s">
        <v>135</v>
      </c>
      <c r="P1218" s="144" t="s">
        <v>2468</v>
      </c>
      <c r="Q1218" s="147"/>
      <c r="R1218" s="146"/>
      <c r="S1218" s="157"/>
      <c r="T1218" s="144" t="s">
        <v>29</v>
      </c>
      <c r="U1218" s="150" t="s">
        <v>20</v>
      </c>
      <c r="V1218" s="146">
        <v>2930</v>
      </c>
      <c r="W1218" s="148" t="s">
        <v>4578</v>
      </c>
      <c r="X1218" s="149">
        <v>45901</v>
      </c>
      <c r="Y1218" s="165" t="s">
        <v>3310</v>
      </c>
    </row>
    <row r="1219" spans="1:25">
      <c r="A1219" s="163" t="s">
        <v>7</v>
      </c>
      <c r="B1219" s="144" t="s">
        <v>163</v>
      </c>
      <c r="C1219" s="164" t="s">
        <v>4579</v>
      </c>
      <c r="D1219" s="144" t="s">
        <v>4206</v>
      </c>
      <c r="E1219" s="150" t="s">
        <v>2491</v>
      </c>
      <c r="F1219" s="144" t="s">
        <v>2477</v>
      </c>
      <c r="G1219" s="166" t="s">
        <v>4580</v>
      </c>
      <c r="H1219" s="151">
        <v>6</v>
      </c>
      <c r="I1219" s="160">
        <v>0</v>
      </c>
      <c r="J1219" s="159">
        <v>2.3199999999999998</v>
      </c>
      <c r="K1219" s="161">
        <v>0</v>
      </c>
      <c r="L1219" s="159">
        <v>13.9</v>
      </c>
      <c r="M1219" s="160">
        <v>13.9</v>
      </c>
      <c r="N1219" s="145"/>
      <c r="O1219" s="156" t="s">
        <v>166</v>
      </c>
      <c r="P1219" s="144" t="s">
        <v>2480</v>
      </c>
      <c r="Q1219" s="147"/>
      <c r="R1219" s="146">
        <v>2042</v>
      </c>
      <c r="S1219" s="157"/>
      <c r="T1219" s="144" t="s">
        <v>25</v>
      </c>
      <c r="U1219" s="150" t="s">
        <v>2479</v>
      </c>
      <c r="V1219" s="146">
        <v>1377</v>
      </c>
      <c r="W1219" s="148"/>
      <c r="X1219" s="149">
        <v>45566</v>
      </c>
      <c r="Y1219" s="165" t="s">
        <v>3491</v>
      </c>
    </row>
    <row r="1220" spans="1:25">
      <c r="A1220" s="163" t="s">
        <v>309</v>
      </c>
      <c r="B1220" s="144" t="s">
        <v>2463</v>
      </c>
      <c r="C1220" s="164" t="s">
        <v>4581</v>
      </c>
      <c r="D1220" s="144" t="s">
        <v>4582</v>
      </c>
      <c r="E1220" s="150" t="s">
        <v>2466</v>
      </c>
      <c r="F1220" s="144" t="s">
        <v>2467</v>
      </c>
      <c r="G1220" s="166"/>
      <c r="H1220" s="151">
        <v>1</v>
      </c>
      <c r="I1220" s="160"/>
      <c r="J1220" s="159">
        <v>630</v>
      </c>
      <c r="K1220" s="161"/>
      <c r="L1220" s="159">
        <v>630</v>
      </c>
      <c r="M1220" s="160">
        <v>630</v>
      </c>
      <c r="N1220" s="145">
        <v>630</v>
      </c>
      <c r="O1220" s="156" t="s">
        <v>135</v>
      </c>
      <c r="P1220" s="144" t="s">
        <v>2468</v>
      </c>
      <c r="Q1220" s="147"/>
      <c r="R1220" s="146"/>
      <c r="S1220" s="157"/>
      <c r="T1220" s="144" t="s">
        <v>29</v>
      </c>
      <c r="U1220" s="150" t="s">
        <v>20</v>
      </c>
      <c r="V1220" s="146">
        <v>3004</v>
      </c>
      <c r="W1220" s="148" t="s">
        <v>4583</v>
      </c>
      <c r="X1220" s="149">
        <v>45901</v>
      </c>
      <c r="Y1220" s="165" t="s">
        <v>3241</v>
      </c>
    </row>
    <row r="1221" spans="1:25">
      <c r="A1221" s="163" t="s">
        <v>7</v>
      </c>
      <c r="B1221" s="144" t="s">
        <v>2463</v>
      </c>
      <c r="C1221" s="164" t="s">
        <v>4584</v>
      </c>
      <c r="D1221" s="144" t="s">
        <v>4585</v>
      </c>
      <c r="E1221" s="150" t="s">
        <v>2630</v>
      </c>
      <c r="F1221" s="144" t="s">
        <v>2486</v>
      </c>
      <c r="G1221" s="166"/>
      <c r="H1221" s="151">
        <v>105</v>
      </c>
      <c r="I1221" s="160">
        <v>15</v>
      </c>
      <c r="J1221" s="159">
        <v>15.25</v>
      </c>
      <c r="K1221" s="161">
        <v>1575</v>
      </c>
      <c r="L1221" s="159">
        <v>1601.25</v>
      </c>
      <c r="M1221" s="160" t="s">
        <v>4586</v>
      </c>
      <c r="N1221" s="145"/>
      <c r="O1221" s="156" t="s">
        <v>135</v>
      </c>
      <c r="P1221" s="144" t="s">
        <v>2478</v>
      </c>
      <c r="Q1221" s="147">
        <v>49461</v>
      </c>
      <c r="R1221" s="146"/>
      <c r="S1221" s="157"/>
      <c r="T1221" s="144" t="s">
        <v>29</v>
      </c>
      <c r="U1221" s="150" t="s">
        <v>17</v>
      </c>
      <c r="V1221" s="146">
        <v>2028</v>
      </c>
      <c r="W1221" s="148" t="s">
        <v>4587</v>
      </c>
      <c r="X1221" s="149">
        <v>45689</v>
      </c>
      <c r="Y1221" s="165" t="s">
        <v>2558</v>
      </c>
    </row>
    <row r="1222" spans="1:25">
      <c r="A1222" s="163" t="s">
        <v>423</v>
      </c>
      <c r="B1222" s="144" t="s">
        <v>2463</v>
      </c>
      <c r="C1222" s="164" t="s">
        <v>4588</v>
      </c>
      <c r="D1222" s="144" t="s">
        <v>4589</v>
      </c>
      <c r="E1222" s="150" t="s">
        <v>2630</v>
      </c>
      <c r="F1222" s="144" t="s">
        <v>2486</v>
      </c>
      <c r="G1222" s="166"/>
      <c r="H1222" s="151">
        <v>77</v>
      </c>
      <c r="I1222" s="160">
        <v>15</v>
      </c>
      <c r="J1222" s="159">
        <v>15</v>
      </c>
      <c r="K1222" s="161">
        <v>1155</v>
      </c>
      <c r="L1222" s="159">
        <v>1155</v>
      </c>
      <c r="M1222" s="160">
        <v>1155</v>
      </c>
      <c r="N1222" s="145"/>
      <c r="O1222" s="156" t="s">
        <v>135</v>
      </c>
      <c r="P1222" s="144" t="s">
        <v>2478</v>
      </c>
      <c r="Q1222" s="147"/>
      <c r="R1222" s="146"/>
      <c r="S1222" s="157"/>
      <c r="T1222" s="144" t="s">
        <v>29</v>
      </c>
      <c r="U1222" s="150" t="s">
        <v>17</v>
      </c>
      <c r="V1222" s="146">
        <v>2039</v>
      </c>
      <c r="W1222" s="148" t="s">
        <v>4590</v>
      </c>
      <c r="X1222" s="149">
        <v>45689</v>
      </c>
      <c r="Y1222" s="165" t="s">
        <v>3266</v>
      </c>
    </row>
    <row r="1223" spans="1:25">
      <c r="A1223" s="163" t="s">
        <v>309</v>
      </c>
      <c r="B1223" s="144" t="s">
        <v>2463</v>
      </c>
      <c r="C1223" s="164" t="s">
        <v>4591</v>
      </c>
      <c r="D1223" s="144" t="s">
        <v>2756</v>
      </c>
      <c r="E1223" s="150" t="s">
        <v>2466</v>
      </c>
      <c r="F1223" s="144" t="s">
        <v>2467</v>
      </c>
      <c r="G1223" s="166"/>
      <c r="H1223" s="151">
        <v>1</v>
      </c>
      <c r="I1223" s="160">
        <v>100</v>
      </c>
      <c r="J1223" s="159">
        <v>100</v>
      </c>
      <c r="K1223" s="161">
        <v>100</v>
      </c>
      <c r="L1223" s="159">
        <v>100</v>
      </c>
      <c r="M1223" s="160">
        <v>100</v>
      </c>
      <c r="N1223" s="145">
        <v>0</v>
      </c>
      <c r="O1223" s="156" t="s">
        <v>135</v>
      </c>
      <c r="P1223" s="144" t="s">
        <v>2468</v>
      </c>
      <c r="Q1223" s="147"/>
      <c r="R1223" s="146"/>
      <c r="S1223" s="157"/>
      <c r="T1223" s="144" t="s">
        <v>29</v>
      </c>
      <c r="U1223" s="150" t="s">
        <v>20</v>
      </c>
      <c r="V1223" s="146">
        <v>2382</v>
      </c>
      <c r="W1223" s="148" t="s">
        <v>4592</v>
      </c>
      <c r="X1223" s="149">
        <v>45689</v>
      </c>
      <c r="Y1223" s="165" t="s">
        <v>2538</v>
      </c>
    </row>
    <row r="1224" spans="1:25">
      <c r="A1224" s="163" t="s">
        <v>309</v>
      </c>
      <c r="B1224" s="144" t="s">
        <v>2463</v>
      </c>
      <c r="C1224" s="164" t="s">
        <v>4593</v>
      </c>
      <c r="D1224" s="144" t="s">
        <v>2756</v>
      </c>
      <c r="E1224" s="150" t="s">
        <v>2485</v>
      </c>
      <c r="F1224" s="144" t="s">
        <v>2486</v>
      </c>
      <c r="G1224" s="166"/>
      <c r="H1224" s="151">
        <v>56</v>
      </c>
      <c r="I1224" s="160"/>
      <c r="J1224" s="159">
        <v>6</v>
      </c>
      <c r="K1224" s="161"/>
      <c r="L1224" s="159">
        <v>336</v>
      </c>
      <c r="M1224" s="160">
        <v>336</v>
      </c>
      <c r="N1224" s="145"/>
      <c r="O1224" s="156" t="s">
        <v>135</v>
      </c>
      <c r="P1224" s="144" t="s">
        <v>2478</v>
      </c>
      <c r="Q1224" s="147"/>
      <c r="R1224" s="146"/>
      <c r="S1224" s="157"/>
      <c r="T1224" s="144" t="s">
        <v>29</v>
      </c>
      <c r="U1224" s="150" t="s">
        <v>17</v>
      </c>
      <c r="V1224" s="146">
        <v>2004</v>
      </c>
      <c r="W1224" s="148" t="s">
        <v>4594</v>
      </c>
      <c r="X1224" s="149">
        <v>45689</v>
      </c>
      <c r="Y1224" s="165" t="s">
        <v>2520</v>
      </c>
    </row>
    <row r="1225" spans="1:25">
      <c r="A1225" s="163" t="s">
        <v>7</v>
      </c>
      <c r="B1225" s="144" t="s">
        <v>2463</v>
      </c>
      <c r="C1225" s="164" t="s">
        <v>4595</v>
      </c>
      <c r="D1225" s="144" t="s">
        <v>690</v>
      </c>
      <c r="E1225" s="150" t="s">
        <v>2485</v>
      </c>
      <c r="F1225" s="144" t="s">
        <v>2486</v>
      </c>
      <c r="G1225" s="166"/>
      <c r="H1225" s="151">
        <v>117</v>
      </c>
      <c r="I1225" s="160"/>
      <c r="J1225" s="159">
        <v>6</v>
      </c>
      <c r="K1225" s="161"/>
      <c r="L1225" s="159">
        <v>702</v>
      </c>
      <c r="M1225" s="160">
        <v>702</v>
      </c>
      <c r="N1225" s="145"/>
      <c r="O1225" s="156" t="s">
        <v>135</v>
      </c>
      <c r="P1225" s="144" t="s">
        <v>2478</v>
      </c>
      <c r="Q1225" s="147"/>
      <c r="R1225" s="146"/>
      <c r="S1225" s="157"/>
      <c r="T1225" s="144" t="s">
        <v>29</v>
      </c>
      <c r="U1225" s="150" t="s">
        <v>17</v>
      </c>
      <c r="V1225" s="146">
        <v>2583</v>
      </c>
      <c r="W1225" s="148"/>
      <c r="X1225" s="149">
        <v>45901</v>
      </c>
      <c r="Y1225" s="165" t="s">
        <v>3006</v>
      </c>
    </row>
    <row r="1226" spans="1:25">
      <c r="A1226" s="163" t="s">
        <v>423</v>
      </c>
      <c r="B1226" s="144" t="s">
        <v>2463</v>
      </c>
      <c r="C1226" s="164" t="s">
        <v>4596</v>
      </c>
      <c r="D1226" s="144" t="s">
        <v>627</v>
      </c>
      <c r="E1226" s="150" t="s">
        <v>2630</v>
      </c>
      <c r="F1226" s="144" t="s">
        <v>2486</v>
      </c>
      <c r="G1226" s="166"/>
      <c r="H1226" s="151">
        <v>1</v>
      </c>
      <c r="I1226" s="160">
        <v>1200</v>
      </c>
      <c r="J1226" s="159">
        <v>1200</v>
      </c>
      <c r="K1226" s="161">
        <v>1200</v>
      </c>
      <c r="L1226" s="159">
        <v>1200</v>
      </c>
      <c r="M1226" s="160">
        <v>1200</v>
      </c>
      <c r="N1226" s="145"/>
      <c r="O1226" s="156" t="s">
        <v>135</v>
      </c>
      <c r="P1226" s="144" t="s">
        <v>2478</v>
      </c>
      <c r="Q1226" s="147"/>
      <c r="R1226" s="146"/>
      <c r="S1226" s="157"/>
      <c r="T1226" s="144" t="s">
        <v>29</v>
      </c>
      <c r="U1226" s="150" t="s">
        <v>17</v>
      </c>
      <c r="V1226" s="146">
        <v>2656</v>
      </c>
      <c r="W1226" s="148" t="s">
        <v>4597</v>
      </c>
      <c r="X1226" s="149">
        <v>45689</v>
      </c>
      <c r="Y1226" s="165" t="s">
        <v>2474</v>
      </c>
    </row>
    <row r="1227" spans="1:25">
      <c r="A1227" s="163" t="s">
        <v>7</v>
      </c>
      <c r="B1227" s="144" t="s">
        <v>2463</v>
      </c>
      <c r="C1227" s="164" t="s">
        <v>4598</v>
      </c>
      <c r="D1227" s="144" t="s">
        <v>4599</v>
      </c>
      <c r="E1227" s="150" t="s">
        <v>2491</v>
      </c>
      <c r="F1227" s="144" t="s">
        <v>2477</v>
      </c>
      <c r="G1227" s="166"/>
      <c r="H1227" s="151">
        <v>1</v>
      </c>
      <c r="I1227" s="160">
        <v>100</v>
      </c>
      <c r="J1227" s="159">
        <v>100</v>
      </c>
      <c r="K1227" s="161">
        <v>100</v>
      </c>
      <c r="L1227" s="159">
        <v>100</v>
      </c>
      <c r="M1227" s="160">
        <v>100</v>
      </c>
      <c r="N1227" s="145"/>
      <c r="O1227" s="156" t="s">
        <v>135</v>
      </c>
      <c r="P1227" s="144" t="s">
        <v>2478</v>
      </c>
      <c r="Q1227" s="147"/>
      <c r="R1227" s="146"/>
      <c r="S1227" s="157"/>
      <c r="T1227" s="144" t="s">
        <v>29</v>
      </c>
      <c r="U1227" s="150" t="s">
        <v>2479</v>
      </c>
      <c r="V1227" s="146">
        <v>1560</v>
      </c>
      <c r="W1227" s="148"/>
      <c r="X1227" s="149">
        <v>45901</v>
      </c>
      <c r="Y1227" s="165" t="s">
        <v>2671</v>
      </c>
    </row>
    <row r="1228" spans="1:25">
      <c r="A1228" s="163" t="s">
        <v>309</v>
      </c>
      <c r="B1228" s="144" t="s">
        <v>2463</v>
      </c>
      <c r="C1228" s="164" t="s">
        <v>4600</v>
      </c>
      <c r="D1228" s="144" t="s">
        <v>4601</v>
      </c>
      <c r="E1228" s="150" t="s">
        <v>2485</v>
      </c>
      <c r="F1228" s="144" t="s">
        <v>2486</v>
      </c>
      <c r="G1228" s="166"/>
      <c r="H1228" s="151">
        <v>121</v>
      </c>
      <c r="I1228" s="160">
        <v>6.6</v>
      </c>
      <c r="J1228" s="159">
        <v>6.6</v>
      </c>
      <c r="K1228" s="161">
        <v>798.6</v>
      </c>
      <c r="L1228" s="159">
        <v>798.6</v>
      </c>
      <c r="M1228" s="160">
        <v>798.6</v>
      </c>
      <c r="N1228" s="145"/>
      <c r="O1228" s="156" t="s">
        <v>135</v>
      </c>
      <c r="P1228" s="144" t="s">
        <v>2478</v>
      </c>
      <c r="Q1228" s="147"/>
      <c r="R1228" s="146"/>
      <c r="S1228" s="157"/>
      <c r="T1228" s="144" t="s">
        <v>29</v>
      </c>
      <c r="U1228" s="150" t="s">
        <v>17</v>
      </c>
      <c r="V1228" s="146">
        <v>2301</v>
      </c>
      <c r="W1228" s="148" t="s">
        <v>4602</v>
      </c>
      <c r="X1228" s="149">
        <v>45689</v>
      </c>
      <c r="Y1228" s="165" t="s">
        <v>2558</v>
      </c>
    </row>
    <row r="1229" spans="1:25">
      <c r="A1229" s="163" t="s">
        <v>423</v>
      </c>
      <c r="B1229" s="144" t="s">
        <v>2463</v>
      </c>
      <c r="C1229" s="164" t="s">
        <v>4603</v>
      </c>
      <c r="D1229" s="144" t="s">
        <v>4604</v>
      </c>
      <c r="E1229" s="150" t="s">
        <v>2466</v>
      </c>
      <c r="F1229" s="144" t="s">
        <v>2467</v>
      </c>
      <c r="G1229" s="166"/>
      <c r="H1229" s="151">
        <v>1</v>
      </c>
      <c r="I1229" s="160"/>
      <c r="J1229" s="159">
        <v>115</v>
      </c>
      <c r="K1229" s="161"/>
      <c r="L1229" s="159">
        <v>115</v>
      </c>
      <c r="M1229" s="160">
        <v>115</v>
      </c>
      <c r="N1229" s="145">
        <v>230</v>
      </c>
      <c r="O1229" s="156" t="s">
        <v>135</v>
      </c>
      <c r="P1229" s="144" t="s">
        <v>2468</v>
      </c>
      <c r="Q1229" s="147"/>
      <c r="R1229" s="146"/>
      <c r="S1229" s="157"/>
      <c r="T1229" s="144" t="s">
        <v>29</v>
      </c>
      <c r="U1229" s="150" t="s">
        <v>20</v>
      </c>
      <c r="V1229" s="146">
        <v>2812</v>
      </c>
      <c r="W1229" s="148" t="s">
        <v>4605</v>
      </c>
      <c r="X1229" s="149">
        <v>45901</v>
      </c>
      <c r="Y1229" s="165" t="s">
        <v>2942</v>
      </c>
    </row>
    <row r="1230" spans="1:25">
      <c r="A1230" s="163" t="s">
        <v>309</v>
      </c>
      <c r="B1230" s="144" t="s">
        <v>2463</v>
      </c>
      <c r="C1230" s="164" t="s">
        <v>4606</v>
      </c>
      <c r="D1230" s="144" t="s">
        <v>4607</v>
      </c>
      <c r="E1230" s="150" t="s">
        <v>2466</v>
      </c>
      <c r="F1230" s="144" t="s">
        <v>2467</v>
      </c>
      <c r="G1230" s="166"/>
      <c r="H1230" s="151">
        <v>1</v>
      </c>
      <c r="I1230" s="160">
        <v>500</v>
      </c>
      <c r="J1230" s="159">
        <v>500</v>
      </c>
      <c r="K1230" s="161">
        <v>500</v>
      </c>
      <c r="L1230" s="159">
        <v>500</v>
      </c>
      <c r="M1230" s="160">
        <v>500</v>
      </c>
      <c r="N1230" s="145">
        <v>0</v>
      </c>
      <c r="O1230" s="156" t="s">
        <v>135</v>
      </c>
      <c r="P1230" s="144" t="s">
        <v>2468</v>
      </c>
      <c r="Q1230" s="147"/>
      <c r="R1230" s="146"/>
      <c r="S1230" s="157"/>
      <c r="T1230" s="144" t="s">
        <v>29</v>
      </c>
      <c r="U1230" s="150" t="s">
        <v>20</v>
      </c>
      <c r="V1230" s="146">
        <v>2302</v>
      </c>
      <c r="W1230" s="148" t="s">
        <v>4608</v>
      </c>
      <c r="X1230" s="149">
        <v>45901</v>
      </c>
      <c r="Y1230" s="165" t="s">
        <v>4609</v>
      </c>
    </row>
    <row r="1231" spans="1:25">
      <c r="A1231" s="163" t="s">
        <v>565</v>
      </c>
      <c r="B1231" s="144" t="s">
        <v>2463</v>
      </c>
      <c r="C1231" s="164" t="s">
        <v>4610</v>
      </c>
      <c r="D1231" s="144" t="s">
        <v>2756</v>
      </c>
      <c r="E1231" s="150" t="s">
        <v>2485</v>
      </c>
      <c r="F1231" s="144" t="s">
        <v>2486</v>
      </c>
      <c r="G1231" s="166"/>
      <c r="H1231" s="151">
        <v>47</v>
      </c>
      <c r="I1231" s="160"/>
      <c r="J1231" s="159">
        <v>6.2</v>
      </c>
      <c r="K1231" s="161"/>
      <c r="L1231" s="159">
        <v>291.39999999999998</v>
      </c>
      <c r="M1231" s="160">
        <v>291.39999999999998</v>
      </c>
      <c r="N1231" s="145"/>
      <c r="O1231" s="156" t="s">
        <v>135</v>
      </c>
      <c r="P1231" s="144" t="s">
        <v>2478</v>
      </c>
      <c r="Q1231" s="147"/>
      <c r="R1231" s="146"/>
      <c r="S1231" s="157"/>
      <c r="T1231" s="144" t="s">
        <v>29</v>
      </c>
      <c r="U1231" s="150" t="s">
        <v>17</v>
      </c>
      <c r="V1231" s="146">
        <v>2063</v>
      </c>
      <c r="W1231" s="148" t="s">
        <v>4611</v>
      </c>
      <c r="X1231" s="149">
        <v>45689</v>
      </c>
      <c r="Y1231" s="165" t="s">
        <v>2520</v>
      </c>
    </row>
    <row r="1232" spans="1:25">
      <c r="A1232" s="163" t="s">
        <v>423</v>
      </c>
      <c r="B1232" s="144" t="s">
        <v>2463</v>
      </c>
      <c r="C1232" s="164" t="s">
        <v>4612</v>
      </c>
      <c r="D1232" s="144" t="s">
        <v>4613</v>
      </c>
      <c r="E1232" s="150" t="s">
        <v>2466</v>
      </c>
      <c r="F1232" s="144" t="s">
        <v>2477</v>
      </c>
      <c r="G1232" s="166"/>
      <c r="H1232" s="151">
        <v>1</v>
      </c>
      <c r="I1232" s="160">
        <v>0</v>
      </c>
      <c r="J1232" s="159">
        <v>20</v>
      </c>
      <c r="K1232" s="161">
        <v>0</v>
      </c>
      <c r="L1232" s="159">
        <v>20</v>
      </c>
      <c r="M1232" s="160">
        <v>20</v>
      </c>
      <c r="N1232" s="145">
        <v>20</v>
      </c>
      <c r="O1232" s="156" t="s">
        <v>135</v>
      </c>
      <c r="P1232" s="144" t="s">
        <v>2468</v>
      </c>
      <c r="Q1232" s="147">
        <v>46357</v>
      </c>
      <c r="R1232" s="146">
        <v>2046</v>
      </c>
      <c r="S1232" s="157"/>
      <c r="T1232" s="144" t="s">
        <v>29</v>
      </c>
      <c r="U1232" s="150" t="s">
        <v>20</v>
      </c>
      <c r="V1232" s="146">
        <v>1970</v>
      </c>
      <c r="W1232" s="148"/>
      <c r="X1232" s="149">
        <v>45778</v>
      </c>
      <c r="Y1232" s="165" t="s">
        <v>2474</v>
      </c>
    </row>
    <row r="1233" spans="1:25">
      <c r="A1233" s="163" t="s">
        <v>423</v>
      </c>
      <c r="B1233" s="144" t="s">
        <v>2463</v>
      </c>
      <c r="C1233" s="164" t="s">
        <v>4614</v>
      </c>
      <c r="D1233" s="144" t="s">
        <v>578</v>
      </c>
      <c r="E1233" s="150" t="s">
        <v>2476</v>
      </c>
      <c r="F1233" s="144" t="s">
        <v>2477</v>
      </c>
      <c r="G1233" s="166"/>
      <c r="H1233" s="151">
        <v>1</v>
      </c>
      <c r="I1233" s="160"/>
      <c r="J1233" s="159">
        <v>5</v>
      </c>
      <c r="K1233" s="161"/>
      <c r="L1233" s="159">
        <v>5</v>
      </c>
      <c r="M1233" s="160">
        <v>5</v>
      </c>
      <c r="N1233" s="145"/>
      <c r="O1233" s="156" t="s">
        <v>135</v>
      </c>
      <c r="P1233" s="144" t="s">
        <v>2478</v>
      </c>
      <c r="Q1233" s="147">
        <v>46357</v>
      </c>
      <c r="R1233" s="146">
        <v>2046</v>
      </c>
      <c r="S1233" s="157"/>
      <c r="T1233" s="144" t="s">
        <v>29</v>
      </c>
      <c r="U1233" s="150" t="s">
        <v>2479</v>
      </c>
      <c r="V1233" s="146">
        <v>2581</v>
      </c>
      <c r="W1233" s="148"/>
      <c r="X1233" s="149">
        <v>45778</v>
      </c>
      <c r="Y1233" s="165" t="s">
        <v>2474</v>
      </c>
    </row>
    <row r="1234" spans="1:25">
      <c r="A1234" s="163" t="s">
        <v>309</v>
      </c>
      <c r="B1234" s="144" t="s">
        <v>2463</v>
      </c>
      <c r="C1234" s="164" t="s">
        <v>4615</v>
      </c>
      <c r="D1234" s="144" t="s">
        <v>4616</v>
      </c>
      <c r="E1234" s="150" t="s">
        <v>2506</v>
      </c>
      <c r="F1234" s="144" t="s">
        <v>2786</v>
      </c>
      <c r="G1234" s="166"/>
      <c r="H1234" s="151">
        <v>6</v>
      </c>
      <c r="I1234" s="160">
        <v>3.36</v>
      </c>
      <c r="J1234" s="159">
        <v>3.36</v>
      </c>
      <c r="K1234" s="161">
        <v>20.16</v>
      </c>
      <c r="L1234" s="159">
        <v>20.16</v>
      </c>
      <c r="M1234" s="160">
        <v>20.16</v>
      </c>
      <c r="N1234" s="145"/>
      <c r="O1234" s="156" t="s">
        <v>135</v>
      </c>
      <c r="P1234" s="144" t="s">
        <v>2480</v>
      </c>
      <c r="Q1234" s="147">
        <v>46357</v>
      </c>
      <c r="R1234" s="146"/>
      <c r="S1234" s="157"/>
      <c r="T1234" s="144" t="s">
        <v>29</v>
      </c>
      <c r="U1234" s="150" t="s">
        <v>15</v>
      </c>
      <c r="V1234" s="146">
        <v>2976</v>
      </c>
      <c r="W1234" s="148"/>
      <c r="X1234" s="149"/>
      <c r="Y1234" s="165" t="s">
        <v>2609</v>
      </c>
    </row>
    <row r="1235" spans="1:25">
      <c r="A1235" s="163" t="s">
        <v>309</v>
      </c>
      <c r="B1235" s="144" t="s">
        <v>163</v>
      </c>
      <c r="C1235" s="164" t="s">
        <v>4617</v>
      </c>
      <c r="D1235" s="144" t="s">
        <v>357</v>
      </c>
      <c r="E1235" s="150" t="s">
        <v>2639</v>
      </c>
      <c r="F1235" s="144" t="s">
        <v>2640</v>
      </c>
      <c r="G1235" s="166" t="s">
        <v>4618</v>
      </c>
      <c r="H1235" s="151">
        <v>1</v>
      </c>
      <c r="I1235" s="160"/>
      <c r="J1235" s="159">
        <v>365</v>
      </c>
      <c r="K1235" s="161"/>
      <c r="L1235" s="159">
        <v>365</v>
      </c>
      <c r="M1235" s="160">
        <v>365</v>
      </c>
      <c r="N1235" s="145"/>
      <c r="O1235" s="156" t="s">
        <v>166</v>
      </c>
      <c r="P1235" s="144" t="s">
        <v>2468</v>
      </c>
      <c r="Q1235" s="147"/>
      <c r="R1235" s="146">
        <v>2043</v>
      </c>
      <c r="S1235" s="157"/>
      <c r="T1235" s="144" t="s">
        <v>25</v>
      </c>
      <c r="U1235" s="150" t="s">
        <v>12</v>
      </c>
      <c r="V1235" s="146">
        <v>1185</v>
      </c>
      <c r="W1235" s="148"/>
      <c r="X1235" s="149">
        <v>45689</v>
      </c>
      <c r="Y1235" s="165" t="s">
        <v>2574</v>
      </c>
    </row>
    <row r="1236" spans="1:25">
      <c r="A1236" s="163" t="s">
        <v>309</v>
      </c>
      <c r="B1236" s="144" t="s">
        <v>163</v>
      </c>
      <c r="C1236" s="164" t="s">
        <v>4617</v>
      </c>
      <c r="D1236" s="144" t="s">
        <v>357</v>
      </c>
      <c r="E1236" s="150" t="s">
        <v>2639</v>
      </c>
      <c r="F1236" s="144" t="s">
        <v>2640</v>
      </c>
      <c r="G1236" s="166" t="s">
        <v>4619</v>
      </c>
      <c r="H1236" s="151">
        <v>1</v>
      </c>
      <c r="I1236" s="160"/>
      <c r="J1236" s="159">
        <v>365</v>
      </c>
      <c r="K1236" s="161"/>
      <c r="L1236" s="159">
        <v>365</v>
      </c>
      <c r="M1236" s="160">
        <v>365</v>
      </c>
      <c r="N1236" s="145"/>
      <c r="O1236" s="156" t="s">
        <v>166</v>
      </c>
      <c r="P1236" s="144" t="s">
        <v>2468</v>
      </c>
      <c r="Q1236" s="147"/>
      <c r="R1236" s="146">
        <v>2044</v>
      </c>
      <c r="S1236" s="157"/>
      <c r="T1236" s="144" t="s">
        <v>25</v>
      </c>
      <c r="U1236" s="150" t="s">
        <v>12</v>
      </c>
      <c r="V1236" s="146">
        <v>1185</v>
      </c>
      <c r="W1236" s="148"/>
      <c r="X1236" s="149">
        <v>45689</v>
      </c>
      <c r="Y1236" s="165" t="s">
        <v>2574</v>
      </c>
    </row>
    <row r="1237" spans="1:25">
      <c r="A1237" s="163" t="s">
        <v>309</v>
      </c>
      <c r="B1237" s="144" t="s">
        <v>163</v>
      </c>
      <c r="C1237" s="164" t="s">
        <v>4617</v>
      </c>
      <c r="D1237" s="144" t="s">
        <v>357</v>
      </c>
      <c r="E1237" s="150" t="s">
        <v>2639</v>
      </c>
      <c r="F1237" s="144" t="s">
        <v>2640</v>
      </c>
      <c r="G1237" s="166" t="s">
        <v>4620</v>
      </c>
      <c r="H1237" s="151">
        <v>1</v>
      </c>
      <c r="I1237" s="160"/>
      <c r="J1237" s="159">
        <v>365</v>
      </c>
      <c r="K1237" s="161"/>
      <c r="L1237" s="159">
        <v>365</v>
      </c>
      <c r="M1237" s="160">
        <v>365</v>
      </c>
      <c r="N1237" s="145"/>
      <c r="O1237" s="156" t="s">
        <v>166</v>
      </c>
      <c r="P1237" s="144" t="s">
        <v>2468</v>
      </c>
      <c r="Q1237" s="147"/>
      <c r="R1237" s="146">
        <v>2045</v>
      </c>
      <c r="S1237" s="157"/>
      <c r="T1237" s="144" t="s">
        <v>25</v>
      </c>
      <c r="U1237" s="150" t="s">
        <v>12</v>
      </c>
      <c r="V1237" s="146">
        <v>1185</v>
      </c>
      <c r="W1237" s="148"/>
      <c r="X1237" s="149">
        <v>45689</v>
      </c>
      <c r="Y1237" s="165" t="s">
        <v>2574</v>
      </c>
    </row>
    <row r="1238" spans="1:25">
      <c r="A1238" s="163" t="s">
        <v>309</v>
      </c>
      <c r="B1238" s="144" t="s">
        <v>163</v>
      </c>
      <c r="C1238" s="164" t="s">
        <v>4617</v>
      </c>
      <c r="D1238" s="144" t="s">
        <v>357</v>
      </c>
      <c r="E1238" s="150" t="s">
        <v>2639</v>
      </c>
      <c r="F1238" s="144" t="s">
        <v>2640</v>
      </c>
      <c r="G1238" s="166" t="s">
        <v>4621</v>
      </c>
      <c r="H1238" s="151">
        <v>1</v>
      </c>
      <c r="I1238" s="160"/>
      <c r="J1238" s="159">
        <v>365</v>
      </c>
      <c r="K1238" s="161"/>
      <c r="L1238" s="159">
        <v>365</v>
      </c>
      <c r="M1238" s="160">
        <v>365</v>
      </c>
      <c r="N1238" s="145"/>
      <c r="O1238" s="156" t="s">
        <v>166</v>
      </c>
      <c r="P1238" s="144" t="s">
        <v>2468</v>
      </c>
      <c r="Q1238" s="147"/>
      <c r="R1238" s="146">
        <v>2046</v>
      </c>
      <c r="S1238" s="157"/>
      <c r="T1238" s="144" t="s">
        <v>25</v>
      </c>
      <c r="U1238" s="150" t="s">
        <v>12</v>
      </c>
      <c r="V1238" s="146">
        <v>1185</v>
      </c>
      <c r="W1238" s="148"/>
      <c r="X1238" s="149">
        <v>45689</v>
      </c>
      <c r="Y1238" s="165" t="s">
        <v>2574</v>
      </c>
    </row>
    <row r="1239" spans="1:25">
      <c r="A1239" s="163" t="s">
        <v>309</v>
      </c>
      <c r="B1239" s="144" t="s">
        <v>2463</v>
      </c>
      <c r="C1239" s="164" t="s">
        <v>4622</v>
      </c>
      <c r="D1239" s="144" t="s">
        <v>357</v>
      </c>
      <c r="E1239" s="150" t="s">
        <v>2466</v>
      </c>
      <c r="F1239" s="144" t="s">
        <v>2467</v>
      </c>
      <c r="G1239" s="166"/>
      <c r="H1239" s="151">
        <v>1</v>
      </c>
      <c r="I1239" s="160"/>
      <c r="J1239" s="159">
        <v>300</v>
      </c>
      <c r="K1239" s="161"/>
      <c r="L1239" s="159">
        <v>300</v>
      </c>
      <c r="M1239" s="160">
        <v>300</v>
      </c>
      <c r="N1239" s="145">
        <v>1200</v>
      </c>
      <c r="O1239" s="156" t="s">
        <v>28</v>
      </c>
      <c r="P1239" s="144" t="s">
        <v>2468</v>
      </c>
      <c r="Q1239" s="147">
        <v>46357</v>
      </c>
      <c r="R1239" s="146">
        <v>2046</v>
      </c>
      <c r="S1239" s="157"/>
      <c r="T1239" s="144" t="s">
        <v>28</v>
      </c>
      <c r="U1239" s="150" t="s">
        <v>20</v>
      </c>
      <c r="V1239" s="146">
        <v>1935</v>
      </c>
      <c r="W1239" s="148" t="s">
        <v>4623</v>
      </c>
      <c r="X1239" s="149">
        <v>45901</v>
      </c>
      <c r="Y1239" s="165" t="s">
        <v>2596</v>
      </c>
    </row>
    <row r="1240" spans="1:25">
      <c r="A1240" s="163" t="s">
        <v>309</v>
      </c>
      <c r="B1240" s="144" t="s">
        <v>163</v>
      </c>
      <c r="C1240" s="164" t="s">
        <v>4624</v>
      </c>
      <c r="D1240" s="144" t="s">
        <v>1017</v>
      </c>
      <c r="E1240" s="150" t="s">
        <v>2506</v>
      </c>
      <c r="F1240" s="144" t="s">
        <v>3046</v>
      </c>
      <c r="G1240" s="166" t="s">
        <v>4625</v>
      </c>
      <c r="H1240" s="151">
        <v>1</v>
      </c>
      <c r="I1240" s="160"/>
      <c r="J1240" s="159">
        <v>0.47</v>
      </c>
      <c r="K1240" s="161"/>
      <c r="L1240" s="159">
        <v>0.47</v>
      </c>
      <c r="M1240" s="160">
        <v>0.47</v>
      </c>
      <c r="N1240" s="145"/>
      <c r="O1240" s="156" t="s">
        <v>166</v>
      </c>
      <c r="P1240" s="144" t="s">
        <v>2480</v>
      </c>
      <c r="Q1240" s="147"/>
      <c r="R1240" s="146">
        <v>2042</v>
      </c>
      <c r="S1240" s="157"/>
      <c r="T1240" s="144" t="s">
        <v>25</v>
      </c>
      <c r="U1240" s="150" t="s">
        <v>19</v>
      </c>
      <c r="V1240" s="146">
        <v>1358</v>
      </c>
      <c r="W1240" s="148"/>
      <c r="X1240" s="149">
        <v>45566</v>
      </c>
      <c r="Y1240" s="165" t="s">
        <v>3156</v>
      </c>
    </row>
    <row r="1241" spans="1:25">
      <c r="A1241" s="163" t="s">
        <v>309</v>
      </c>
      <c r="B1241" s="144" t="s">
        <v>163</v>
      </c>
      <c r="C1241" s="164" t="s">
        <v>4624</v>
      </c>
      <c r="D1241" s="144" t="s">
        <v>1017</v>
      </c>
      <c r="E1241" s="150" t="s">
        <v>2506</v>
      </c>
      <c r="F1241" s="144" t="s">
        <v>3046</v>
      </c>
      <c r="G1241" s="166" t="s">
        <v>4625</v>
      </c>
      <c r="H1241" s="151">
        <v>1</v>
      </c>
      <c r="I1241" s="160"/>
      <c r="J1241" s="159">
        <v>0.76</v>
      </c>
      <c r="K1241" s="161"/>
      <c r="L1241" s="159">
        <v>0.76</v>
      </c>
      <c r="M1241" s="160">
        <v>0.76</v>
      </c>
      <c r="N1241" s="145"/>
      <c r="O1241" s="156" t="s">
        <v>166</v>
      </c>
      <c r="P1241" s="144" t="s">
        <v>2480</v>
      </c>
      <c r="Q1241" s="147"/>
      <c r="R1241" s="146">
        <v>2042</v>
      </c>
      <c r="S1241" s="157"/>
      <c r="T1241" s="144" t="s">
        <v>25</v>
      </c>
      <c r="U1241" s="150" t="s">
        <v>19</v>
      </c>
      <c r="V1241" s="146">
        <v>1358</v>
      </c>
      <c r="W1241" s="148"/>
      <c r="X1241" s="149">
        <v>45566</v>
      </c>
      <c r="Y1241" s="165" t="s">
        <v>3156</v>
      </c>
    </row>
    <row r="1242" spans="1:25">
      <c r="A1242" s="163" t="s">
        <v>309</v>
      </c>
      <c r="B1242" s="144" t="s">
        <v>163</v>
      </c>
      <c r="C1242" s="164" t="s">
        <v>4624</v>
      </c>
      <c r="D1242" s="144" t="s">
        <v>1017</v>
      </c>
      <c r="E1242" s="150" t="s">
        <v>2506</v>
      </c>
      <c r="F1242" s="144" t="s">
        <v>3046</v>
      </c>
      <c r="G1242" s="166" t="s">
        <v>4625</v>
      </c>
      <c r="H1242" s="151">
        <v>2</v>
      </c>
      <c r="I1242" s="160"/>
      <c r="J1242" s="159">
        <v>1.06</v>
      </c>
      <c r="K1242" s="161"/>
      <c r="L1242" s="159">
        <v>2.12</v>
      </c>
      <c r="M1242" s="160">
        <v>2.12</v>
      </c>
      <c r="N1242" s="145"/>
      <c r="O1242" s="156" t="s">
        <v>166</v>
      </c>
      <c r="P1242" s="144" t="s">
        <v>2480</v>
      </c>
      <c r="Q1242" s="147"/>
      <c r="R1242" s="146">
        <v>2044</v>
      </c>
      <c r="S1242" s="157"/>
      <c r="T1242" s="144" t="s">
        <v>25</v>
      </c>
      <c r="U1242" s="150" t="s">
        <v>19</v>
      </c>
      <c r="V1242" s="146">
        <v>1358</v>
      </c>
      <c r="W1242" s="148"/>
      <c r="X1242" s="149">
        <v>45566</v>
      </c>
      <c r="Y1242" s="165" t="s">
        <v>3156</v>
      </c>
    </row>
    <row r="1243" spans="1:25">
      <c r="A1243" s="163" t="s">
        <v>423</v>
      </c>
      <c r="B1243" s="144" t="s">
        <v>2463</v>
      </c>
      <c r="C1243" s="164" t="s">
        <v>4626</v>
      </c>
      <c r="D1243" s="144" t="s">
        <v>4627</v>
      </c>
      <c r="E1243" s="150" t="s">
        <v>2630</v>
      </c>
      <c r="F1243" s="144" t="s">
        <v>2486</v>
      </c>
      <c r="G1243" s="166"/>
      <c r="H1243" s="151">
        <v>147</v>
      </c>
      <c r="I1243" s="160"/>
      <c r="J1243" s="159">
        <v>15</v>
      </c>
      <c r="K1243" s="161"/>
      <c r="L1243" s="159">
        <v>2205</v>
      </c>
      <c r="M1243" s="160">
        <v>2205</v>
      </c>
      <c r="N1243" s="145"/>
      <c r="O1243" s="156" t="s">
        <v>135</v>
      </c>
      <c r="P1243" s="144" t="s">
        <v>2478</v>
      </c>
      <c r="Q1243" s="147">
        <v>48274</v>
      </c>
      <c r="R1243" s="146"/>
      <c r="S1243" s="157"/>
      <c r="T1243" s="144" t="s">
        <v>29</v>
      </c>
      <c r="U1243" s="150" t="s">
        <v>17</v>
      </c>
      <c r="V1243" s="146">
        <v>1613</v>
      </c>
      <c r="W1243" s="148" t="s">
        <v>4628</v>
      </c>
      <c r="X1243" s="149">
        <v>45689</v>
      </c>
      <c r="Y1243" s="165" t="s">
        <v>2474</v>
      </c>
    </row>
    <row r="1244" spans="1:25">
      <c r="A1244" s="163" t="s">
        <v>380</v>
      </c>
      <c r="B1244" s="144" t="s">
        <v>163</v>
      </c>
      <c r="C1244" s="164" t="s">
        <v>1122</v>
      </c>
      <c r="D1244" s="144" t="s">
        <v>1100</v>
      </c>
      <c r="E1244" s="150" t="s">
        <v>2485</v>
      </c>
      <c r="F1244" s="144" t="s">
        <v>2486</v>
      </c>
      <c r="G1244" s="166" t="s">
        <v>1123</v>
      </c>
      <c r="H1244" s="151">
        <v>22</v>
      </c>
      <c r="I1244" s="160"/>
      <c r="J1244" s="159">
        <v>1.5</v>
      </c>
      <c r="K1244" s="161"/>
      <c r="L1244" s="159">
        <v>33</v>
      </c>
      <c r="M1244" s="160">
        <v>33</v>
      </c>
      <c r="N1244" s="145"/>
      <c r="O1244" s="156" t="s">
        <v>166</v>
      </c>
      <c r="P1244" s="144" t="s">
        <v>2480</v>
      </c>
      <c r="Q1244" s="147"/>
      <c r="R1244" s="146">
        <v>2033</v>
      </c>
      <c r="S1244" s="157"/>
      <c r="T1244" s="144" t="s">
        <v>25</v>
      </c>
      <c r="U1244" s="150" t="s">
        <v>17</v>
      </c>
      <c r="V1244" s="146">
        <v>1186</v>
      </c>
      <c r="W1244" s="148"/>
      <c r="X1244" s="149">
        <v>45901</v>
      </c>
      <c r="Y1244" s="165" t="s">
        <v>2490</v>
      </c>
    </row>
    <row r="1245" spans="1:25">
      <c r="A1245" s="163" t="s">
        <v>423</v>
      </c>
      <c r="B1245" s="144" t="s">
        <v>163</v>
      </c>
      <c r="C1245" s="164" t="s">
        <v>1504</v>
      </c>
      <c r="D1245" s="144" t="s">
        <v>1505</v>
      </c>
      <c r="E1245" s="150" t="s">
        <v>2485</v>
      </c>
      <c r="F1245" s="144" t="s">
        <v>2486</v>
      </c>
      <c r="G1245" s="166" t="s">
        <v>1506</v>
      </c>
      <c r="H1245" s="151">
        <v>2</v>
      </c>
      <c r="I1245" s="160">
        <v>3</v>
      </c>
      <c r="J1245" s="159">
        <v>3</v>
      </c>
      <c r="K1245" s="161">
        <v>6</v>
      </c>
      <c r="L1245" s="159">
        <v>6</v>
      </c>
      <c r="M1245" s="160">
        <v>6</v>
      </c>
      <c r="N1245" s="145"/>
      <c r="O1245" s="156" t="s">
        <v>166</v>
      </c>
      <c r="P1245" s="144" t="s">
        <v>2478</v>
      </c>
      <c r="Q1245" s="147">
        <v>44682</v>
      </c>
      <c r="R1245" s="146">
        <v>2045</v>
      </c>
      <c r="S1245" s="157"/>
      <c r="T1245" s="144" t="s">
        <v>25</v>
      </c>
      <c r="U1245" s="150" t="s">
        <v>17</v>
      </c>
      <c r="V1245" s="146">
        <v>1187</v>
      </c>
      <c r="W1245" s="148"/>
      <c r="X1245" s="149">
        <v>45778</v>
      </c>
      <c r="Y1245" s="165" t="s">
        <v>4629</v>
      </c>
    </row>
    <row r="1246" spans="1:25">
      <c r="A1246" s="163" t="s">
        <v>423</v>
      </c>
      <c r="B1246" s="144" t="s">
        <v>163</v>
      </c>
      <c r="C1246" s="164" t="s">
        <v>1504</v>
      </c>
      <c r="D1246" s="144" t="s">
        <v>1505</v>
      </c>
      <c r="E1246" s="150" t="s">
        <v>2485</v>
      </c>
      <c r="F1246" s="144" t="s">
        <v>2486</v>
      </c>
      <c r="G1246" s="166" t="s">
        <v>1506</v>
      </c>
      <c r="H1246" s="151">
        <v>19</v>
      </c>
      <c r="I1246" s="160">
        <v>3.4</v>
      </c>
      <c r="J1246" s="159">
        <v>3.4</v>
      </c>
      <c r="K1246" s="161">
        <v>64.599999999999994</v>
      </c>
      <c r="L1246" s="159">
        <v>64.599999999999994</v>
      </c>
      <c r="M1246" s="160">
        <v>64.599999999999994</v>
      </c>
      <c r="N1246" s="145"/>
      <c r="O1246" s="156" t="s">
        <v>166</v>
      </c>
      <c r="P1246" s="144" t="s">
        <v>2478</v>
      </c>
      <c r="Q1246" s="147">
        <v>44682</v>
      </c>
      <c r="R1246" s="146">
        <v>2045</v>
      </c>
      <c r="S1246" s="157"/>
      <c r="T1246" s="144" t="s">
        <v>25</v>
      </c>
      <c r="U1246" s="150" t="s">
        <v>17</v>
      </c>
      <c r="V1246" s="146">
        <v>1187</v>
      </c>
      <c r="W1246" s="148"/>
      <c r="X1246" s="149">
        <v>45778</v>
      </c>
      <c r="Y1246" s="165" t="s">
        <v>4629</v>
      </c>
    </row>
    <row r="1247" spans="1:25">
      <c r="A1247" s="163" t="s">
        <v>423</v>
      </c>
      <c r="B1247" s="144" t="s">
        <v>163</v>
      </c>
      <c r="C1247" s="164" t="s">
        <v>1504</v>
      </c>
      <c r="D1247" s="144" t="s">
        <v>1505</v>
      </c>
      <c r="E1247" s="150" t="s">
        <v>2485</v>
      </c>
      <c r="F1247" s="144" t="s">
        <v>2486</v>
      </c>
      <c r="G1247" s="166" t="s">
        <v>1506</v>
      </c>
      <c r="H1247" s="151">
        <v>128</v>
      </c>
      <c r="I1247" s="160">
        <v>3.57</v>
      </c>
      <c r="J1247" s="159">
        <v>3.57</v>
      </c>
      <c r="K1247" s="161">
        <v>456.96</v>
      </c>
      <c r="L1247" s="159">
        <v>456.96</v>
      </c>
      <c r="M1247" s="160">
        <v>456.96</v>
      </c>
      <c r="N1247" s="145"/>
      <c r="O1247" s="156" t="s">
        <v>166</v>
      </c>
      <c r="P1247" s="144" t="s">
        <v>2478</v>
      </c>
      <c r="Q1247" s="147">
        <v>44682</v>
      </c>
      <c r="R1247" s="146">
        <v>2045</v>
      </c>
      <c r="S1247" s="157"/>
      <c r="T1247" s="144" t="s">
        <v>25</v>
      </c>
      <c r="U1247" s="150" t="s">
        <v>17</v>
      </c>
      <c r="V1247" s="146">
        <v>1187</v>
      </c>
      <c r="W1247" s="148"/>
      <c r="X1247" s="149">
        <v>45778</v>
      </c>
      <c r="Y1247" s="165" t="s">
        <v>4629</v>
      </c>
    </row>
    <row r="1248" spans="1:25">
      <c r="A1248" s="163" t="s">
        <v>423</v>
      </c>
      <c r="B1248" s="144" t="s">
        <v>2463</v>
      </c>
      <c r="C1248" s="164" t="s">
        <v>4630</v>
      </c>
      <c r="D1248" s="144" t="s">
        <v>4631</v>
      </c>
      <c r="E1248" s="150" t="s">
        <v>2555</v>
      </c>
      <c r="F1248" s="144" t="s">
        <v>2467</v>
      </c>
      <c r="G1248" s="166"/>
      <c r="H1248" s="151">
        <v>1</v>
      </c>
      <c r="I1248" s="160">
        <v>220</v>
      </c>
      <c r="J1248" s="159">
        <v>220</v>
      </c>
      <c r="K1248" s="161">
        <v>220</v>
      </c>
      <c r="L1248" s="159">
        <v>220</v>
      </c>
      <c r="M1248" s="160">
        <v>220</v>
      </c>
      <c r="N1248" s="145"/>
      <c r="O1248" s="156" t="s">
        <v>135</v>
      </c>
      <c r="P1248" s="144" t="s">
        <v>2468</v>
      </c>
      <c r="Q1248" s="147"/>
      <c r="R1248" s="146"/>
      <c r="S1248" s="157"/>
      <c r="T1248" s="144" t="s">
        <v>29</v>
      </c>
      <c r="U1248" s="150" t="s">
        <v>14</v>
      </c>
      <c r="V1248" s="146">
        <v>2349</v>
      </c>
      <c r="W1248" s="148" t="s">
        <v>4632</v>
      </c>
      <c r="X1248" s="149">
        <v>45901</v>
      </c>
      <c r="Y1248" s="165" t="s">
        <v>2578</v>
      </c>
    </row>
    <row r="1249" spans="1:25">
      <c r="A1249" s="163" t="s">
        <v>7</v>
      </c>
      <c r="B1249" s="144" t="s">
        <v>2463</v>
      </c>
      <c r="C1249" s="164" t="s">
        <v>4633</v>
      </c>
      <c r="D1249" s="144" t="s">
        <v>4634</v>
      </c>
      <c r="E1249" s="150" t="s">
        <v>2466</v>
      </c>
      <c r="F1249" s="144" t="s">
        <v>2477</v>
      </c>
      <c r="G1249" s="166"/>
      <c r="H1249" s="151">
        <v>1</v>
      </c>
      <c r="I1249" s="160"/>
      <c r="J1249" s="159">
        <v>125</v>
      </c>
      <c r="K1249" s="161"/>
      <c r="L1249" s="159">
        <v>125</v>
      </c>
      <c r="M1249" s="160">
        <v>125</v>
      </c>
      <c r="N1249" s="145">
        <v>1000</v>
      </c>
      <c r="O1249" s="156" t="s">
        <v>135</v>
      </c>
      <c r="P1249" s="144" t="s">
        <v>2468</v>
      </c>
      <c r="Q1249" s="147"/>
      <c r="R1249" s="146"/>
      <c r="S1249" s="157"/>
      <c r="T1249" s="144" t="s">
        <v>29</v>
      </c>
      <c r="U1249" s="150" t="s">
        <v>20</v>
      </c>
      <c r="V1249" s="146">
        <v>2474</v>
      </c>
      <c r="W1249" s="148" t="s">
        <v>4635</v>
      </c>
      <c r="X1249" s="149">
        <v>45901</v>
      </c>
      <c r="Y1249" s="165" t="s">
        <v>2712</v>
      </c>
    </row>
    <row r="1250" spans="1:25">
      <c r="A1250" s="163" t="s">
        <v>309</v>
      </c>
      <c r="B1250" s="144" t="s">
        <v>2463</v>
      </c>
      <c r="C1250" s="164" t="s">
        <v>4636</v>
      </c>
      <c r="D1250" s="144" t="s">
        <v>4637</v>
      </c>
      <c r="E1250" s="150" t="s">
        <v>2485</v>
      </c>
      <c r="F1250" s="144" t="s">
        <v>2486</v>
      </c>
      <c r="G1250" s="166"/>
      <c r="H1250" s="151">
        <v>1</v>
      </c>
      <c r="I1250" s="160">
        <v>400</v>
      </c>
      <c r="J1250" s="159">
        <v>400</v>
      </c>
      <c r="K1250" s="161">
        <v>400</v>
      </c>
      <c r="L1250" s="159">
        <v>400</v>
      </c>
      <c r="M1250" s="160">
        <v>400</v>
      </c>
      <c r="N1250" s="145"/>
      <c r="O1250" s="156" t="s">
        <v>135</v>
      </c>
      <c r="P1250" s="144" t="s">
        <v>2478</v>
      </c>
      <c r="Q1250" s="147"/>
      <c r="R1250" s="146"/>
      <c r="S1250" s="157"/>
      <c r="T1250" s="144" t="s">
        <v>29</v>
      </c>
      <c r="U1250" s="150" t="s">
        <v>17</v>
      </c>
      <c r="V1250" s="146">
        <v>2492</v>
      </c>
      <c r="W1250" s="148" t="s">
        <v>4638</v>
      </c>
      <c r="X1250" s="149">
        <v>45901</v>
      </c>
      <c r="Y1250" s="165" t="s">
        <v>3028</v>
      </c>
    </row>
    <row r="1251" spans="1:25">
      <c r="A1251" s="163" t="s">
        <v>7</v>
      </c>
      <c r="B1251" s="144" t="s">
        <v>2463</v>
      </c>
      <c r="C1251" s="164" t="s">
        <v>4639</v>
      </c>
      <c r="D1251" s="144" t="s">
        <v>4640</v>
      </c>
      <c r="E1251" s="150" t="s">
        <v>2636</v>
      </c>
      <c r="F1251" s="144" t="s">
        <v>2482</v>
      </c>
      <c r="G1251" s="166"/>
      <c r="H1251" s="151">
        <v>1</v>
      </c>
      <c r="I1251" s="160">
        <v>200</v>
      </c>
      <c r="J1251" s="159">
        <v>200</v>
      </c>
      <c r="K1251" s="161">
        <v>200</v>
      </c>
      <c r="L1251" s="159">
        <v>200</v>
      </c>
      <c r="M1251" s="160">
        <v>200</v>
      </c>
      <c r="N1251" s="145">
        <v>1600</v>
      </c>
      <c r="O1251" s="156" t="s">
        <v>135</v>
      </c>
      <c r="P1251" s="144" t="s">
        <v>2468</v>
      </c>
      <c r="Q1251" s="147"/>
      <c r="R1251" s="146"/>
      <c r="S1251" s="157"/>
      <c r="T1251" s="144" t="s">
        <v>29</v>
      </c>
      <c r="U1251" s="150" t="s">
        <v>18</v>
      </c>
      <c r="V1251" s="146">
        <v>2940</v>
      </c>
      <c r="W1251" s="148"/>
      <c r="X1251" s="149">
        <v>45901</v>
      </c>
      <c r="Y1251" s="165" t="s">
        <v>3893</v>
      </c>
    </row>
    <row r="1252" spans="1:25">
      <c r="A1252" s="163" t="s">
        <v>7</v>
      </c>
      <c r="B1252" s="144" t="s">
        <v>2463</v>
      </c>
      <c r="C1252" s="164" t="s">
        <v>4641</v>
      </c>
      <c r="D1252" s="144" t="s">
        <v>4642</v>
      </c>
      <c r="E1252" s="150" t="s">
        <v>2476</v>
      </c>
      <c r="F1252" s="144" t="s">
        <v>2477</v>
      </c>
      <c r="G1252" s="166"/>
      <c r="H1252" s="151">
        <v>91</v>
      </c>
      <c r="I1252" s="160">
        <v>4.2</v>
      </c>
      <c r="J1252" s="159">
        <v>4.2</v>
      </c>
      <c r="K1252" s="161">
        <v>382.2</v>
      </c>
      <c r="L1252" s="159">
        <v>382.2</v>
      </c>
      <c r="M1252" s="160">
        <v>382.2</v>
      </c>
      <c r="N1252" s="145"/>
      <c r="O1252" s="156" t="s">
        <v>135</v>
      </c>
      <c r="P1252" s="144" t="s">
        <v>2478</v>
      </c>
      <c r="Q1252" s="147"/>
      <c r="R1252" s="146"/>
      <c r="S1252" s="157"/>
      <c r="T1252" s="144" t="s">
        <v>29</v>
      </c>
      <c r="U1252" s="150" t="s">
        <v>2479</v>
      </c>
      <c r="V1252" s="146">
        <v>3076</v>
      </c>
      <c r="W1252" s="148" t="s">
        <v>4643</v>
      </c>
      <c r="X1252" s="149">
        <v>45901</v>
      </c>
      <c r="Y1252" s="165" t="s">
        <v>2942</v>
      </c>
    </row>
    <row r="1253" spans="1:25">
      <c r="A1253" s="163" t="s">
        <v>7</v>
      </c>
      <c r="B1253" s="144" t="s">
        <v>2463</v>
      </c>
      <c r="C1253" s="164" t="s">
        <v>4641</v>
      </c>
      <c r="D1253" s="144" t="s">
        <v>4642</v>
      </c>
      <c r="E1253" s="150" t="s">
        <v>2636</v>
      </c>
      <c r="F1253" s="144" t="s">
        <v>2482</v>
      </c>
      <c r="G1253" s="166"/>
      <c r="H1253" s="151">
        <v>1</v>
      </c>
      <c r="I1253" s="160">
        <v>400</v>
      </c>
      <c r="J1253" s="159">
        <v>400</v>
      </c>
      <c r="K1253" s="161">
        <v>400</v>
      </c>
      <c r="L1253" s="159">
        <v>400</v>
      </c>
      <c r="M1253" s="160">
        <v>400</v>
      </c>
      <c r="N1253" s="145">
        <v>0</v>
      </c>
      <c r="O1253" s="156" t="s">
        <v>135</v>
      </c>
      <c r="P1253" s="144" t="s">
        <v>2468</v>
      </c>
      <c r="Q1253" s="147"/>
      <c r="R1253" s="146"/>
      <c r="S1253" s="157"/>
      <c r="T1253" s="144" t="s">
        <v>29</v>
      </c>
      <c r="U1253" s="150" t="s">
        <v>18</v>
      </c>
      <c r="V1253" s="146">
        <v>3076</v>
      </c>
      <c r="W1253" s="148" t="s">
        <v>4643</v>
      </c>
      <c r="X1253" s="149">
        <v>45901</v>
      </c>
      <c r="Y1253" s="165" t="s">
        <v>2942</v>
      </c>
    </row>
    <row r="1254" spans="1:25">
      <c r="A1254" s="163" t="s">
        <v>7</v>
      </c>
      <c r="B1254" s="144" t="s">
        <v>2463</v>
      </c>
      <c r="C1254" s="164" t="s">
        <v>4644</v>
      </c>
      <c r="D1254" s="144" t="s">
        <v>4645</v>
      </c>
      <c r="E1254" s="150" t="s">
        <v>2466</v>
      </c>
      <c r="F1254" s="144" t="s">
        <v>2477</v>
      </c>
      <c r="G1254" s="166"/>
      <c r="H1254" s="151">
        <v>1</v>
      </c>
      <c r="I1254" s="160">
        <v>333</v>
      </c>
      <c r="J1254" s="159">
        <v>333</v>
      </c>
      <c r="K1254" s="161">
        <v>333</v>
      </c>
      <c r="L1254" s="159">
        <v>333</v>
      </c>
      <c r="M1254" s="160">
        <v>333</v>
      </c>
      <c r="N1254" s="145">
        <v>0</v>
      </c>
      <c r="O1254" s="156" t="s">
        <v>135</v>
      </c>
      <c r="P1254" s="144" t="s">
        <v>2468</v>
      </c>
      <c r="Q1254" s="147"/>
      <c r="R1254" s="146"/>
      <c r="S1254" s="157"/>
      <c r="T1254" s="144" t="s">
        <v>29</v>
      </c>
      <c r="U1254" s="150" t="s">
        <v>20</v>
      </c>
      <c r="V1254" s="146">
        <v>3045</v>
      </c>
      <c r="W1254" s="148" t="s">
        <v>4646</v>
      </c>
      <c r="X1254" s="149">
        <v>45901</v>
      </c>
      <c r="Y1254" s="165" t="s">
        <v>3658</v>
      </c>
    </row>
    <row r="1255" spans="1:25">
      <c r="A1255" s="163" t="s">
        <v>7</v>
      </c>
      <c r="B1255" s="144" t="s">
        <v>2463</v>
      </c>
      <c r="C1255" s="164" t="s">
        <v>4647</v>
      </c>
      <c r="D1255" s="144" t="s">
        <v>4645</v>
      </c>
      <c r="E1255" s="150" t="s">
        <v>2476</v>
      </c>
      <c r="F1255" s="144" t="s">
        <v>2477</v>
      </c>
      <c r="G1255" s="166"/>
      <c r="H1255" s="151">
        <v>78</v>
      </c>
      <c r="I1255" s="160">
        <v>4.2</v>
      </c>
      <c r="J1255" s="159">
        <v>4.2</v>
      </c>
      <c r="K1255" s="161">
        <v>327.60000000000002</v>
      </c>
      <c r="L1255" s="159">
        <v>327.60000000000002</v>
      </c>
      <c r="M1255" s="160">
        <v>327.60000000000002</v>
      </c>
      <c r="N1255" s="145"/>
      <c r="O1255" s="156" t="s">
        <v>135</v>
      </c>
      <c r="P1255" s="144" t="s">
        <v>2478</v>
      </c>
      <c r="Q1255" s="147"/>
      <c r="R1255" s="146"/>
      <c r="S1255" s="157"/>
      <c r="T1255" s="144" t="s">
        <v>29</v>
      </c>
      <c r="U1255" s="150" t="s">
        <v>2479</v>
      </c>
      <c r="V1255" s="146">
        <v>3044</v>
      </c>
      <c r="W1255" s="148" t="s">
        <v>4646</v>
      </c>
      <c r="X1255" s="149">
        <v>45901</v>
      </c>
      <c r="Y1255" s="165" t="s">
        <v>3658</v>
      </c>
    </row>
    <row r="1256" spans="1:25">
      <c r="A1256" s="163" t="s">
        <v>7</v>
      </c>
      <c r="B1256" s="144" t="s">
        <v>2463</v>
      </c>
      <c r="C1256" s="164" t="s">
        <v>4648</v>
      </c>
      <c r="D1256" s="144" t="s">
        <v>4649</v>
      </c>
      <c r="E1256" s="150" t="s">
        <v>2466</v>
      </c>
      <c r="F1256" s="144" t="s">
        <v>2467</v>
      </c>
      <c r="G1256" s="166"/>
      <c r="H1256" s="151">
        <v>1</v>
      </c>
      <c r="I1256" s="160">
        <v>200</v>
      </c>
      <c r="J1256" s="159">
        <v>200</v>
      </c>
      <c r="K1256" s="161">
        <v>200</v>
      </c>
      <c r="L1256" s="159">
        <v>200</v>
      </c>
      <c r="M1256" s="160">
        <v>200</v>
      </c>
      <c r="N1256" s="145">
        <v>400</v>
      </c>
      <c r="O1256" s="156" t="s">
        <v>135</v>
      </c>
      <c r="P1256" s="144" t="s">
        <v>2468</v>
      </c>
      <c r="Q1256" s="147">
        <v>47178</v>
      </c>
      <c r="R1256" s="146"/>
      <c r="S1256" s="157"/>
      <c r="T1256" s="144" t="s">
        <v>29</v>
      </c>
      <c r="U1256" s="150" t="s">
        <v>20</v>
      </c>
      <c r="V1256" s="146">
        <v>2774</v>
      </c>
      <c r="W1256" s="148" t="s">
        <v>4650</v>
      </c>
      <c r="X1256" s="149">
        <v>45689</v>
      </c>
      <c r="Y1256" s="165" t="s">
        <v>2470</v>
      </c>
    </row>
    <row r="1257" spans="1:25">
      <c r="A1257" s="163" t="s">
        <v>7</v>
      </c>
      <c r="B1257" s="144" t="s">
        <v>163</v>
      </c>
      <c r="C1257" s="164" t="s">
        <v>653</v>
      </c>
      <c r="D1257" s="144" t="s">
        <v>654</v>
      </c>
      <c r="E1257" s="150" t="s">
        <v>2491</v>
      </c>
      <c r="F1257" s="144" t="s">
        <v>2477</v>
      </c>
      <c r="G1257" s="166" t="s">
        <v>4651</v>
      </c>
      <c r="H1257" s="151">
        <v>1</v>
      </c>
      <c r="I1257" s="160">
        <v>202</v>
      </c>
      <c r="J1257" s="159">
        <v>202</v>
      </c>
      <c r="K1257" s="161">
        <v>202</v>
      </c>
      <c r="L1257" s="159">
        <v>202</v>
      </c>
      <c r="M1257" s="160">
        <v>202</v>
      </c>
      <c r="N1257" s="145"/>
      <c r="O1257" s="156" t="s">
        <v>164</v>
      </c>
      <c r="P1257" s="144" t="s">
        <v>2478</v>
      </c>
      <c r="Q1257" s="147">
        <v>45627</v>
      </c>
      <c r="R1257" s="146">
        <v>2073</v>
      </c>
      <c r="S1257" s="157"/>
      <c r="T1257" s="144" t="s">
        <v>25</v>
      </c>
      <c r="U1257" s="150" t="s">
        <v>2479</v>
      </c>
      <c r="V1257" s="146">
        <v>1894</v>
      </c>
      <c r="W1257" s="148" t="s">
        <v>4652</v>
      </c>
      <c r="X1257" s="149">
        <v>45901</v>
      </c>
      <c r="Y1257" s="165" t="s">
        <v>2840</v>
      </c>
    </row>
    <row r="1258" spans="1:25">
      <c r="A1258" s="163" t="s">
        <v>7</v>
      </c>
      <c r="B1258" s="144" t="s">
        <v>163</v>
      </c>
      <c r="C1258" s="164" t="s">
        <v>653</v>
      </c>
      <c r="D1258" s="144" t="s">
        <v>654</v>
      </c>
      <c r="E1258" s="150" t="s">
        <v>2491</v>
      </c>
      <c r="F1258" s="144" t="s">
        <v>2477</v>
      </c>
      <c r="G1258" s="166" t="s">
        <v>4653</v>
      </c>
      <c r="H1258" s="151">
        <v>1</v>
      </c>
      <c r="I1258" s="160">
        <v>198</v>
      </c>
      <c r="J1258" s="159">
        <v>198</v>
      </c>
      <c r="K1258" s="161">
        <v>198</v>
      </c>
      <c r="L1258" s="159">
        <v>198</v>
      </c>
      <c r="M1258" s="160">
        <v>198</v>
      </c>
      <c r="N1258" s="145"/>
      <c r="O1258" s="156" t="s">
        <v>164</v>
      </c>
      <c r="P1258" s="144" t="s">
        <v>2478</v>
      </c>
      <c r="Q1258" s="147">
        <v>45627</v>
      </c>
      <c r="R1258" s="146">
        <v>2073</v>
      </c>
      <c r="S1258" s="157"/>
      <c r="T1258" s="144" t="s">
        <v>25</v>
      </c>
      <c r="U1258" s="150" t="s">
        <v>2479</v>
      </c>
      <c r="V1258" s="146">
        <v>1894</v>
      </c>
      <c r="W1258" s="148" t="s">
        <v>4652</v>
      </c>
      <c r="X1258" s="149">
        <v>45901</v>
      </c>
      <c r="Y1258" s="165" t="s">
        <v>2840</v>
      </c>
    </row>
    <row r="1259" spans="1:25">
      <c r="A1259" s="163" t="s">
        <v>380</v>
      </c>
      <c r="B1259" s="144" t="s">
        <v>2463</v>
      </c>
      <c r="C1259" s="164" t="s">
        <v>4654</v>
      </c>
      <c r="D1259" s="144" t="s">
        <v>4655</v>
      </c>
      <c r="E1259" s="150" t="s">
        <v>2491</v>
      </c>
      <c r="F1259" s="144" t="s">
        <v>2477</v>
      </c>
      <c r="G1259" s="166"/>
      <c r="H1259" s="151">
        <v>1</v>
      </c>
      <c r="I1259" s="160"/>
      <c r="J1259" s="159">
        <v>300</v>
      </c>
      <c r="K1259" s="161"/>
      <c r="L1259" s="159">
        <v>300</v>
      </c>
      <c r="M1259" s="160">
        <v>300</v>
      </c>
      <c r="N1259" s="145"/>
      <c r="O1259" s="156" t="s">
        <v>135</v>
      </c>
      <c r="P1259" s="144" t="s">
        <v>2478</v>
      </c>
      <c r="Q1259" s="147"/>
      <c r="R1259" s="146"/>
      <c r="S1259" s="157"/>
      <c r="T1259" s="144" t="s">
        <v>29</v>
      </c>
      <c r="U1259" s="150" t="s">
        <v>2479</v>
      </c>
      <c r="V1259" s="146">
        <v>2791</v>
      </c>
      <c r="W1259" s="148"/>
      <c r="X1259" s="149">
        <v>45778</v>
      </c>
      <c r="Y1259" s="165" t="s">
        <v>4656</v>
      </c>
    </row>
    <row r="1260" spans="1:25">
      <c r="A1260" s="163" t="s">
        <v>380</v>
      </c>
      <c r="B1260" s="144" t="s">
        <v>2463</v>
      </c>
      <c r="C1260" s="164" t="s">
        <v>4654</v>
      </c>
      <c r="D1260" s="144" t="s">
        <v>4655</v>
      </c>
      <c r="E1260" s="150" t="s">
        <v>2466</v>
      </c>
      <c r="F1260" s="144" t="s">
        <v>2467</v>
      </c>
      <c r="G1260" s="166"/>
      <c r="H1260" s="151">
        <v>1</v>
      </c>
      <c r="I1260" s="160"/>
      <c r="J1260" s="159">
        <v>300</v>
      </c>
      <c r="K1260" s="161"/>
      <c r="L1260" s="159">
        <v>300</v>
      </c>
      <c r="M1260" s="160">
        <v>300</v>
      </c>
      <c r="N1260" s="145">
        <v>300</v>
      </c>
      <c r="O1260" s="156" t="s">
        <v>135</v>
      </c>
      <c r="P1260" s="144" t="s">
        <v>2468</v>
      </c>
      <c r="Q1260" s="147"/>
      <c r="R1260" s="146"/>
      <c r="S1260" s="157"/>
      <c r="T1260" s="144" t="s">
        <v>29</v>
      </c>
      <c r="U1260" s="150" t="s">
        <v>20</v>
      </c>
      <c r="V1260" s="146">
        <v>2791</v>
      </c>
      <c r="W1260" s="148"/>
      <c r="X1260" s="149">
        <v>45778</v>
      </c>
      <c r="Y1260" s="165" t="s">
        <v>4656</v>
      </c>
    </row>
    <row r="1261" spans="1:25">
      <c r="A1261" s="163" t="s">
        <v>380</v>
      </c>
      <c r="B1261" s="144" t="s">
        <v>2463</v>
      </c>
      <c r="C1261" s="164" t="s">
        <v>4657</v>
      </c>
      <c r="D1261" s="144" t="s">
        <v>4658</v>
      </c>
      <c r="E1261" s="150" t="s">
        <v>2466</v>
      </c>
      <c r="F1261" s="144" t="s">
        <v>2467</v>
      </c>
      <c r="G1261" s="166"/>
      <c r="H1261" s="151">
        <v>1</v>
      </c>
      <c r="I1261" s="160"/>
      <c r="J1261" s="159">
        <v>120</v>
      </c>
      <c r="K1261" s="161"/>
      <c r="L1261" s="159">
        <v>120</v>
      </c>
      <c r="M1261" s="160">
        <v>120</v>
      </c>
      <c r="N1261" s="145">
        <v>480</v>
      </c>
      <c r="O1261" s="156" t="s">
        <v>135</v>
      </c>
      <c r="P1261" s="144" t="s">
        <v>2468</v>
      </c>
      <c r="Q1261" s="147">
        <v>45992</v>
      </c>
      <c r="R1261" s="146"/>
      <c r="S1261" s="157"/>
      <c r="T1261" s="144" t="s">
        <v>29</v>
      </c>
      <c r="U1261" s="150" t="s">
        <v>20</v>
      </c>
      <c r="V1261" s="146">
        <v>2584</v>
      </c>
      <c r="W1261" s="148" t="s">
        <v>4659</v>
      </c>
      <c r="X1261" s="149">
        <v>45901</v>
      </c>
      <c r="Y1261" s="165" t="s">
        <v>2589</v>
      </c>
    </row>
    <row r="1262" spans="1:25">
      <c r="A1262" s="163" t="s">
        <v>380</v>
      </c>
      <c r="B1262" s="144" t="s">
        <v>2463</v>
      </c>
      <c r="C1262" s="164" t="s">
        <v>4657</v>
      </c>
      <c r="D1262" s="144" t="s">
        <v>4658</v>
      </c>
      <c r="E1262" s="150" t="s">
        <v>2466</v>
      </c>
      <c r="F1262" s="144" t="s">
        <v>2467</v>
      </c>
      <c r="G1262" s="166"/>
      <c r="H1262" s="151">
        <v>1</v>
      </c>
      <c r="I1262" s="160"/>
      <c r="J1262" s="159">
        <v>120</v>
      </c>
      <c r="K1262" s="161"/>
      <c r="L1262" s="159">
        <v>120</v>
      </c>
      <c r="M1262" s="160">
        <v>120</v>
      </c>
      <c r="N1262" s="145">
        <v>480</v>
      </c>
      <c r="O1262" s="156" t="s">
        <v>135</v>
      </c>
      <c r="P1262" s="144" t="s">
        <v>2468</v>
      </c>
      <c r="Q1262" s="147">
        <v>45992</v>
      </c>
      <c r="R1262" s="146">
        <v>2046</v>
      </c>
      <c r="S1262" s="157"/>
      <c r="T1262" s="144" t="s">
        <v>29</v>
      </c>
      <c r="U1262" s="150" t="s">
        <v>20</v>
      </c>
      <c r="V1262" s="146">
        <v>2584</v>
      </c>
      <c r="W1262" s="148" t="s">
        <v>4659</v>
      </c>
      <c r="X1262" s="149">
        <v>45901</v>
      </c>
      <c r="Y1262" s="165" t="s">
        <v>2589</v>
      </c>
    </row>
    <row r="1263" spans="1:25">
      <c r="A1263" s="163" t="s">
        <v>7</v>
      </c>
      <c r="B1263" s="144" t="s">
        <v>2463</v>
      </c>
      <c r="C1263" s="164" t="s">
        <v>4660</v>
      </c>
      <c r="D1263" s="144" t="s">
        <v>4661</v>
      </c>
      <c r="E1263" s="150" t="s">
        <v>2476</v>
      </c>
      <c r="F1263" s="144" t="s">
        <v>2477</v>
      </c>
      <c r="G1263" s="166"/>
      <c r="H1263" s="151">
        <v>1</v>
      </c>
      <c r="I1263" s="160">
        <v>4.2</v>
      </c>
      <c r="J1263" s="159">
        <v>90</v>
      </c>
      <c r="K1263" s="161">
        <v>4.2</v>
      </c>
      <c r="L1263" s="159">
        <v>90</v>
      </c>
      <c r="M1263" s="160" t="s">
        <v>4662</v>
      </c>
      <c r="N1263" s="145"/>
      <c r="O1263" s="156" t="s">
        <v>135</v>
      </c>
      <c r="P1263" s="144" t="s">
        <v>2478</v>
      </c>
      <c r="Q1263" s="147"/>
      <c r="R1263" s="146"/>
      <c r="S1263" s="157"/>
      <c r="T1263" s="144" t="s">
        <v>29</v>
      </c>
      <c r="U1263" s="150" t="s">
        <v>2479</v>
      </c>
      <c r="V1263" s="146">
        <v>1989</v>
      </c>
      <c r="W1263" s="148" t="s">
        <v>4663</v>
      </c>
      <c r="X1263" s="149">
        <v>45689</v>
      </c>
      <c r="Y1263" s="165" t="s">
        <v>3888</v>
      </c>
    </row>
    <row r="1264" spans="1:25">
      <c r="A1264" s="163" t="s">
        <v>309</v>
      </c>
      <c r="B1264" s="144" t="s">
        <v>163</v>
      </c>
      <c r="C1264" s="164" t="s">
        <v>4664</v>
      </c>
      <c r="D1264" s="144" t="s">
        <v>4665</v>
      </c>
      <c r="E1264" s="150" t="s">
        <v>2476</v>
      </c>
      <c r="F1264" s="144" t="s">
        <v>2477</v>
      </c>
      <c r="G1264" s="166" t="s">
        <v>4666</v>
      </c>
      <c r="H1264" s="151">
        <v>52</v>
      </c>
      <c r="I1264" s="160"/>
      <c r="J1264" s="159">
        <v>2.75</v>
      </c>
      <c r="K1264" s="161"/>
      <c r="L1264" s="159">
        <v>143</v>
      </c>
      <c r="M1264" s="160">
        <v>143</v>
      </c>
      <c r="N1264" s="145"/>
      <c r="O1264" s="156" t="s">
        <v>166</v>
      </c>
      <c r="P1264" s="144" t="s">
        <v>2478</v>
      </c>
      <c r="Q1264" s="147"/>
      <c r="R1264" s="146">
        <v>2042</v>
      </c>
      <c r="S1264" s="157"/>
      <c r="T1264" s="144" t="s">
        <v>25</v>
      </c>
      <c r="U1264" s="150" t="s">
        <v>2479</v>
      </c>
      <c r="V1264" s="146">
        <v>1437</v>
      </c>
      <c r="W1264" s="148"/>
      <c r="X1264" s="149">
        <v>45689</v>
      </c>
      <c r="Y1264" s="165" t="s">
        <v>3037</v>
      </c>
    </row>
    <row r="1265" spans="1:25">
      <c r="A1265" s="163" t="s">
        <v>7</v>
      </c>
      <c r="B1265" s="144" t="s">
        <v>2463</v>
      </c>
      <c r="C1265" s="164" t="s">
        <v>4667</v>
      </c>
      <c r="D1265" s="144" t="s">
        <v>3514</v>
      </c>
      <c r="E1265" s="150" t="s">
        <v>2476</v>
      </c>
      <c r="F1265" s="144" t="s">
        <v>2477</v>
      </c>
      <c r="G1265" s="166"/>
      <c r="H1265" s="151">
        <v>1</v>
      </c>
      <c r="I1265" s="160">
        <v>360</v>
      </c>
      <c r="J1265" s="159">
        <v>360</v>
      </c>
      <c r="K1265" s="161">
        <v>360</v>
      </c>
      <c r="L1265" s="159">
        <v>360</v>
      </c>
      <c r="M1265" s="160">
        <v>360</v>
      </c>
      <c r="N1265" s="145"/>
      <c r="O1265" s="156" t="s">
        <v>135</v>
      </c>
      <c r="P1265" s="144" t="s">
        <v>2478</v>
      </c>
      <c r="Q1265" s="147"/>
      <c r="R1265" s="146"/>
      <c r="S1265" s="157"/>
      <c r="T1265" s="144" t="s">
        <v>29</v>
      </c>
      <c r="U1265" s="150" t="s">
        <v>2479</v>
      </c>
      <c r="V1265" s="146">
        <v>2187</v>
      </c>
      <c r="W1265" s="148" t="s">
        <v>4668</v>
      </c>
      <c r="X1265" s="149">
        <v>45901</v>
      </c>
      <c r="Y1265" s="165" t="s">
        <v>3142</v>
      </c>
    </row>
    <row r="1266" spans="1:25">
      <c r="A1266" s="163" t="s">
        <v>7</v>
      </c>
      <c r="B1266" s="144" t="s">
        <v>2463</v>
      </c>
      <c r="C1266" s="164" t="s">
        <v>4667</v>
      </c>
      <c r="D1266" s="144" t="s">
        <v>3514</v>
      </c>
      <c r="E1266" s="150" t="s">
        <v>2466</v>
      </c>
      <c r="F1266" s="144" t="s">
        <v>2477</v>
      </c>
      <c r="G1266" s="166"/>
      <c r="H1266" s="151">
        <v>1</v>
      </c>
      <c r="I1266" s="160">
        <v>210</v>
      </c>
      <c r="J1266" s="159">
        <v>210</v>
      </c>
      <c r="K1266" s="161">
        <v>210</v>
      </c>
      <c r="L1266" s="159">
        <v>210</v>
      </c>
      <c r="M1266" s="160">
        <v>210</v>
      </c>
      <c r="N1266" s="145">
        <v>0</v>
      </c>
      <c r="O1266" s="156" t="s">
        <v>135</v>
      </c>
      <c r="P1266" s="144" t="s">
        <v>2468</v>
      </c>
      <c r="Q1266" s="147"/>
      <c r="R1266" s="146"/>
      <c r="S1266" s="157"/>
      <c r="T1266" s="144" t="s">
        <v>29</v>
      </c>
      <c r="U1266" s="150" t="s">
        <v>20</v>
      </c>
      <c r="V1266" s="146">
        <v>2187</v>
      </c>
      <c r="W1266" s="148" t="s">
        <v>4668</v>
      </c>
      <c r="X1266" s="149">
        <v>45901</v>
      </c>
      <c r="Y1266" s="165" t="s">
        <v>3142</v>
      </c>
    </row>
    <row r="1267" spans="1:25">
      <c r="A1267" s="163" t="s">
        <v>7</v>
      </c>
      <c r="B1267" s="144" t="s">
        <v>163</v>
      </c>
      <c r="C1267" s="164" t="s">
        <v>1554</v>
      </c>
      <c r="D1267" s="144" t="s">
        <v>1555</v>
      </c>
      <c r="E1267" s="150" t="s">
        <v>2491</v>
      </c>
      <c r="F1267" s="144" t="s">
        <v>2477</v>
      </c>
      <c r="G1267" s="166" t="s">
        <v>1556</v>
      </c>
      <c r="H1267" s="151">
        <v>104</v>
      </c>
      <c r="I1267" s="160"/>
      <c r="J1267" s="159">
        <v>2.2000000000000002</v>
      </c>
      <c r="K1267" s="161"/>
      <c r="L1267" s="159">
        <v>228.8</v>
      </c>
      <c r="M1267" s="160">
        <v>228.8</v>
      </c>
      <c r="N1267" s="145"/>
      <c r="O1267" s="156" t="s">
        <v>166</v>
      </c>
      <c r="P1267" s="144" t="s">
        <v>2478</v>
      </c>
      <c r="Q1267" s="147">
        <v>44531</v>
      </c>
      <c r="R1267" s="146">
        <v>2049</v>
      </c>
      <c r="S1267" s="157"/>
      <c r="T1267" s="144" t="s">
        <v>25</v>
      </c>
      <c r="U1267" s="150" t="s">
        <v>2479</v>
      </c>
      <c r="V1267" s="146">
        <v>1447</v>
      </c>
      <c r="W1267" s="148"/>
      <c r="X1267" s="149">
        <v>45689</v>
      </c>
      <c r="Y1267" s="165" t="s">
        <v>2558</v>
      </c>
    </row>
    <row r="1268" spans="1:25">
      <c r="A1268" s="163" t="s">
        <v>309</v>
      </c>
      <c r="B1268" s="144" t="s">
        <v>2463</v>
      </c>
      <c r="C1268" s="164" t="s">
        <v>4669</v>
      </c>
      <c r="D1268" s="144" t="s">
        <v>4670</v>
      </c>
      <c r="E1268" s="150" t="s">
        <v>2491</v>
      </c>
      <c r="F1268" s="144" t="s">
        <v>2477</v>
      </c>
      <c r="G1268" s="166"/>
      <c r="H1268" s="151">
        <v>1</v>
      </c>
      <c r="I1268" s="160"/>
      <c r="J1268" s="159">
        <v>1500</v>
      </c>
      <c r="K1268" s="161"/>
      <c r="L1268" s="159">
        <v>1500</v>
      </c>
      <c r="M1268" s="160">
        <v>1500</v>
      </c>
      <c r="N1268" s="145"/>
      <c r="O1268" s="156" t="s">
        <v>135</v>
      </c>
      <c r="P1268" s="144" t="s">
        <v>2478</v>
      </c>
      <c r="Q1268" s="147"/>
      <c r="R1268" s="146"/>
      <c r="S1268" s="157"/>
      <c r="T1268" s="144" t="s">
        <v>29</v>
      </c>
      <c r="U1268" s="150" t="s">
        <v>2479</v>
      </c>
      <c r="V1268" s="146">
        <v>1703</v>
      </c>
      <c r="W1268" s="148"/>
      <c r="X1268" s="149">
        <v>45901</v>
      </c>
      <c r="Y1268" s="165" t="s">
        <v>4671</v>
      </c>
    </row>
    <row r="1269" spans="1:25">
      <c r="A1269" s="163" t="s">
        <v>7</v>
      </c>
      <c r="B1269" s="144" t="s">
        <v>2463</v>
      </c>
      <c r="C1269" s="164" t="s">
        <v>4672</v>
      </c>
      <c r="D1269" s="144" t="s">
        <v>4673</v>
      </c>
      <c r="E1269" s="150" t="s">
        <v>2466</v>
      </c>
      <c r="F1269" s="144" t="s">
        <v>2467</v>
      </c>
      <c r="G1269" s="166"/>
      <c r="H1269" s="151">
        <v>1</v>
      </c>
      <c r="I1269" s="160">
        <v>120</v>
      </c>
      <c r="J1269" s="159">
        <v>120</v>
      </c>
      <c r="K1269" s="161">
        <v>120</v>
      </c>
      <c r="L1269" s="159">
        <v>120</v>
      </c>
      <c r="M1269" s="160">
        <v>120</v>
      </c>
      <c r="N1269" s="145">
        <v>480</v>
      </c>
      <c r="O1269" s="156" t="s">
        <v>135</v>
      </c>
      <c r="P1269" s="144" t="s">
        <v>2468</v>
      </c>
      <c r="Q1269" s="147"/>
      <c r="R1269" s="146"/>
      <c r="S1269" s="157"/>
      <c r="T1269" s="144" t="s">
        <v>29</v>
      </c>
      <c r="U1269" s="150" t="s">
        <v>20</v>
      </c>
      <c r="V1269" s="146">
        <v>3037</v>
      </c>
      <c r="W1269" s="148"/>
      <c r="X1269" s="149">
        <v>45901</v>
      </c>
      <c r="Y1269" s="165" t="s">
        <v>3006</v>
      </c>
    </row>
    <row r="1270" spans="1:25">
      <c r="A1270" s="163" t="s">
        <v>309</v>
      </c>
      <c r="B1270" s="144" t="s">
        <v>2463</v>
      </c>
      <c r="C1270" s="164" t="s">
        <v>4674</v>
      </c>
      <c r="D1270" s="144" t="s">
        <v>1250</v>
      </c>
      <c r="E1270" s="150" t="s">
        <v>2476</v>
      </c>
      <c r="F1270" s="144" t="s">
        <v>2477</v>
      </c>
      <c r="G1270" s="166"/>
      <c r="H1270" s="151">
        <v>1</v>
      </c>
      <c r="I1270" s="160">
        <v>110</v>
      </c>
      <c r="J1270" s="159">
        <v>110</v>
      </c>
      <c r="K1270" s="161">
        <v>110</v>
      </c>
      <c r="L1270" s="159">
        <v>110</v>
      </c>
      <c r="M1270" s="160">
        <v>110</v>
      </c>
      <c r="N1270" s="145"/>
      <c r="O1270" s="156" t="s">
        <v>135</v>
      </c>
      <c r="P1270" s="144" t="s">
        <v>2478</v>
      </c>
      <c r="Q1270" s="147"/>
      <c r="R1270" s="146"/>
      <c r="S1270" s="157"/>
      <c r="T1270" s="144" t="s">
        <v>29</v>
      </c>
      <c r="U1270" s="150" t="s">
        <v>2479</v>
      </c>
      <c r="V1270" s="146">
        <v>1442</v>
      </c>
      <c r="W1270" s="148"/>
      <c r="X1270" s="149">
        <v>45689</v>
      </c>
      <c r="Y1270" s="165" t="s">
        <v>3074</v>
      </c>
    </row>
    <row r="1271" spans="1:25">
      <c r="A1271" s="163" t="s">
        <v>309</v>
      </c>
      <c r="B1271" s="144" t="s">
        <v>2463</v>
      </c>
      <c r="C1271" s="164" t="s">
        <v>4675</v>
      </c>
      <c r="D1271" s="144" t="s">
        <v>4676</v>
      </c>
      <c r="E1271" s="150" t="s">
        <v>2476</v>
      </c>
      <c r="F1271" s="144" t="s">
        <v>2477</v>
      </c>
      <c r="G1271" s="166"/>
      <c r="H1271" s="151">
        <v>1</v>
      </c>
      <c r="I1271" s="160">
        <v>500</v>
      </c>
      <c r="J1271" s="159">
        <v>500</v>
      </c>
      <c r="K1271" s="161">
        <v>500</v>
      </c>
      <c r="L1271" s="159">
        <v>500</v>
      </c>
      <c r="M1271" s="160">
        <v>500</v>
      </c>
      <c r="N1271" s="145"/>
      <c r="O1271" s="156" t="s">
        <v>135</v>
      </c>
      <c r="P1271" s="144" t="s">
        <v>2478</v>
      </c>
      <c r="Q1271" s="147"/>
      <c r="R1271" s="146"/>
      <c r="S1271" s="157"/>
      <c r="T1271" s="144" t="s">
        <v>29</v>
      </c>
      <c r="U1271" s="150" t="s">
        <v>2479</v>
      </c>
      <c r="V1271" s="146">
        <v>2557</v>
      </c>
      <c r="W1271" s="148" t="s">
        <v>4677</v>
      </c>
      <c r="X1271" s="149">
        <v>45901</v>
      </c>
      <c r="Y1271" s="165" t="s">
        <v>2722</v>
      </c>
    </row>
    <row r="1272" spans="1:25">
      <c r="A1272" s="163" t="s">
        <v>7</v>
      </c>
      <c r="B1272" s="144" t="s">
        <v>163</v>
      </c>
      <c r="C1272" s="164" t="s">
        <v>1641</v>
      </c>
      <c r="D1272" s="144" t="s">
        <v>4678</v>
      </c>
      <c r="E1272" s="150" t="s">
        <v>2491</v>
      </c>
      <c r="F1272" s="144" t="s">
        <v>2477</v>
      </c>
      <c r="G1272" s="166" t="s">
        <v>4679</v>
      </c>
      <c r="H1272" s="151">
        <v>1</v>
      </c>
      <c r="I1272" s="160">
        <v>0</v>
      </c>
      <c r="J1272" s="159">
        <v>150</v>
      </c>
      <c r="K1272" s="161">
        <v>0</v>
      </c>
      <c r="L1272" s="159">
        <v>150</v>
      </c>
      <c r="M1272" s="160">
        <v>150</v>
      </c>
      <c r="N1272" s="145"/>
      <c r="O1272" s="156" t="s">
        <v>166</v>
      </c>
      <c r="P1272" s="144" t="s">
        <v>2478</v>
      </c>
      <c r="Q1272" s="147">
        <v>44531</v>
      </c>
      <c r="R1272" s="146">
        <v>2056</v>
      </c>
      <c r="S1272" s="157"/>
      <c r="T1272" s="144" t="s">
        <v>25</v>
      </c>
      <c r="U1272" s="150" t="s">
        <v>2479</v>
      </c>
      <c r="V1272" s="146">
        <v>1586</v>
      </c>
      <c r="W1272" s="148"/>
      <c r="X1272" s="149">
        <v>45689</v>
      </c>
      <c r="Y1272" s="165" t="s">
        <v>2500</v>
      </c>
    </row>
    <row r="1273" spans="1:25">
      <c r="A1273" s="163" t="s">
        <v>309</v>
      </c>
      <c r="B1273" s="144" t="s">
        <v>2463</v>
      </c>
      <c r="C1273" s="164" t="s">
        <v>542</v>
      </c>
      <c r="D1273" s="144" t="s">
        <v>543</v>
      </c>
      <c r="E1273" s="150" t="s">
        <v>2466</v>
      </c>
      <c r="F1273" s="144" t="s">
        <v>2467</v>
      </c>
      <c r="G1273" s="166" t="s">
        <v>544</v>
      </c>
      <c r="H1273" s="151">
        <v>1</v>
      </c>
      <c r="I1273" s="160">
        <v>260</v>
      </c>
      <c r="J1273" s="159">
        <v>260</v>
      </c>
      <c r="K1273" s="161">
        <v>260</v>
      </c>
      <c r="L1273" s="159">
        <v>260</v>
      </c>
      <c r="M1273" s="160">
        <v>260</v>
      </c>
      <c r="N1273" s="145">
        <v>620</v>
      </c>
      <c r="O1273" s="156" t="s">
        <v>27</v>
      </c>
      <c r="P1273" s="144" t="s">
        <v>2468</v>
      </c>
      <c r="Q1273" s="147">
        <v>45992</v>
      </c>
      <c r="R1273" s="146">
        <v>2050</v>
      </c>
      <c r="S1273" s="157"/>
      <c r="T1273" s="144" t="s">
        <v>27</v>
      </c>
      <c r="U1273" s="150" t="s">
        <v>20</v>
      </c>
      <c r="V1273" s="146">
        <v>2431</v>
      </c>
      <c r="W1273" s="148" t="s">
        <v>4680</v>
      </c>
      <c r="X1273" s="149">
        <v>45901</v>
      </c>
      <c r="Y1273" s="165" t="s">
        <v>2660</v>
      </c>
    </row>
    <row r="1274" spans="1:25">
      <c r="A1274" s="163" t="s">
        <v>309</v>
      </c>
      <c r="B1274" s="144" t="s">
        <v>2463</v>
      </c>
      <c r="C1274" s="164" t="s">
        <v>542</v>
      </c>
      <c r="D1274" s="144" t="s">
        <v>543</v>
      </c>
      <c r="E1274" s="150" t="s">
        <v>2466</v>
      </c>
      <c r="F1274" s="144" t="s">
        <v>2467</v>
      </c>
      <c r="G1274" s="166"/>
      <c r="H1274" s="151">
        <v>1</v>
      </c>
      <c r="I1274" s="160"/>
      <c r="J1274" s="159">
        <v>260</v>
      </c>
      <c r="K1274" s="161"/>
      <c r="L1274" s="159">
        <v>260</v>
      </c>
      <c r="M1274" s="160">
        <v>260</v>
      </c>
      <c r="N1274" s="145">
        <v>1240</v>
      </c>
      <c r="O1274" s="156" t="s">
        <v>27</v>
      </c>
      <c r="P1274" s="144" t="s">
        <v>2468</v>
      </c>
      <c r="Q1274" s="147">
        <v>46174</v>
      </c>
      <c r="R1274" s="146">
        <v>2051</v>
      </c>
      <c r="S1274" s="157"/>
      <c r="T1274" s="144" t="s">
        <v>27</v>
      </c>
      <c r="U1274" s="150" t="s">
        <v>20</v>
      </c>
      <c r="V1274" s="146">
        <v>2431</v>
      </c>
      <c r="W1274" s="148" t="s">
        <v>4680</v>
      </c>
      <c r="X1274" s="149">
        <v>45901</v>
      </c>
      <c r="Y1274" s="165" t="s">
        <v>2660</v>
      </c>
    </row>
    <row r="1275" spans="1:25">
      <c r="A1275" s="163" t="s">
        <v>309</v>
      </c>
      <c r="B1275" s="144" t="s">
        <v>2463</v>
      </c>
      <c r="C1275" s="164" t="s">
        <v>4681</v>
      </c>
      <c r="D1275" s="144" t="s">
        <v>4682</v>
      </c>
      <c r="E1275" s="150" t="s">
        <v>2466</v>
      </c>
      <c r="F1275" s="144" t="s">
        <v>2467</v>
      </c>
      <c r="G1275" s="166"/>
      <c r="H1275" s="151">
        <v>1</v>
      </c>
      <c r="I1275" s="160">
        <v>260</v>
      </c>
      <c r="J1275" s="159">
        <v>260</v>
      </c>
      <c r="K1275" s="161">
        <v>260</v>
      </c>
      <c r="L1275" s="159">
        <v>260</v>
      </c>
      <c r="M1275" s="160">
        <v>260</v>
      </c>
      <c r="N1275" s="145">
        <v>1216</v>
      </c>
      <c r="O1275" s="156" t="s">
        <v>28</v>
      </c>
      <c r="P1275" s="144" t="s">
        <v>2468</v>
      </c>
      <c r="Q1275" s="147">
        <v>46844</v>
      </c>
      <c r="R1275" s="146">
        <v>2053</v>
      </c>
      <c r="S1275" s="157"/>
      <c r="T1275" s="144" t="s">
        <v>28</v>
      </c>
      <c r="U1275" s="150" t="s">
        <v>20</v>
      </c>
      <c r="V1275" s="146">
        <v>3103</v>
      </c>
      <c r="W1275" s="148" t="s">
        <v>4680</v>
      </c>
      <c r="X1275" s="149"/>
      <c r="Y1275" s="165"/>
    </row>
    <row r="1276" spans="1:25">
      <c r="A1276" s="163" t="s">
        <v>309</v>
      </c>
      <c r="B1276" s="144" t="s">
        <v>2463</v>
      </c>
      <c r="C1276" s="164" t="s">
        <v>4683</v>
      </c>
      <c r="D1276" s="144" t="s">
        <v>4682</v>
      </c>
      <c r="E1276" s="150" t="s">
        <v>2466</v>
      </c>
      <c r="F1276" s="144" t="s">
        <v>2467</v>
      </c>
      <c r="G1276" s="166"/>
      <c r="H1276" s="151">
        <v>1</v>
      </c>
      <c r="I1276" s="160">
        <v>260</v>
      </c>
      <c r="J1276" s="159">
        <v>260</v>
      </c>
      <c r="K1276" s="161">
        <v>260</v>
      </c>
      <c r="L1276" s="159">
        <v>260</v>
      </c>
      <c r="M1276" s="160">
        <v>260</v>
      </c>
      <c r="N1276" s="145">
        <v>2432</v>
      </c>
      <c r="O1276" s="156" t="s">
        <v>135</v>
      </c>
      <c r="P1276" s="144" t="s">
        <v>2468</v>
      </c>
      <c r="Q1276" s="147">
        <v>47027</v>
      </c>
      <c r="R1276" s="146"/>
      <c r="S1276" s="157"/>
      <c r="T1276" s="144" t="s">
        <v>29</v>
      </c>
      <c r="U1276" s="150" t="s">
        <v>20</v>
      </c>
      <c r="V1276" s="146">
        <v>3104</v>
      </c>
      <c r="W1276" s="148" t="s">
        <v>4680</v>
      </c>
      <c r="X1276" s="149"/>
      <c r="Y1276" s="165"/>
    </row>
    <row r="1277" spans="1:25">
      <c r="A1277" s="163" t="s">
        <v>309</v>
      </c>
      <c r="B1277" s="144" t="s">
        <v>2463</v>
      </c>
      <c r="C1277" s="164" t="s">
        <v>4684</v>
      </c>
      <c r="D1277" s="144" t="s">
        <v>4682</v>
      </c>
      <c r="E1277" s="150" t="s">
        <v>2466</v>
      </c>
      <c r="F1277" s="144" t="s">
        <v>2467</v>
      </c>
      <c r="G1277" s="166"/>
      <c r="H1277" s="151">
        <v>1</v>
      </c>
      <c r="I1277" s="160">
        <v>260</v>
      </c>
      <c r="J1277" s="159">
        <v>260</v>
      </c>
      <c r="K1277" s="161">
        <v>260</v>
      </c>
      <c r="L1277" s="159">
        <v>260</v>
      </c>
      <c r="M1277" s="160">
        <v>260</v>
      </c>
      <c r="N1277" s="145">
        <v>2432</v>
      </c>
      <c r="O1277" s="156" t="s">
        <v>135</v>
      </c>
      <c r="P1277" s="144" t="s">
        <v>2468</v>
      </c>
      <c r="Q1277" s="147">
        <v>47209</v>
      </c>
      <c r="R1277" s="146"/>
      <c r="S1277" s="157"/>
      <c r="T1277" s="144" t="s">
        <v>29</v>
      </c>
      <c r="U1277" s="150" t="s">
        <v>20</v>
      </c>
      <c r="V1277" s="146">
        <v>3105</v>
      </c>
      <c r="W1277" s="148" t="s">
        <v>4680</v>
      </c>
      <c r="X1277" s="149"/>
      <c r="Y1277" s="165"/>
    </row>
    <row r="1278" spans="1:25">
      <c r="A1278" s="163" t="s">
        <v>309</v>
      </c>
      <c r="B1278" s="144" t="s">
        <v>163</v>
      </c>
      <c r="C1278" s="164" t="s">
        <v>1863</v>
      </c>
      <c r="D1278" s="144" t="s">
        <v>4685</v>
      </c>
      <c r="E1278" s="150" t="s">
        <v>2491</v>
      </c>
      <c r="F1278" s="144" t="s">
        <v>2477</v>
      </c>
      <c r="G1278" s="166" t="s">
        <v>1865</v>
      </c>
      <c r="H1278" s="151">
        <v>49</v>
      </c>
      <c r="I1278" s="160">
        <v>1.74</v>
      </c>
      <c r="J1278" s="159">
        <v>1.74</v>
      </c>
      <c r="K1278" s="161">
        <v>85.26</v>
      </c>
      <c r="L1278" s="159">
        <v>85.26</v>
      </c>
      <c r="M1278" s="160">
        <v>85.26</v>
      </c>
      <c r="N1278" s="145"/>
      <c r="O1278" s="156" t="s">
        <v>166</v>
      </c>
      <c r="P1278" s="144" t="s">
        <v>2478</v>
      </c>
      <c r="Q1278" s="147">
        <v>43800</v>
      </c>
      <c r="R1278" s="146">
        <v>2049</v>
      </c>
      <c r="S1278" s="157"/>
      <c r="T1278" s="144" t="s">
        <v>25</v>
      </c>
      <c r="U1278" s="150" t="s">
        <v>2479</v>
      </c>
      <c r="V1278" s="146">
        <v>1444</v>
      </c>
      <c r="W1278" s="148"/>
      <c r="X1278" s="149">
        <v>45689</v>
      </c>
      <c r="Y1278" s="165" t="s">
        <v>2500</v>
      </c>
    </row>
    <row r="1279" spans="1:25">
      <c r="A1279" s="163" t="s">
        <v>7</v>
      </c>
      <c r="B1279" s="144" t="s">
        <v>2463</v>
      </c>
      <c r="C1279" s="164" t="s">
        <v>4686</v>
      </c>
      <c r="D1279" s="144" t="s">
        <v>589</v>
      </c>
      <c r="E1279" s="150" t="s">
        <v>2466</v>
      </c>
      <c r="F1279" s="144" t="s">
        <v>2467</v>
      </c>
      <c r="G1279" s="166"/>
      <c r="H1279" s="151">
        <v>1</v>
      </c>
      <c r="I1279" s="160">
        <v>375</v>
      </c>
      <c r="J1279" s="159">
        <v>375</v>
      </c>
      <c r="K1279" s="161">
        <v>375</v>
      </c>
      <c r="L1279" s="159">
        <v>375</v>
      </c>
      <c r="M1279" s="160">
        <v>375</v>
      </c>
      <c r="N1279" s="145">
        <v>1500</v>
      </c>
      <c r="O1279" s="156" t="s">
        <v>135</v>
      </c>
      <c r="P1279" s="144" t="s">
        <v>2468</v>
      </c>
      <c r="Q1279" s="147"/>
      <c r="R1279" s="146"/>
      <c r="S1279" s="157"/>
      <c r="T1279" s="144" t="s">
        <v>29</v>
      </c>
      <c r="U1279" s="150" t="s">
        <v>20</v>
      </c>
      <c r="V1279" s="146">
        <v>3023</v>
      </c>
      <c r="W1279" s="148"/>
      <c r="X1279" s="149">
        <v>45901</v>
      </c>
      <c r="Y1279" s="165" t="s">
        <v>4420</v>
      </c>
    </row>
    <row r="1280" spans="1:25">
      <c r="A1280" s="163" t="s">
        <v>309</v>
      </c>
      <c r="B1280" s="144" t="s">
        <v>2463</v>
      </c>
      <c r="C1280" s="164" t="s">
        <v>4687</v>
      </c>
      <c r="D1280" s="144" t="s">
        <v>4688</v>
      </c>
      <c r="E1280" s="150" t="s">
        <v>2466</v>
      </c>
      <c r="F1280" s="144" t="s">
        <v>2467</v>
      </c>
      <c r="G1280" s="166" t="s">
        <v>4689</v>
      </c>
      <c r="H1280" s="151">
        <v>1</v>
      </c>
      <c r="I1280" s="160"/>
      <c r="J1280" s="159">
        <v>250</v>
      </c>
      <c r="K1280" s="161"/>
      <c r="L1280" s="159">
        <v>250</v>
      </c>
      <c r="M1280" s="160">
        <v>250</v>
      </c>
      <c r="N1280" s="145">
        <v>500</v>
      </c>
      <c r="O1280" s="156" t="s">
        <v>28</v>
      </c>
      <c r="P1280" s="144" t="s">
        <v>2468</v>
      </c>
      <c r="Q1280" s="147">
        <v>45962</v>
      </c>
      <c r="R1280" s="146">
        <v>2045</v>
      </c>
      <c r="S1280" s="157"/>
      <c r="T1280" s="144" t="s">
        <v>28</v>
      </c>
      <c r="U1280" s="150" t="s">
        <v>20</v>
      </c>
      <c r="V1280" s="146">
        <v>2407</v>
      </c>
      <c r="W1280" s="148" t="s">
        <v>4690</v>
      </c>
      <c r="X1280" s="149">
        <v>45901</v>
      </c>
      <c r="Y1280" s="165" t="s">
        <v>2475</v>
      </c>
    </row>
    <row r="1281" spans="1:25">
      <c r="A1281" s="163" t="s">
        <v>309</v>
      </c>
      <c r="B1281" s="144" t="s">
        <v>163</v>
      </c>
      <c r="C1281" s="164" t="s">
        <v>2068</v>
      </c>
      <c r="D1281" s="144" t="s">
        <v>936</v>
      </c>
      <c r="E1281" s="150" t="s">
        <v>3100</v>
      </c>
      <c r="F1281" s="144" t="s">
        <v>2786</v>
      </c>
      <c r="G1281" s="166" t="s">
        <v>4691</v>
      </c>
      <c r="H1281" s="151">
        <v>1</v>
      </c>
      <c r="I1281" s="160"/>
      <c r="J1281" s="159">
        <v>385</v>
      </c>
      <c r="K1281" s="161"/>
      <c r="L1281" s="159">
        <v>385</v>
      </c>
      <c r="M1281" s="160">
        <v>385</v>
      </c>
      <c r="N1281" s="145"/>
      <c r="O1281" s="156" t="s">
        <v>166</v>
      </c>
      <c r="P1281" s="144" t="s">
        <v>2468</v>
      </c>
      <c r="Q1281" s="147"/>
      <c r="R1281" s="146">
        <v>2036</v>
      </c>
      <c r="S1281" s="157"/>
      <c r="T1281" s="144" t="s">
        <v>25</v>
      </c>
      <c r="U1281" s="150" t="s">
        <v>13</v>
      </c>
      <c r="V1281" s="146">
        <v>1190</v>
      </c>
      <c r="W1281" s="148"/>
      <c r="X1281" s="149">
        <v>45689</v>
      </c>
      <c r="Y1281" s="165" t="s">
        <v>2623</v>
      </c>
    </row>
    <row r="1282" spans="1:25">
      <c r="A1282" s="163" t="s">
        <v>309</v>
      </c>
      <c r="B1282" s="144" t="s">
        <v>163</v>
      </c>
      <c r="C1282" s="164" t="s">
        <v>2100</v>
      </c>
      <c r="D1282" s="144" t="s">
        <v>1797</v>
      </c>
      <c r="E1282" s="150" t="s">
        <v>2639</v>
      </c>
      <c r="F1282" s="144" t="s">
        <v>2467</v>
      </c>
      <c r="G1282" s="166" t="s">
        <v>4692</v>
      </c>
      <c r="H1282" s="151">
        <v>1</v>
      </c>
      <c r="I1282" s="160">
        <v>0</v>
      </c>
      <c r="J1282" s="159">
        <v>24</v>
      </c>
      <c r="K1282" s="161">
        <v>0</v>
      </c>
      <c r="L1282" s="159">
        <v>24</v>
      </c>
      <c r="M1282" s="160">
        <v>24</v>
      </c>
      <c r="N1282" s="145"/>
      <c r="O1282" s="156" t="s">
        <v>166</v>
      </c>
      <c r="P1282" s="144" t="s">
        <v>2480</v>
      </c>
      <c r="Q1282" s="147"/>
      <c r="R1282" s="146">
        <v>2040</v>
      </c>
      <c r="S1282" s="157"/>
      <c r="T1282" s="144" t="s">
        <v>25</v>
      </c>
      <c r="U1282" s="150" t="s">
        <v>15</v>
      </c>
      <c r="V1282" s="146">
        <v>1298</v>
      </c>
      <c r="W1282" s="148"/>
      <c r="X1282" s="149">
        <v>45566</v>
      </c>
      <c r="Y1282" s="165" t="s">
        <v>2637</v>
      </c>
    </row>
    <row r="1283" spans="1:25">
      <c r="A1283" s="163" t="s">
        <v>7</v>
      </c>
      <c r="B1283" s="144" t="s">
        <v>2463</v>
      </c>
      <c r="C1283" s="164" t="s">
        <v>4693</v>
      </c>
      <c r="D1283" s="144" t="s">
        <v>252</v>
      </c>
      <c r="E1283" s="150" t="s">
        <v>2466</v>
      </c>
      <c r="F1283" s="144" t="s">
        <v>2467</v>
      </c>
      <c r="G1283" s="166"/>
      <c r="H1283" s="151">
        <v>30</v>
      </c>
      <c r="I1283" s="160">
        <v>4</v>
      </c>
      <c r="J1283" s="159">
        <v>4</v>
      </c>
      <c r="K1283" s="161">
        <v>120</v>
      </c>
      <c r="L1283" s="159">
        <v>120</v>
      </c>
      <c r="M1283" s="160">
        <v>120</v>
      </c>
      <c r="N1283" s="145">
        <v>480</v>
      </c>
      <c r="O1283" s="156" t="s">
        <v>135</v>
      </c>
      <c r="P1283" s="144" t="s">
        <v>2468</v>
      </c>
      <c r="Q1283" s="147"/>
      <c r="R1283" s="146"/>
      <c r="S1283" s="157"/>
      <c r="T1283" s="144" t="s">
        <v>29</v>
      </c>
      <c r="U1283" s="150" t="s">
        <v>20</v>
      </c>
      <c r="V1283" s="146">
        <v>2480</v>
      </c>
      <c r="W1283" s="148" t="s">
        <v>4694</v>
      </c>
      <c r="X1283" s="149">
        <v>45901</v>
      </c>
      <c r="Y1283" s="165" t="s">
        <v>3372</v>
      </c>
    </row>
    <row r="1284" spans="1:25">
      <c r="A1284" s="163" t="s">
        <v>7</v>
      </c>
      <c r="B1284" s="144" t="s">
        <v>163</v>
      </c>
      <c r="C1284" s="164" t="s">
        <v>4695</v>
      </c>
      <c r="D1284" s="144" t="s">
        <v>4696</v>
      </c>
      <c r="E1284" s="150" t="s">
        <v>2506</v>
      </c>
      <c r="F1284" s="144" t="s">
        <v>2507</v>
      </c>
      <c r="G1284" s="166" t="s">
        <v>4697</v>
      </c>
      <c r="H1284" s="151">
        <v>7</v>
      </c>
      <c r="I1284" s="160"/>
      <c r="J1284" s="159">
        <v>1.07</v>
      </c>
      <c r="K1284" s="161"/>
      <c r="L1284" s="159">
        <v>7.46</v>
      </c>
      <c r="M1284" s="160">
        <v>7.46</v>
      </c>
      <c r="N1284" s="145"/>
      <c r="O1284" s="156" t="s">
        <v>166</v>
      </c>
      <c r="P1284" s="144" t="s">
        <v>2480</v>
      </c>
      <c r="Q1284" s="147"/>
      <c r="R1284" s="146">
        <v>2035</v>
      </c>
      <c r="S1284" s="157"/>
      <c r="T1284" s="144" t="s">
        <v>25</v>
      </c>
      <c r="U1284" s="150" t="s">
        <v>15</v>
      </c>
      <c r="V1284" s="146">
        <v>1361</v>
      </c>
      <c r="W1284" s="148"/>
      <c r="X1284" s="149">
        <v>45566</v>
      </c>
      <c r="Y1284" s="165" t="s">
        <v>2836</v>
      </c>
    </row>
    <row r="1285" spans="1:25">
      <c r="A1285" s="163" t="s">
        <v>380</v>
      </c>
      <c r="B1285" s="144" t="s">
        <v>163</v>
      </c>
      <c r="C1285" s="164" t="s">
        <v>1934</v>
      </c>
      <c r="D1285" s="144" t="s">
        <v>269</v>
      </c>
      <c r="E1285" s="150" t="s">
        <v>2476</v>
      </c>
      <c r="F1285" s="144" t="s">
        <v>2477</v>
      </c>
      <c r="G1285" s="166" t="s">
        <v>4698</v>
      </c>
      <c r="H1285" s="151">
        <v>1</v>
      </c>
      <c r="I1285" s="160">
        <v>108</v>
      </c>
      <c r="J1285" s="159">
        <v>108</v>
      </c>
      <c r="K1285" s="161">
        <v>108</v>
      </c>
      <c r="L1285" s="159">
        <v>108</v>
      </c>
      <c r="M1285" s="160">
        <v>108</v>
      </c>
      <c r="N1285" s="145"/>
      <c r="O1285" s="156" t="s">
        <v>166</v>
      </c>
      <c r="P1285" s="144" t="s">
        <v>2478</v>
      </c>
      <c r="Q1285" s="147">
        <v>43556</v>
      </c>
      <c r="R1285" s="146">
        <v>2049</v>
      </c>
      <c r="S1285" s="157"/>
      <c r="T1285" s="144" t="s">
        <v>25</v>
      </c>
      <c r="U1285" s="150" t="s">
        <v>2479</v>
      </c>
      <c r="V1285" s="146">
        <v>1397</v>
      </c>
      <c r="W1285" s="148"/>
      <c r="X1285" s="149">
        <v>45323</v>
      </c>
      <c r="Y1285" s="165" t="s">
        <v>2470</v>
      </c>
    </row>
    <row r="1286" spans="1:25">
      <c r="A1286" s="163" t="s">
        <v>380</v>
      </c>
      <c r="B1286" s="144" t="s">
        <v>163</v>
      </c>
      <c r="C1286" s="164" t="s">
        <v>419</v>
      </c>
      <c r="D1286" s="144" t="s">
        <v>269</v>
      </c>
      <c r="E1286" s="150" t="s">
        <v>2466</v>
      </c>
      <c r="F1286" s="144" t="s">
        <v>2467</v>
      </c>
      <c r="G1286" s="166" t="s">
        <v>420</v>
      </c>
      <c r="H1286" s="151">
        <v>1</v>
      </c>
      <c r="I1286" s="160"/>
      <c r="J1286" s="159">
        <v>41.5</v>
      </c>
      <c r="K1286" s="161"/>
      <c r="L1286" s="159">
        <v>41.5</v>
      </c>
      <c r="M1286" s="160">
        <v>41.5</v>
      </c>
      <c r="N1286" s="145">
        <v>84</v>
      </c>
      <c r="O1286" s="156" t="s">
        <v>164</v>
      </c>
      <c r="P1286" s="144" t="s">
        <v>2468</v>
      </c>
      <c r="Q1286" s="147">
        <v>45292</v>
      </c>
      <c r="R1286" s="146">
        <v>2048</v>
      </c>
      <c r="S1286" s="157"/>
      <c r="T1286" s="144" t="s">
        <v>25</v>
      </c>
      <c r="U1286" s="150" t="s">
        <v>20</v>
      </c>
      <c r="V1286" s="146">
        <v>1735</v>
      </c>
      <c r="W1286" s="148" t="s">
        <v>4699</v>
      </c>
      <c r="X1286" s="149">
        <v>45901</v>
      </c>
      <c r="Y1286" s="165" t="s">
        <v>2858</v>
      </c>
    </row>
    <row r="1287" spans="1:25">
      <c r="A1287" s="163" t="s">
        <v>380</v>
      </c>
      <c r="B1287" s="144" t="s">
        <v>163</v>
      </c>
      <c r="C1287" s="164" t="s">
        <v>562</v>
      </c>
      <c r="D1287" s="144" t="s">
        <v>269</v>
      </c>
      <c r="E1287" s="150" t="s">
        <v>2491</v>
      </c>
      <c r="F1287" s="144" t="s">
        <v>2477</v>
      </c>
      <c r="G1287" s="166" t="s">
        <v>563</v>
      </c>
      <c r="H1287" s="151">
        <v>1</v>
      </c>
      <c r="I1287" s="160"/>
      <c r="J1287" s="159">
        <v>105</v>
      </c>
      <c r="K1287" s="161"/>
      <c r="L1287" s="159">
        <v>105</v>
      </c>
      <c r="M1287" s="160">
        <v>105</v>
      </c>
      <c r="N1287" s="145"/>
      <c r="O1287" s="156" t="s">
        <v>164</v>
      </c>
      <c r="P1287" s="144" t="s">
        <v>2478</v>
      </c>
      <c r="Q1287" s="147">
        <v>45170</v>
      </c>
      <c r="R1287" s="146">
        <v>2053</v>
      </c>
      <c r="S1287" s="157"/>
      <c r="T1287" s="144" t="s">
        <v>25</v>
      </c>
      <c r="U1287" s="150" t="s">
        <v>2479</v>
      </c>
      <c r="V1287" s="146">
        <v>1575</v>
      </c>
      <c r="W1287" s="148"/>
      <c r="X1287" s="149">
        <v>45901</v>
      </c>
      <c r="Y1287" s="165" t="s">
        <v>2858</v>
      </c>
    </row>
    <row r="1288" spans="1:25">
      <c r="A1288" s="163" t="s">
        <v>380</v>
      </c>
      <c r="B1288" s="144" t="s">
        <v>2463</v>
      </c>
      <c r="C1288" s="164" t="s">
        <v>421</v>
      </c>
      <c r="D1288" s="144" t="s">
        <v>422</v>
      </c>
      <c r="E1288" s="150" t="s">
        <v>2466</v>
      </c>
      <c r="F1288" s="144" t="s">
        <v>2467</v>
      </c>
      <c r="G1288" s="166"/>
      <c r="H1288" s="151">
        <v>1</v>
      </c>
      <c r="I1288" s="160"/>
      <c r="J1288" s="159">
        <v>204</v>
      </c>
      <c r="K1288" s="161"/>
      <c r="L1288" s="159">
        <v>204</v>
      </c>
      <c r="M1288" s="160">
        <v>204</v>
      </c>
      <c r="N1288" s="145">
        <v>408</v>
      </c>
      <c r="O1288" s="156" t="s">
        <v>28</v>
      </c>
      <c r="P1288" s="144" t="s">
        <v>2468</v>
      </c>
      <c r="Q1288" s="147">
        <v>46478</v>
      </c>
      <c r="R1288" s="146">
        <v>2047</v>
      </c>
      <c r="S1288" s="157"/>
      <c r="T1288" s="144" t="s">
        <v>28</v>
      </c>
      <c r="U1288" s="150" t="s">
        <v>20</v>
      </c>
      <c r="V1288" s="146">
        <v>2436</v>
      </c>
      <c r="W1288" s="148"/>
      <c r="X1288" s="149">
        <v>45901</v>
      </c>
      <c r="Y1288" s="165" t="s">
        <v>2660</v>
      </c>
    </row>
    <row r="1289" spans="1:25">
      <c r="A1289" s="163" t="s">
        <v>7</v>
      </c>
      <c r="B1289" s="144" t="s">
        <v>2463</v>
      </c>
      <c r="C1289" s="164" t="s">
        <v>4700</v>
      </c>
      <c r="D1289" s="144" t="s">
        <v>4701</v>
      </c>
      <c r="E1289" s="150" t="s">
        <v>2466</v>
      </c>
      <c r="F1289" s="144" t="s">
        <v>2467</v>
      </c>
      <c r="G1289" s="166"/>
      <c r="H1289" s="151">
        <v>1</v>
      </c>
      <c r="I1289" s="160">
        <v>400</v>
      </c>
      <c r="J1289" s="159">
        <v>400</v>
      </c>
      <c r="K1289" s="161">
        <v>400</v>
      </c>
      <c r="L1289" s="159">
        <v>400</v>
      </c>
      <c r="M1289" s="160">
        <v>400</v>
      </c>
      <c r="N1289" s="145">
        <v>1600</v>
      </c>
      <c r="O1289" s="156" t="s">
        <v>135</v>
      </c>
      <c r="P1289" s="144" t="s">
        <v>2468</v>
      </c>
      <c r="Q1289" s="147"/>
      <c r="R1289" s="146"/>
      <c r="S1289" s="157"/>
      <c r="T1289" s="144" t="s">
        <v>29</v>
      </c>
      <c r="U1289" s="150" t="s">
        <v>20</v>
      </c>
      <c r="V1289" s="146">
        <v>2912</v>
      </c>
      <c r="W1289" s="148" t="s">
        <v>4702</v>
      </c>
      <c r="X1289" s="149"/>
      <c r="Y1289" s="165" t="s">
        <v>4703</v>
      </c>
    </row>
    <row r="1290" spans="1:25">
      <c r="A1290" s="163" t="s">
        <v>423</v>
      </c>
      <c r="B1290" s="144" t="s">
        <v>2463</v>
      </c>
      <c r="C1290" s="164" t="s">
        <v>4704</v>
      </c>
      <c r="D1290" s="144" t="s">
        <v>4705</v>
      </c>
      <c r="E1290" s="150" t="s">
        <v>2485</v>
      </c>
      <c r="F1290" s="144" t="s">
        <v>2486</v>
      </c>
      <c r="G1290" s="166"/>
      <c r="H1290" s="151">
        <v>60</v>
      </c>
      <c r="I1290" s="160">
        <v>5.7</v>
      </c>
      <c r="J1290" s="159">
        <v>5.7</v>
      </c>
      <c r="K1290" s="161">
        <v>342</v>
      </c>
      <c r="L1290" s="159">
        <v>342</v>
      </c>
      <c r="M1290" s="160">
        <v>342</v>
      </c>
      <c r="N1290" s="145"/>
      <c r="O1290" s="156" t="s">
        <v>135</v>
      </c>
      <c r="P1290" s="144" t="s">
        <v>2478</v>
      </c>
      <c r="Q1290" s="147"/>
      <c r="R1290" s="146"/>
      <c r="S1290" s="157"/>
      <c r="T1290" s="144" t="s">
        <v>29</v>
      </c>
      <c r="U1290" s="150" t="s">
        <v>17</v>
      </c>
      <c r="V1290" s="146">
        <v>2365</v>
      </c>
      <c r="W1290" s="148" t="s">
        <v>4706</v>
      </c>
      <c r="X1290" s="149">
        <v>45689</v>
      </c>
      <c r="Y1290" s="165" t="s">
        <v>2474</v>
      </c>
    </row>
    <row r="1291" spans="1:25">
      <c r="A1291" s="163" t="s">
        <v>7</v>
      </c>
      <c r="B1291" s="144" t="s">
        <v>2463</v>
      </c>
      <c r="C1291" s="164" t="s">
        <v>4707</v>
      </c>
      <c r="D1291" s="144" t="s">
        <v>985</v>
      </c>
      <c r="E1291" s="150" t="s">
        <v>2476</v>
      </c>
      <c r="F1291" s="144" t="s">
        <v>2477</v>
      </c>
      <c r="G1291" s="166"/>
      <c r="H1291" s="151">
        <v>1</v>
      </c>
      <c r="I1291" s="160">
        <v>500</v>
      </c>
      <c r="J1291" s="159">
        <v>500</v>
      </c>
      <c r="K1291" s="161">
        <v>500</v>
      </c>
      <c r="L1291" s="159">
        <v>500</v>
      </c>
      <c r="M1291" s="160">
        <v>500</v>
      </c>
      <c r="N1291" s="145"/>
      <c r="O1291" s="156" t="s">
        <v>135</v>
      </c>
      <c r="P1291" s="144" t="s">
        <v>2478</v>
      </c>
      <c r="Q1291" s="147"/>
      <c r="R1291" s="146"/>
      <c r="S1291" s="157"/>
      <c r="T1291" s="144" t="s">
        <v>29</v>
      </c>
      <c r="U1291" s="150" t="s">
        <v>2479</v>
      </c>
      <c r="V1291" s="146">
        <v>2800</v>
      </c>
      <c r="W1291" s="148"/>
      <c r="X1291" s="149">
        <v>45689</v>
      </c>
      <c r="Y1291" s="165" t="s">
        <v>2470</v>
      </c>
    </row>
    <row r="1292" spans="1:25">
      <c r="A1292" s="163" t="s">
        <v>7</v>
      </c>
      <c r="B1292" s="144" t="s">
        <v>2463</v>
      </c>
      <c r="C1292" s="164" t="s">
        <v>4707</v>
      </c>
      <c r="D1292" s="144" t="s">
        <v>985</v>
      </c>
      <c r="E1292" s="150" t="s">
        <v>2466</v>
      </c>
      <c r="F1292" s="144" t="s">
        <v>2467</v>
      </c>
      <c r="G1292" s="166"/>
      <c r="H1292" s="151">
        <v>160</v>
      </c>
      <c r="I1292" s="160">
        <v>4.2</v>
      </c>
      <c r="J1292" s="159">
        <v>4.2</v>
      </c>
      <c r="K1292" s="161">
        <v>672</v>
      </c>
      <c r="L1292" s="159">
        <v>672</v>
      </c>
      <c r="M1292" s="160">
        <v>672</v>
      </c>
      <c r="N1292" s="145">
        <v>1000</v>
      </c>
      <c r="O1292" s="156" t="s">
        <v>135</v>
      </c>
      <c r="P1292" s="144" t="s">
        <v>2468</v>
      </c>
      <c r="Q1292" s="147"/>
      <c r="R1292" s="146"/>
      <c r="S1292" s="157"/>
      <c r="T1292" s="144" t="s">
        <v>29</v>
      </c>
      <c r="U1292" s="150" t="s">
        <v>20</v>
      </c>
      <c r="V1292" s="146">
        <v>2800</v>
      </c>
      <c r="W1292" s="148"/>
      <c r="X1292" s="149">
        <v>45689</v>
      </c>
      <c r="Y1292" s="165" t="s">
        <v>2470</v>
      </c>
    </row>
    <row r="1293" spans="1:25">
      <c r="A1293" s="163" t="s">
        <v>7</v>
      </c>
      <c r="B1293" s="144" t="s">
        <v>163</v>
      </c>
      <c r="C1293" s="164" t="s">
        <v>1831</v>
      </c>
      <c r="D1293" s="144" t="s">
        <v>1573</v>
      </c>
      <c r="E1293" s="150" t="s">
        <v>3100</v>
      </c>
      <c r="F1293" s="144" t="s">
        <v>2556</v>
      </c>
      <c r="G1293" s="166" t="s">
        <v>4708</v>
      </c>
      <c r="H1293" s="151">
        <v>1</v>
      </c>
      <c r="I1293" s="160"/>
      <c r="J1293" s="159">
        <v>400</v>
      </c>
      <c r="K1293" s="161"/>
      <c r="L1293" s="159">
        <v>400</v>
      </c>
      <c r="M1293" s="160">
        <v>400</v>
      </c>
      <c r="N1293" s="145"/>
      <c r="O1293" s="156" t="s">
        <v>166</v>
      </c>
      <c r="P1293" s="144" t="s">
        <v>2468</v>
      </c>
      <c r="Q1293" s="147"/>
      <c r="R1293" s="146">
        <v>2043</v>
      </c>
      <c r="S1293" s="157"/>
      <c r="T1293" s="144" t="s">
        <v>25</v>
      </c>
      <c r="U1293" s="150" t="s">
        <v>13</v>
      </c>
      <c r="V1293" s="146">
        <v>1192</v>
      </c>
      <c r="W1293" s="148"/>
      <c r="X1293" s="149">
        <v>45901</v>
      </c>
      <c r="Y1293" s="165" t="s">
        <v>2596</v>
      </c>
    </row>
    <row r="1294" spans="1:25">
      <c r="A1294" s="163" t="s">
        <v>7</v>
      </c>
      <c r="B1294" s="144" t="s">
        <v>163</v>
      </c>
      <c r="C1294" s="164" t="s">
        <v>1093</v>
      </c>
      <c r="D1294" s="144" t="s">
        <v>1157</v>
      </c>
      <c r="E1294" s="150" t="s">
        <v>2555</v>
      </c>
      <c r="F1294" s="144" t="s">
        <v>2556</v>
      </c>
      <c r="G1294" s="166" t="s">
        <v>1095</v>
      </c>
      <c r="H1294" s="151">
        <v>1</v>
      </c>
      <c r="I1294" s="160">
        <v>320</v>
      </c>
      <c r="J1294" s="159">
        <v>320</v>
      </c>
      <c r="K1294" s="161">
        <v>320</v>
      </c>
      <c r="L1294" s="159">
        <v>320</v>
      </c>
      <c r="M1294" s="160">
        <v>320</v>
      </c>
      <c r="N1294" s="145"/>
      <c r="O1294" s="156" t="s">
        <v>166</v>
      </c>
      <c r="P1294" s="144" t="s">
        <v>2468</v>
      </c>
      <c r="Q1294" s="147">
        <v>45444</v>
      </c>
      <c r="R1294" s="146">
        <v>2053</v>
      </c>
      <c r="S1294" s="157"/>
      <c r="T1294" s="144" t="s">
        <v>25</v>
      </c>
      <c r="U1294" s="150" t="s">
        <v>14</v>
      </c>
      <c r="V1294" s="146">
        <v>1193</v>
      </c>
      <c r="W1294" s="148"/>
      <c r="X1294" s="149">
        <v>45689</v>
      </c>
      <c r="Y1294" s="165" t="s">
        <v>2558</v>
      </c>
    </row>
    <row r="1295" spans="1:25">
      <c r="A1295" s="163" t="s">
        <v>565</v>
      </c>
      <c r="B1295" s="144" t="s">
        <v>163</v>
      </c>
      <c r="C1295" s="164" t="s">
        <v>1545</v>
      </c>
      <c r="D1295" s="144" t="s">
        <v>1546</v>
      </c>
      <c r="E1295" s="150" t="s">
        <v>3100</v>
      </c>
      <c r="F1295" s="144" t="s">
        <v>2556</v>
      </c>
      <c r="G1295" s="166" t="s">
        <v>1547</v>
      </c>
      <c r="H1295" s="151">
        <v>1</v>
      </c>
      <c r="I1295" s="160"/>
      <c r="J1295" s="159">
        <v>140</v>
      </c>
      <c r="K1295" s="161"/>
      <c r="L1295" s="159">
        <v>140</v>
      </c>
      <c r="M1295" s="160">
        <v>140</v>
      </c>
      <c r="N1295" s="145"/>
      <c r="O1295" s="156" t="s">
        <v>166</v>
      </c>
      <c r="P1295" s="144" t="s">
        <v>2468</v>
      </c>
      <c r="Q1295" s="147"/>
      <c r="R1295" s="146">
        <v>2050</v>
      </c>
      <c r="S1295" s="157"/>
      <c r="T1295" s="144" t="s">
        <v>25</v>
      </c>
      <c r="U1295" s="150" t="s">
        <v>13</v>
      </c>
      <c r="V1295" s="146">
        <v>1194</v>
      </c>
      <c r="W1295" s="148"/>
      <c r="X1295" s="149">
        <v>45689</v>
      </c>
      <c r="Y1295" s="165" t="s">
        <v>3069</v>
      </c>
    </row>
    <row r="1296" spans="1:25">
      <c r="A1296" s="163" t="s">
        <v>565</v>
      </c>
      <c r="B1296" s="144" t="s">
        <v>163</v>
      </c>
      <c r="C1296" s="164" t="s">
        <v>1545</v>
      </c>
      <c r="D1296" s="144" t="s">
        <v>1546</v>
      </c>
      <c r="E1296" s="150" t="s">
        <v>3100</v>
      </c>
      <c r="F1296" s="144" t="s">
        <v>2556</v>
      </c>
      <c r="G1296" s="166" t="s">
        <v>1547</v>
      </c>
      <c r="H1296" s="151">
        <v>1</v>
      </c>
      <c r="I1296" s="160"/>
      <c r="J1296" s="159">
        <v>68</v>
      </c>
      <c r="K1296" s="161"/>
      <c r="L1296" s="159">
        <v>68</v>
      </c>
      <c r="M1296" s="160">
        <v>68</v>
      </c>
      <c r="N1296" s="145"/>
      <c r="O1296" s="156" t="s">
        <v>166</v>
      </c>
      <c r="P1296" s="144" t="s">
        <v>2468</v>
      </c>
      <c r="Q1296" s="147"/>
      <c r="R1296" s="146">
        <v>2050</v>
      </c>
      <c r="S1296" s="157"/>
      <c r="T1296" s="144" t="s">
        <v>25</v>
      </c>
      <c r="U1296" s="150" t="s">
        <v>13</v>
      </c>
      <c r="V1296" s="146">
        <v>1194</v>
      </c>
      <c r="W1296" s="148"/>
      <c r="X1296" s="149">
        <v>45689</v>
      </c>
      <c r="Y1296" s="165" t="s">
        <v>3069</v>
      </c>
    </row>
    <row r="1297" spans="1:25">
      <c r="A1297" s="163" t="s">
        <v>565</v>
      </c>
      <c r="B1297" s="144" t="s">
        <v>163</v>
      </c>
      <c r="C1297" s="164" t="s">
        <v>2278</v>
      </c>
      <c r="D1297" s="144" t="s">
        <v>1546</v>
      </c>
      <c r="E1297" s="150" t="s">
        <v>2555</v>
      </c>
      <c r="F1297" s="144" t="s">
        <v>2556</v>
      </c>
      <c r="G1297" s="166" t="s">
        <v>4709</v>
      </c>
      <c r="H1297" s="151">
        <v>1</v>
      </c>
      <c r="I1297" s="160">
        <v>58</v>
      </c>
      <c r="J1297" s="159">
        <v>58</v>
      </c>
      <c r="K1297" s="161">
        <v>58</v>
      </c>
      <c r="L1297" s="159">
        <v>58</v>
      </c>
      <c r="M1297" s="160">
        <v>58</v>
      </c>
      <c r="N1297" s="145"/>
      <c r="O1297" s="156" t="s">
        <v>166</v>
      </c>
      <c r="P1297" s="144" t="s">
        <v>2468</v>
      </c>
      <c r="Q1297" s="147"/>
      <c r="R1297" s="146">
        <v>2050</v>
      </c>
      <c r="S1297" s="157"/>
      <c r="T1297" s="144" t="s">
        <v>25</v>
      </c>
      <c r="U1297" s="150" t="s">
        <v>14</v>
      </c>
      <c r="V1297" s="146">
        <v>1195</v>
      </c>
      <c r="W1297" s="148"/>
      <c r="X1297" s="149">
        <v>45689</v>
      </c>
      <c r="Y1297" s="165" t="s">
        <v>2541</v>
      </c>
    </row>
    <row r="1298" spans="1:25">
      <c r="A1298" s="163" t="s">
        <v>7</v>
      </c>
      <c r="B1298" s="144" t="s">
        <v>2463</v>
      </c>
      <c r="C1298" s="164" t="s">
        <v>4710</v>
      </c>
      <c r="D1298" s="144" t="s">
        <v>4710</v>
      </c>
      <c r="E1298" s="150" t="s">
        <v>2466</v>
      </c>
      <c r="F1298" s="144" t="s">
        <v>2467</v>
      </c>
      <c r="G1298" s="166"/>
      <c r="H1298" s="151">
        <v>1</v>
      </c>
      <c r="I1298" s="160"/>
      <c r="J1298" s="159">
        <v>100</v>
      </c>
      <c r="K1298" s="161"/>
      <c r="L1298" s="159">
        <v>100</v>
      </c>
      <c r="M1298" s="160">
        <v>100</v>
      </c>
      <c r="N1298" s="145">
        <v>100</v>
      </c>
      <c r="O1298" s="156" t="s">
        <v>28</v>
      </c>
      <c r="P1298" s="144" t="s">
        <v>2468</v>
      </c>
      <c r="Q1298" s="147">
        <v>46722</v>
      </c>
      <c r="R1298" s="146">
        <v>2047</v>
      </c>
      <c r="S1298" s="157"/>
      <c r="T1298" s="144" t="s">
        <v>28</v>
      </c>
      <c r="U1298" s="150" t="s">
        <v>20</v>
      </c>
      <c r="V1298" s="146">
        <v>2517</v>
      </c>
      <c r="W1298" s="148" t="s">
        <v>4711</v>
      </c>
      <c r="X1298" s="149">
        <v>45901</v>
      </c>
      <c r="Y1298" s="165" t="s">
        <v>2596</v>
      </c>
    </row>
    <row r="1299" spans="1:25">
      <c r="A1299" s="163" t="s">
        <v>7</v>
      </c>
      <c r="B1299" s="144" t="s">
        <v>2463</v>
      </c>
      <c r="C1299" s="164" t="s">
        <v>4712</v>
      </c>
      <c r="D1299" s="144" t="s">
        <v>4713</v>
      </c>
      <c r="E1299" s="150" t="s">
        <v>2466</v>
      </c>
      <c r="F1299" s="144" t="s">
        <v>2467</v>
      </c>
      <c r="G1299" s="166"/>
      <c r="H1299" s="151">
        <v>1</v>
      </c>
      <c r="I1299" s="160"/>
      <c r="J1299" s="159">
        <v>100</v>
      </c>
      <c r="K1299" s="161"/>
      <c r="L1299" s="159">
        <v>100</v>
      </c>
      <c r="M1299" s="160">
        <v>100</v>
      </c>
      <c r="N1299" s="145">
        <v>200</v>
      </c>
      <c r="O1299" s="156" t="s">
        <v>28</v>
      </c>
      <c r="P1299" s="144" t="s">
        <v>2468</v>
      </c>
      <c r="Q1299" s="147">
        <v>46722</v>
      </c>
      <c r="R1299" s="146">
        <v>2047</v>
      </c>
      <c r="S1299" s="157"/>
      <c r="T1299" s="144" t="s">
        <v>28</v>
      </c>
      <c r="U1299" s="150" t="s">
        <v>20</v>
      </c>
      <c r="V1299" s="146">
        <v>3036</v>
      </c>
      <c r="W1299" s="148"/>
      <c r="X1299" s="149">
        <v>45901</v>
      </c>
      <c r="Y1299" s="165" t="s">
        <v>2596</v>
      </c>
    </row>
    <row r="1300" spans="1:25">
      <c r="A1300" s="163" t="s">
        <v>7</v>
      </c>
      <c r="B1300" s="144" t="s">
        <v>2463</v>
      </c>
      <c r="C1300" s="164" t="s">
        <v>4714</v>
      </c>
      <c r="D1300" s="144" t="s">
        <v>4715</v>
      </c>
      <c r="E1300" s="150" t="s">
        <v>2466</v>
      </c>
      <c r="F1300" s="144" t="s">
        <v>2467</v>
      </c>
      <c r="G1300" s="166"/>
      <c r="H1300" s="151">
        <v>135</v>
      </c>
      <c r="I1300" s="160">
        <v>2.2200000000000002</v>
      </c>
      <c r="J1300" s="159">
        <v>2.2200000000000002</v>
      </c>
      <c r="K1300" s="161">
        <v>299.7</v>
      </c>
      <c r="L1300" s="159">
        <v>299.7</v>
      </c>
      <c r="M1300" s="160">
        <v>299.7</v>
      </c>
      <c r="N1300" s="145">
        <v>0</v>
      </c>
      <c r="O1300" s="156" t="s">
        <v>135</v>
      </c>
      <c r="P1300" s="144" t="s">
        <v>2468</v>
      </c>
      <c r="Q1300" s="147"/>
      <c r="R1300" s="146"/>
      <c r="S1300" s="157"/>
      <c r="T1300" s="144" t="s">
        <v>29</v>
      </c>
      <c r="U1300" s="150" t="s">
        <v>20</v>
      </c>
      <c r="V1300" s="146">
        <v>2866</v>
      </c>
      <c r="W1300" s="148" t="s">
        <v>4716</v>
      </c>
      <c r="X1300" s="149">
        <v>45901</v>
      </c>
      <c r="Y1300" s="165" t="s">
        <v>2924</v>
      </c>
    </row>
    <row r="1301" spans="1:25">
      <c r="A1301" s="163" t="s">
        <v>309</v>
      </c>
      <c r="B1301" s="144" t="s">
        <v>2463</v>
      </c>
      <c r="C1301" s="164" t="s">
        <v>4717</v>
      </c>
      <c r="D1301" s="144" t="s">
        <v>4718</v>
      </c>
      <c r="E1301" s="150" t="s">
        <v>2466</v>
      </c>
      <c r="F1301" s="144" t="s">
        <v>2467</v>
      </c>
      <c r="G1301" s="166"/>
      <c r="H1301" s="151">
        <v>1</v>
      </c>
      <c r="I1301" s="160">
        <v>100</v>
      </c>
      <c r="J1301" s="159">
        <v>100</v>
      </c>
      <c r="K1301" s="161">
        <v>100</v>
      </c>
      <c r="L1301" s="159">
        <v>100</v>
      </c>
      <c r="M1301" s="160">
        <v>100</v>
      </c>
      <c r="N1301" s="145">
        <v>0</v>
      </c>
      <c r="O1301" s="156" t="s">
        <v>135</v>
      </c>
      <c r="P1301" s="144" t="s">
        <v>2468</v>
      </c>
      <c r="Q1301" s="147"/>
      <c r="R1301" s="146"/>
      <c r="S1301" s="157"/>
      <c r="T1301" s="144" t="s">
        <v>29</v>
      </c>
      <c r="U1301" s="150" t="s">
        <v>20</v>
      </c>
      <c r="V1301" s="146">
        <v>2303</v>
      </c>
      <c r="W1301" s="148" t="s">
        <v>4719</v>
      </c>
      <c r="X1301" s="149">
        <v>45901</v>
      </c>
      <c r="Y1301" s="165" t="s">
        <v>4083</v>
      </c>
    </row>
    <row r="1302" spans="1:25">
      <c r="A1302" s="163" t="s">
        <v>309</v>
      </c>
      <c r="B1302" s="144" t="s">
        <v>2463</v>
      </c>
      <c r="C1302" s="164" t="s">
        <v>4720</v>
      </c>
      <c r="D1302" s="144" t="s">
        <v>4721</v>
      </c>
      <c r="E1302" s="150" t="s">
        <v>2485</v>
      </c>
      <c r="F1302" s="144" t="s">
        <v>2486</v>
      </c>
      <c r="G1302" s="166"/>
      <c r="H1302" s="151">
        <v>1</v>
      </c>
      <c r="I1302" s="160"/>
      <c r="J1302" s="159">
        <v>1800</v>
      </c>
      <c r="K1302" s="161"/>
      <c r="L1302" s="159">
        <v>1800</v>
      </c>
      <c r="M1302" s="160">
        <v>1800</v>
      </c>
      <c r="N1302" s="145"/>
      <c r="O1302" s="156" t="s">
        <v>135</v>
      </c>
      <c r="P1302" s="144" t="s">
        <v>2478</v>
      </c>
      <c r="Q1302" s="147"/>
      <c r="R1302" s="146"/>
      <c r="S1302" s="157"/>
      <c r="T1302" s="144" t="s">
        <v>29</v>
      </c>
      <c r="U1302" s="150" t="s">
        <v>17</v>
      </c>
      <c r="V1302" s="146">
        <v>2779</v>
      </c>
      <c r="W1302" s="148" t="s">
        <v>4722</v>
      </c>
      <c r="X1302" s="149">
        <v>45901</v>
      </c>
      <c r="Y1302" s="165" t="s">
        <v>4396</v>
      </c>
    </row>
    <row r="1303" spans="1:25">
      <c r="A1303" s="163" t="s">
        <v>7</v>
      </c>
      <c r="B1303" s="144" t="s">
        <v>163</v>
      </c>
      <c r="C1303" s="164" t="s">
        <v>2269</v>
      </c>
      <c r="D1303" s="144" t="s">
        <v>4723</v>
      </c>
      <c r="E1303" s="150" t="s">
        <v>2485</v>
      </c>
      <c r="F1303" s="144" t="s">
        <v>2486</v>
      </c>
      <c r="G1303" s="166" t="s">
        <v>4724</v>
      </c>
      <c r="H1303" s="151">
        <v>9</v>
      </c>
      <c r="I1303" s="160"/>
      <c r="J1303" s="159">
        <v>3</v>
      </c>
      <c r="K1303" s="161"/>
      <c r="L1303" s="159">
        <v>27</v>
      </c>
      <c r="M1303" s="160">
        <v>27</v>
      </c>
      <c r="N1303" s="145"/>
      <c r="O1303" s="156" t="s">
        <v>166</v>
      </c>
      <c r="P1303" s="144" t="s">
        <v>2478</v>
      </c>
      <c r="Q1303" s="147"/>
      <c r="R1303" s="146">
        <v>2040</v>
      </c>
      <c r="S1303" s="157"/>
      <c r="T1303" s="144" t="s">
        <v>25</v>
      </c>
      <c r="U1303" s="150" t="s">
        <v>17</v>
      </c>
      <c r="V1303" s="146">
        <v>1196</v>
      </c>
      <c r="W1303" s="148"/>
      <c r="X1303" s="149">
        <v>45778</v>
      </c>
      <c r="Y1303" s="165" t="s">
        <v>3050</v>
      </c>
    </row>
    <row r="1304" spans="1:25">
      <c r="A1304" s="163" t="s">
        <v>7</v>
      </c>
      <c r="B1304" s="144" t="s">
        <v>163</v>
      </c>
      <c r="C1304" s="164" t="s">
        <v>2269</v>
      </c>
      <c r="D1304" s="144" t="s">
        <v>4723</v>
      </c>
      <c r="E1304" s="150" t="s">
        <v>2485</v>
      </c>
      <c r="F1304" s="144" t="s">
        <v>2486</v>
      </c>
      <c r="G1304" s="166" t="s">
        <v>4724</v>
      </c>
      <c r="H1304" s="151">
        <v>21</v>
      </c>
      <c r="I1304" s="160"/>
      <c r="J1304" s="159">
        <v>1.8</v>
      </c>
      <c r="K1304" s="161"/>
      <c r="L1304" s="159">
        <v>37.799999999999997</v>
      </c>
      <c r="M1304" s="160">
        <v>37.799999999999997</v>
      </c>
      <c r="N1304" s="145"/>
      <c r="O1304" s="156" t="s">
        <v>166</v>
      </c>
      <c r="P1304" s="144" t="s">
        <v>2478</v>
      </c>
      <c r="Q1304" s="147"/>
      <c r="R1304" s="146">
        <v>2040</v>
      </c>
      <c r="S1304" s="157"/>
      <c r="T1304" s="144" t="s">
        <v>25</v>
      </c>
      <c r="U1304" s="150" t="s">
        <v>17</v>
      </c>
      <c r="V1304" s="146">
        <v>1196</v>
      </c>
      <c r="W1304" s="148"/>
      <c r="X1304" s="149">
        <v>45778</v>
      </c>
      <c r="Y1304" s="165" t="s">
        <v>3050</v>
      </c>
    </row>
    <row r="1305" spans="1:25">
      <c r="A1305" s="163" t="s">
        <v>7</v>
      </c>
      <c r="B1305" s="144" t="s">
        <v>163</v>
      </c>
      <c r="C1305" s="164" t="s">
        <v>2269</v>
      </c>
      <c r="D1305" s="144" t="s">
        <v>4723</v>
      </c>
      <c r="E1305" s="150" t="s">
        <v>2485</v>
      </c>
      <c r="F1305" s="144" t="s">
        <v>2486</v>
      </c>
      <c r="G1305" s="166" t="s">
        <v>4724</v>
      </c>
      <c r="H1305" s="151">
        <v>21</v>
      </c>
      <c r="I1305" s="160"/>
      <c r="J1305" s="159">
        <v>2</v>
      </c>
      <c r="K1305" s="161"/>
      <c r="L1305" s="159">
        <v>42</v>
      </c>
      <c r="M1305" s="160">
        <v>42</v>
      </c>
      <c r="N1305" s="145"/>
      <c r="O1305" s="156" t="s">
        <v>166</v>
      </c>
      <c r="P1305" s="144" t="s">
        <v>2478</v>
      </c>
      <c r="Q1305" s="147"/>
      <c r="R1305" s="146">
        <v>2040</v>
      </c>
      <c r="S1305" s="157"/>
      <c r="T1305" s="144" t="s">
        <v>25</v>
      </c>
      <c r="U1305" s="150" t="s">
        <v>17</v>
      </c>
      <c r="V1305" s="146">
        <v>1196</v>
      </c>
      <c r="W1305" s="148"/>
      <c r="X1305" s="149">
        <v>45778</v>
      </c>
      <c r="Y1305" s="165" t="s">
        <v>3050</v>
      </c>
    </row>
    <row r="1306" spans="1:25">
      <c r="A1306" s="163" t="s">
        <v>309</v>
      </c>
      <c r="B1306" s="144" t="s">
        <v>163</v>
      </c>
      <c r="C1306" s="164" t="s">
        <v>1049</v>
      </c>
      <c r="D1306" s="144" t="s">
        <v>357</v>
      </c>
      <c r="E1306" s="150" t="s">
        <v>2639</v>
      </c>
      <c r="F1306" s="144" t="s">
        <v>2640</v>
      </c>
      <c r="G1306" s="166" t="s">
        <v>1102</v>
      </c>
      <c r="H1306" s="151">
        <v>1</v>
      </c>
      <c r="I1306" s="160"/>
      <c r="J1306" s="159">
        <v>350</v>
      </c>
      <c r="K1306" s="161"/>
      <c r="L1306" s="159">
        <v>350</v>
      </c>
      <c r="M1306" s="160">
        <v>350</v>
      </c>
      <c r="N1306" s="145"/>
      <c r="O1306" s="156" t="s">
        <v>166</v>
      </c>
      <c r="P1306" s="144" t="s">
        <v>2468</v>
      </c>
      <c r="Q1306" s="147"/>
      <c r="R1306" s="146">
        <v>2036</v>
      </c>
      <c r="S1306" s="157"/>
      <c r="T1306" s="144" t="s">
        <v>25</v>
      </c>
      <c r="U1306" s="150" t="s">
        <v>12</v>
      </c>
      <c r="V1306" s="146">
        <v>1197</v>
      </c>
      <c r="W1306" s="148"/>
      <c r="X1306" s="149">
        <v>45689</v>
      </c>
      <c r="Y1306" s="165" t="s">
        <v>2574</v>
      </c>
    </row>
    <row r="1307" spans="1:25">
      <c r="A1307" s="163" t="s">
        <v>309</v>
      </c>
      <c r="B1307" s="144" t="s">
        <v>163</v>
      </c>
      <c r="C1307" s="164" t="s">
        <v>1049</v>
      </c>
      <c r="D1307" s="144" t="s">
        <v>357</v>
      </c>
      <c r="E1307" s="150" t="s">
        <v>2639</v>
      </c>
      <c r="F1307" s="144" t="s">
        <v>2640</v>
      </c>
      <c r="G1307" s="166" t="s">
        <v>1104</v>
      </c>
      <c r="H1307" s="151">
        <v>1</v>
      </c>
      <c r="I1307" s="160"/>
      <c r="J1307" s="159">
        <v>350</v>
      </c>
      <c r="K1307" s="161"/>
      <c r="L1307" s="159">
        <v>350</v>
      </c>
      <c r="M1307" s="160">
        <v>350</v>
      </c>
      <c r="N1307" s="145"/>
      <c r="O1307" s="156" t="s">
        <v>166</v>
      </c>
      <c r="P1307" s="144" t="s">
        <v>2468</v>
      </c>
      <c r="Q1307" s="147"/>
      <c r="R1307" s="146">
        <v>2036</v>
      </c>
      <c r="S1307" s="157"/>
      <c r="T1307" s="144" t="s">
        <v>25</v>
      </c>
      <c r="U1307" s="150" t="s">
        <v>12</v>
      </c>
      <c r="V1307" s="146">
        <v>1197</v>
      </c>
      <c r="W1307" s="148"/>
      <c r="X1307" s="149">
        <v>45689</v>
      </c>
      <c r="Y1307" s="165" t="s">
        <v>2574</v>
      </c>
    </row>
    <row r="1308" spans="1:25">
      <c r="A1308" s="163" t="s">
        <v>309</v>
      </c>
      <c r="B1308" s="144" t="s">
        <v>163</v>
      </c>
      <c r="C1308" s="164" t="s">
        <v>1049</v>
      </c>
      <c r="D1308" s="144" t="s">
        <v>357</v>
      </c>
      <c r="E1308" s="150" t="s">
        <v>2639</v>
      </c>
      <c r="F1308" s="144" t="s">
        <v>2640</v>
      </c>
      <c r="G1308" s="166" t="s">
        <v>4725</v>
      </c>
      <c r="H1308" s="151">
        <v>1</v>
      </c>
      <c r="I1308" s="160"/>
      <c r="J1308" s="159">
        <v>350</v>
      </c>
      <c r="K1308" s="161"/>
      <c r="L1308" s="159">
        <v>350</v>
      </c>
      <c r="M1308" s="160">
        <v>350</v>
      </c>
      <c r="N1308" s="145"/>
      <c r="O1308" s="156" t="s">
        <v>166</v>
      </c>
      <c r="P1308" s="144" t="s">
        <v>2468</v>
      </c>
      <c r="Q1308" s="147"/>
      <c r="R1308" s="146">
        <v>2037</v>
      </c>
      <c r="S1308" s="157"/>
      <c r="T1308" s="144" t="s">
        <v>25</v>
      </c>
      <c r="U1308" s="150" t="s">
        <v>12</v>
      </c>
      <c r="V1308" s="146">
        <v>1197</v>
      </c>
      <c r="W1308" s="148"/>
      <c r="X1308" s="149">
        <v>45689</v>
      </c>
      <c r="Y1308" s="165" t="s">
        <v>2574</v>
      </c>
    </row>
    <row r="1309" spans="1:25">
      <c r="A1309" s="163" t="s">
        <v>309</v>
      </c>
      <c r="B1309" s="144" t="s">
        <v>163</v>
      </c>
      <c r="C1309" s="164" t="s">
        <v>1049</v>
      </c>
      <c r="D1309" s="144" t="s">
        <v>357</v>
      </c>
      <c r="E1309" s="150" t="s">
        <v>2639</v>
      </c>
      <c r="F1309" s="144" t="s">
        <v>2640</v>
      </c>
      <c r="G1309" s="166" t="s">
        <v>4726</v>
      </c>
      <c r="H1309" s="151">
        <v>1</v>
      </c>
      <c r="I1309" s="160"/>
      <c r="J1309" s="159">
        <v>350</v>
      </c>
      <c r="K1309" s="161"/>
      <c r="L1309" s="159">
        <v>350</v>
      </c>
      <c r="M1309" s="160">
        <v>350</v>
      </c>
      <c r="N1309" s="145"/>
      <c r="O1309" s="156" t="s">
        <v>166</v>
      </c>
      <c r="P1309" s="144" t="s">
        <v>2468</v>
      </c>
      <c r="Q1309" s="147"/>
      <c r="R1309" s="146">
        <v>2037</v>
      </c>
      <c r="S1309" s="157"/>
      <c r="T1309" s="144" t="s">
        <v>25</v>
      </c>
      <c r="U1309" s="150" t="s">
        <v>12</v>
      </c>
      <c r="V1309" s="146">
        <v>1197</v>
      </c>
      <c r="W1309" s="148"/>
      <c r="X1309" s="149">
        <v>45689</v>
      </c>
      <c r="Y1309" s="165" t="s">
        <v>2574</v>
      </c>
    </row>
    <row r="1310" spans="1:25">
      <c r="A1310" s="163" t="s">
        <v>309</v>
      </c>
      <c r="B1310" s="144" t="s">
        <v>2463</v>
      </c>
      <c r="C1310" s="164" t="s">
        <v>356</v>
      </c>
      <c r="D1310" s="144" t="s">
        <v>357</v>
      </c>
      <c r="E1310" s="150" t="s">
        <v>2466</v>
      </c>
      <c r="F1310" s="144" t="s">
        <v>2467</v>
      </c>
      <c r="G1310" s="166" t="s">
        <v>358</v>
      </c>
      <c r="H1310" s="151">
        <v>1</v>
      </c>
      <c r="I1310" s="160"/>
      <c r="J1310" s="159">
        <v>300</v>
      </c>
      <c r="K1310" s="161"/>
      <c r="L1310" s="159">
        <v>300</v>
      </c>
      <c r="M1310" s="160">
        <v>300</v>
      </c>
      <c r="N1310" s="145">
        <v>600</v>
      </c>
      <c r="O1310" s="156" t="s">
        <v>134</v>
      </c>
      <c r="P1310" s="144" t="s">
        <v>2468</v>
      </c>
      <c r="Q1310" s="147">
        <v>45992</v>
      </c>
      <c r="R1310" s="146">
        <v>2045</v>
      </c>
      <c r="S1310" s="157"/>
      <c r="T1310" s="144" t="s">
        <v>27</v>
      </c>
      <c r="U1310" s="150" t="s">
        <v>20</v>
      </c>
      <c r="V1310" s="146">
        <v>2434</v>
      </c>
      <c r="W1310" s="148" t="s">
        <v>4727</v>
      </c>
      <c r="X1310" s="149">
        <v>45901</v>
      </c>
      <c r="Y1310" s="165" t="s">
        <v>3759</v>
      </c>
    </row>
    <row r="1311" spans="1:25">
      <c r="A1311" s="163" t="s">
        <v>309</v>
      </c>
      <c r="B1311" s="144" t="s">
        <v>163</v>
      </c>
      <c r="C1311" s="164" t="s">
        <v>4728</v>
      </c>
      <c r="D1311" s="144" t="s">
        <v>357</v>
      </c>
      <c r="E1311" s="150" t="s">
        <v>2918</v>
      </c>
      <c r="F1311" s="144" t="s">
        <v>2640</v>
      </c>
      <c r="G1311" s="166" t="s">
        <v>4729</v>
      </c>
      <c r="H1311" s="151">
        <v>1</v>
      </c>
      <c r="I1311" s="160">
        <v>450</v>
      </c>
      <c r="J1311" s="159">
        <v>450</v>
      </c>
      <c r="K1311" s="161">
        <v>450</v>
      </c>
      <c r="L1311" s="159">
        <v>450</v>
      </c>
      <c r="M1311" s="160">
        <v>450</v>
      </c>
      <c r="N1311" s="145"/>
      <c r="O1311" s="156" t="s">
        <v>166</v>
      </c>
      <c r="P1311" s="144" t="s">
        <v>2468</v>
      </c>
      <c r="Q1311" s="147"/>
      <c r="R1311" s="146">
        <v>2037</v>
      </c>
      <c r="S1311" s="157"/>
      <c r="T1311" s="144" t="s">
        <v>25</v>
      </c>
      <c r="U1311" s="150" t="s">
        <v>12</v>
      </c>
      <c r="V1311" s="146">
        <v>1199</v>
      </c>
      <c r="W1311" s="148"/>
      <c r="X1311" s="149">
        <v>45689</v>
      </c>
      <c r="Y1311" s="165" t="s">
        <v>2574</v>
      </c>
    </row>
    <row r="1312" spans="1:25">
      <c r="A1312" s="163" t="s">
        <v>309</v>
      </c>
      <c r="B1312" s="144" t="s">
        <v>2463</v>
      </c>
      <c r="C1312" s="164" t="s">
        <v>4730</v>
      </c>
      <c r="D1312" s="144" t="s">
        <v>4731</v>
      </c>
      <c r="E1312" s="150" t="s">
        <v>2485</v>
      </c>
      <c r="F1312" s="144" t="s">
        <v>2486</v>
      </c>
      <c r="G1312" s="166"/>
      <c r="H1312" s="151">
        <v>97</v>
      </c>
      <c r="I1312" s="160"/>
      <c r="J1312" s="159">
        <v>4.5</v>
      </c>
      <c r="K1312" s="161"/>
      <c r="L1312" s="159">
        <v>436.5</v>
      </c>
      <c r="M1312" s="160">
        <v>436.5</v>
      </c>
      <c r="N1312" s="145"/>
      <c r="O1312" s="156" t="s">
        <v>135</v>
      </c>
      <c r="P1312" s="144" t="s">
        <v>2478</v>
      </c>
      <c r="Q1312" s="147">
        <v>47027</v>
      </c>
      <c r="R1312" s="146">
        <v>2057</v>
      </c>
      <c r="S1312" s="157"/>
      <c r="T1312" s="144" t="s">
        <v>29</v>
      </c>
      <c r="U1312" s="150" t="s">
        <v>17</v>
      </c>
      <c r="V1312" s="146">
        <v>2252</v>
      </c>
      <c r="W1312" s="148" t="s">
        <v>4732</v>
      </c>
      <c r="X1312" s="149">
        <v>45901</v>
      </c>
      <c r="Y1312" s="165" t="s">
        <v>2490</v>
      </c>
    </row>
    <row r="1313" spans="1:25">
      <c r="A1313" s="163" t="s">
        <v>565</v>
      </c>
      <c r="B1313" s="144" t="s">
        <v>163</v>
      </c>
      <c r="C1313" s="164" t="s">
        <v>4733</v>
      </c>
      <c r="D1313" s="144" t="s">
        <v>1137</v>
      </c>
      <c r="E1313" s="150" t="s">
        <v>2593</v>
      </c>
      <c r="F1313" s="144" t="s">
        <v>2482</v>
      </c>
      <c r="G1313" s="166" t="s">
        <v>4734</v>
      </c>
      <c r="H1313" s="151">
        <v>6</v>
      </c>
      <c r="I1313" s="160">
        <v>15</v>
      </c>
      <c r="J1313" s="159">
        <v>15</v>
      </c>
      <c r="K1313" s="161">
        <v>90</v>
      </c>
      <c r="L1313" s="159">
        <v>90</v>
      </c>
      <c r="M1313" s="160">
        <v>90</v>
      </c>
      <c r="N1313" s="145"/>
      <c r="O1313" s="156" t="s">
        <v>166</v>
      </c>
      <c r="P1313" s="144" t="s">
        <v>2468</v>
      </c>
      <c r="Q1313" s="147"/>
      <c r="R1313" s="146">
        <v>2100</v>
      </c>
      <c r="S1313" s="157"/>
      <c r="T1313" s="144" t="s">
        <v>25</v>
      </c>
      <c r="U1313" s="150" t="s">
        <v>18</v>
      </c>
      <c r="V1313" s="146">
        <v>1200</v>
      </c>
      <c r="W1313" s="148"/>
      <c r="X1313" s="149">
        <v>45689</v>
      </c>
      <c r="Y1313" s="165" t="s">
        <v>2800</v>
      </c>
    </row>
    <row r="1314" spans="1:25">
      <c r="A1314" s="163" t="s">
        <v>565</v>
      </c>
      <c r="B1314" s="144" t="s">
        <v>2463</v>
      </c>
      <c r="C1314" s="164" t="s">
        <v>4735</v>
      </c>
      <c r="D1314" s="144" t="s">
        <v>1413</v>
      </c>
      <c r="E1314" s="150" t="s">
        <v>2593</v>
      </c>
      <c r="F1314" s="144" t="s">
        <v>2482</v>
      </c>
      <c r="G1314" s="166"/>
      <c r="H1314" s="151">
        <v>2</v>
      </c>
      <c r="I1314" s="160"/>
      <c r="J1314" s="159">
        <v>100</v>
      </c>
      <c r="K1314" s="161"/>
      <c r="L1314" s="159">
        <v>200</v>
      </c>
      <c r="M1314" s="160">
        <v>200</v>
      </c>
      <c r="N1314" s="145"/>
      <c r="O1314" s="156" t="s">
        <v>135</v>
      </c>
      <c r="P1314" s="144" t="s">
        <v>2468</v>
      </c>
      <c r="Q1314" s="147"/>
      <c r="R1314" s="146"/>
      <c r="S1314" s="157"/>
      <c r="T1314" s="144" t="s">
        <v>29</v>
      </c>
      <c r="U1314" s="150" t="s">
        <v>18</v>
      </c>
      <c r="V1314" s="146">
        <v>2014</v>
      </c>
      <c r="W1314" s="148" t="s">
        <v>4736</v>
      </c>
      <c r="X1314" s="149">
        <v>45689</v>
      </c>
      <c r="Y1314" s="165" t="s">
        <v>2637</v>
      </c>
    </row>
    <row r="1315" spans="1:25">
      <c r="A1315" s="163" t="s">
        <v>423</v>
      </c>
      <c r="B1315" s="144" t="s">
        <v>2463</v>
      </c>
      <c r="C1315" s="164" t="s">
        <v>4737</v>
      </c>
      <c r="D1315" s="144" t="s">
        <v>1282</v>
      </c>
      <c r="E1315" s="150" t="s">
        <v>2466</v>
      </c>
      <c r="F1315" s="144" t="s">
        <v>2467</v>
      </c>
      <c r="G1315" s="166"/>
      <c r="H1315" s="151">
        <v>1</v>
      </c>
      <c r="I1315" s="160">
        <v>200</v>
      </c>
      <c r="J1315" s="159">
        <v>200</v>
      </c>
      <c r="K1315" s="161">
        <v>200</v>
      </c>
      <c r="L1315" s="159">
        <v>200</v>
      </c>
      <c r="M1315" s="160">
        <v>200</v>
      </c>
      <c r="N1315" s="145">
        <v>400</v>
      </c>
      <c r="O1315" s="156" t="s">
        <v>135</v>
      </c>
      <c r="P1315" s="144" t="s">
        <v>2468</v>
      </c>
      <c r="Q1315" s="147"/>
      <c r="R1315" s="146"/>
      <c r="S1315" s="157"/>
      <c r="T1315" s="144" t="s">
        <v>29</v>
      </c>
      <c r="U1315" s="150" t="s">
        <v>20</v>
      </c>
      <c r="V1315" s="146">
        <v>2394</v>
      </c>
      <c r="W1315" s="148" t="s">
        <v>4738</v>
      </c>
      <c r="X1315" s="149">
        <v>45689</v>
      </c>
      <c r="Y1315" s="165" t="s">
        <v>2846</v>
      </c>
    </row>
    <row r="1316" spans="1:25">
      <c r="A1316" s="163" t="s">
        <v>423</v>
      </c>
      <c r="B1316" s="144" t="s">
        <v>2463</v>
      </c>
      <c r="C1316" s="164" t="s">
        <v>4739</v>
      </c>
      <c r="D1316" s="144" t="s">
        <v>1215</v>
      </c>
      <c r="E1316" s="150" t="s">
        <v>2555</v>
      </c>
      <c r="F1316" s="144" t="s">
        <v>2556</v>
      </c>
      <c r="G1316" s="166"/>
      <c r="H1316" s="151">
        <v>1</v>
      </c>
      <c r="I1316" s="160">
        <v>500</v>
      </c>
      <c r="J1316" s="159">
        <v>600</v>
      </c>
      <c r="K1316" s="161">
        <v>500</v>
      </c>
      <c r="L1316" s="159">
        <v>600</v>
      </c>
      <c r="M1316" s="160" t="s">
        <v>4740</v>
      </c>
      <c r="N1316" s="145"/>
      <c r="O1316" s="156" t="s">
        <v>135</v>
      </c>
      <c r="P1316" s="144" t="s">
        <v>2468</v>
      </c>
      <c r="Q1316" s="147"/>
      <c r="R1316" s="146"/>
      <c r="S1316" s="157"/>
      <c r="T1316" s="144" t="s">
        <v>29</v>
      </c>
      <c r="U1316" s="150" t="s">
        <v>14</v>
      </c>
      <c r="V1316" s="146">
        <v>1201</v>
      </c>
      <c r="W1316" s="148"/>
      <c r="X1316" s="149">
        <v>45689</v>
      </c>
      <c r="Y1316" s="165" t="s">
        <v>2558</v>
      </c>
    </row>
    <row r="1317" spans="1:25">
      <c r="A1317" s="163" t="s">
        <v>380</v>
      </c>
      <c r="B1317" s="144" t="s">
        <v>163</v>
      </c>
      <c r="C1317" s="164" t="s">
        <v>4741</v>
      </c>
      <c r="D1317" s="144" t="s">
        <v>4742</v>
      </c>
      <c r="E1317" s="150" t="s">
        <v>2501</v>
      </c>
      <c r="F1317" s="144" t="s">
        <v>2502</v>
      </c>
      <c r="G1317" s="166" t="s">
        <v>4743</v>
      </c>
      <c r="H1317" s="151">
        <v>1</v>
      </c>
      <c r="I1317" s="160">
        <v>0.5</v>
      </c>
      <c r="J1317" s="159">
        <v>0.5</v>
      </c>
      <c r="K1317" s="161">
        <v>0.5</v>
      </c>
      <c r="L1317" s="159">
        <v>0.5</v>
      </c>
      <c r="M1317" s="160">
        <v>0.5</v>
      </c>
      <c r="N1317" s="145"/>
      <c r="O1317" s="156" t="s">
        <v>166</v>
      </c>
      <c r="P1317" s="144" t="s">
        <v>2480</v>
      </c>
      <c r="Q1317" s="147"/>
      <c r="R1317" s="146"/>
      <c r="S1317" s="157"/>
      <c r="T1317" s="144" t="s">
        <v>25</v>
      </c>
      <c r="U1317" s="150" t="s">
        <v>21</v>
      </c>
      <c r="V1317" s="146">
        <v>1295</v>
      </c>
      <c r="W1317" s="148"/>
      <c r="X1317" s="149">
        <v>45566</v>
      </c>
      <c r="Y1317" s="165" t="s">
        <v>4744</v>
      </c>
    </row>
    <row r="1318" spans="1:25">
      <c r="A1318" s="163" t="s">
        <v>423</v>
      </c>
      <c r="B1318" s="144" t="s">
        <v>163</v>
      </c>
      <c r="C1318" s="164" t="s">
        <v>4745</v>
      </c>
      <c r="D1318" s="144" t="s">
        <v>957</v>
      </c>
      <c r="E1318" s="150" t="s">
        <v>2506</v>
      </c>
      <c r="F1318" s="144" t="s">
        <v>2741</v>
      </c>
      <c r="G1318" s="166" t="s">
        <v>4746</v>
      </c>
      <c r="H1318" s="151">
        <v>1</v>
      </c>
      <c r="I1318" s="160">
        <v>1.1000000000000001</v>
      </c>
      <c r="J1318" s="159">
        <v>1.1000000000000001</v>
      </c>
      <c r="K1318" s="161">
        <v>1.1000000000000001</v>
      </c>
      <c r="L1318" s="159">
        <v>1.1000000000000001</v>
      </c>
      <c r="M1318" s="160">
        <v>1.1000000000000001</v>
      </c>
      <c r="N1318" s="145"/>
      <c r="O1318" s="156" t="s">
        <v>166</v>
      </c>
      <c r="P1318" s="144" t="s">
        <v>2480</v>
      </c>
      <c r="Q1318" s="147"/>
      <c r="R1318" s="146">
        <v>2038</v>
      </c>
      <c r="S1318" s="157"/>
      <c r="T1318" s="144" t="s">
        <v>25</v>
      </c>
      <c r="U1318" s="150" t="s">
        <v>19</v>
      </c>
      <c r="V1318" s="146">
        <v>1313</v>
      </c>
      <c r="W1318" s="148"/>
      <c r="X1318" s="149">
        <v>45566</v>
      </c>
      <c r="Y1318" s="165" t="s">
        <v>2570</v>
      </c>
    </row>
    <row r="1319" spans="1:25">
      <c r="A1319" s="163" t="s">
        <v>7</v>
      </c>
      <c r="B1319" s="144" t="s">
        <v>2463</v>
      </c>
      <c r="C1319" s="164" t="s">
        <v>4747</v>
      </c>
      <c r="D1319" s="144" t="s">
        <v>710</v>
      </c>
      <c r="E1319" s="150" t="s">
        <v>2466</v>
      </c>
      <c r="F1319" s="144" t="s">
        <v>2467</v>
      </c>
      <c r="G1319" s="166"/>
      <c r="H1319" s="151">
        <v>1</v>
      </c>
      <c r="I1319" s="160">
        <v>300</v>
      </c>
      <c r="J1319" s="159">
        <v>300</v>
      </c>
      <c r="K1319" s="161">
        <v>300</v>
      </c>
      <c r="L1319" s="159">
        <v>300</v>
      </c>
      <c r="M1319" s="160">
        <v>300</v>
      </c>
      <c r="N1319" s="145">
        <v>1200</v>
      </c>
      <c r="O1319" s="156" t="s">
        <v>135</v>
      </c>
      <c r="P1319" s="144" t="s">
        <v>2468</v>
      </c>
      <c r="Q1319" s="147"/>
      <c r="R1319" s="146"/>
      <c r="S1319" s="157"/>
      <c r="T1319" s="144" t="s">
        <v>29</v>
      </c>
      <c r="U1319" s="150" t="s">
        <v>20</v>
      </c>
      <c r="V1319" s="146">
        <v>2920</v>
      </c>
      <c r="W1319" s="148"/>
      <c r="X1319" s="149">
        <v>45778</v>
      </c>
      <c r="Y1319" s="165"/>
    </row>
    <row r="1320" spans="1:25">
      <c r="A1320" s="163" t="s">
        <v>7</v>
      </c>
      <c r="B1320" s="144" t="s">
        <v>2463</v>
      </c>
      <c r="C1320" s="164" t="s">
        <v>4748</v>
      </c>
      <c r="D1320" s="144" t="s">
        <v>710</v>
      </c>
      <c r="E1320" s="150" t="s">
        <v>2485</v>
      </c>
      <c r="F1320" s="144" t="s">
        <v>2486</v>
      </c>
      <c r="G1320" s="166"/>
      <c r="H1320" s="151">
        <v>74</v>
      </c>
      <c r="I1320" s="160">
        <v>8.11</v>
      </c>
      <c r="J1320" s="159">
        <v>8.11</v>
      </c>
      <c r="K1320" s="161">
        <v>599.99</v>
      </c>
      <c r="L1320" s="159">
        <v>599.99</v>
      </c>
      <c r="M1320" s="160">
        <v>599.99</v>
      </c>
      <c r="N1320" s="145"/>
      <c r="O1320" s="156" t="s">
        <v>135</v>
      </c>
      <c r="P1320" s="144" t="s">
        <v>2478</v>
      </c>
      <c r="Q1320" s="147">
        <v>47635</v>
      </c>
      <c r="R1320" s="146"/>
      <c r="S1320" s="157"/>
      <c r="T1320" s="144" t="s">
        <v>29</v>
      </c>
      <c r="U1320" s="150" t="s">
        <v>17</v>
      </c>
      <c r="V1320" s="146">
        <v>2719</v>
      </c>
      <c r="W1320" s="148" t="s">
        <v>4749</v>
      </c>
      <c r="X1320" s="149"/>
      <c r="Y1320" s="165" t="s">
        <v>4750</v>
      </c>
    </row>
    <row r="1321" spans="1:25">
      <c r="A1321" s="163" t="s">
        <v>309</v>
      </c>
      <c r="B1321" s="144" t="s">
        <v>2463</v>
      </c>
      <c r="C1321" s="164" t="s">
        <v>378</v>
      </c>
      <c r="D1321" s="144" t="s">
        <v>379</v>
      </c>
      <c r="E1321" s="150" t="s">
        <v>2466</v>
      </c>
      <c r="F1321" s="144" t="s">
        <v>2467</v>
      </c>
      <c r="G1321" s="166"/>
      <c r="H1321" s="151">
        <v>1</v>
      </c>
      <c r="I1321" s="160">
        <v>400</v>
      </c>
      <c r="J1321" s="159">
        <v>400</v>
      </c>
      <c r="K1321" s="161">
        <v>400</v>
      </c>
      <c r="L1321" s="159">
        <v>400</v>
      </c>
      <c r="M1321" s="160">
        <v>400</v>
      </c>
      <c r="N1321" s="145">
        <v>1600</v>
      </c>
      <c r="O1321" s="156" t="s">
        <v>28</v>
      </c>
      <c r="P1321" s="144" t="s">
        <v>2468</v>
      </c>
      <c r="Q1321" s="147">
        <v>46966</v>
      </c>
      <c r="R1321" s="146">
        <v>2053</v>
      </c>
      <c r="S1321" s="157"/>
      <c r="T1321" s="144" t="s">
        <v>28</v>
      </c>
      <c r="U1321" s="150" t="s">
        <v>20</v>
      </c>
      <c r="V1321" s="146">
        <v>2731</v>
      </c>
      <c r="W1321" s="148" t="s">
        <v>4751</v>
      </c>
      <c r="X1321" s="149">
        <v>45901</v>
      </c>
      <c r="Y1321" s="165" t="s">
        <v>2533</v>
      </c>
    </row>
    <row r="1322" spans="1:25">
      <c r="A1322" s="163" t="s">
        <v>7</v>
      </c>
      <c r="B1322" s="144" t="s">
        <v>2463</v>
      </c>
      <c r="C1322" s="164" t="s">
        <v>4752</v>
      </c>
      <c r="D1322" s="144" t="s">
        <v>4753</v>
      </c>
      <c r="E1322" s="150" t="s">
        <v>2466</v>
      </c>
      <c r="F1322" s="144" t="s">
        <v>2467</v>
      </c>
      <c r="G1322" s="166"/>
      <c r="H1322" s="151">
        <v>1</v>
      </c>
      <c r="I1322" s="160">
        <v>80</v>
      </c>
      <c r="J1322" s="159">
        <v>80</v>
      </c>
      <c r="K1322" s="161">
        <v>80</v>
      </c>
      <c r="L1322" s="159">
        <v>80</v>
      </c>
      <c r="M1322" s="160">
        <v>80</v>
      </c>
      <c r="N1322" s="145">
        <v>320</v>
      </c>
      <c r="O1322" s="156" t="s">
        <v>135</v>
      </c>
      <c r="P1322" s="144" t="s">
        <v>2468</v>
      </c>
      <c r="Q1322" s="147"/>
      <c r="R1322" s="146"/>
      <c r="S1322" s="157"/>
      <c r="T1322" s="144" t="s">
        <v>29</v>
      </c>
      <c r="U1322" s="150" t="s">
        <v>20</v>
      </c>
      <c r="V1322" s="146">
        <v>3081</v>
      </c>
      <c r="W1322" s="148"/>
      <c r="X1322" s="149"/>
      <c r="Y1322" s="165"/>
    </row>
    <row r="1323" spans="1:25">
      <c r="A1323" s="163" t="s">
        <v>380</v>
      </c>
      <c r="B1323" s="144" t="s">
        <v>2463</v>
      </c>
      <c r="C1323" s="164" t="s">
        <v>4754</v>
      </c>
      <c r="D1323" s="144" t="s">
        <v>450</v>
      </c>
      <c r="E1323" s="150" t="s">
        <v>2466</v>
      </c>
      <c r="F1323" s="144" t="s">
        <v>2467</v>
      </c>
      <c r="G1323" s="166"/>
      <c r="H1323" s="151">
        <v>1</v>
      </c>
      <c r="I1323" s="160">
        <v>200</v>
      </c>
      <c r="J1323" s="159">
        <v>200</v>
      </c>
      <c r="K1323" s="161">
        <v>200</v>
      </c>
      <c r="L1323" s="159">
        <v>200</v>
      </c>
      <c r="M1323" s="160">
        <v>200</v>
      </c>
      <c r="N1323" s="145">
        <v>400</v>
      </c>
      <c r="O1323" s="156" t="s">
        <v>135</v>
      </c>
      <c r="P1323" s="144" t="s">
        <v>2468</v>
      </c>
      <c r="Q1323" s="147"/>
      <c r="R1323" s="146"/>
      <c r="S1323" s="157"/>
      <c r="T1323" s="144" t="s">
        <v>29</v>
      </c>
      <c r="U1323" s="150" t="s">
        <v>20</v>
      </c>
      <c r="V1323" s="146">
        <v>2313</v>
      </c>
      <c r="W1323" s="148" t="s">
        <v>4755</v>
      </c>
      <c r="X1323" s="149">
        <v>45689</v>
      </c>
      <c r="Y1323" s="165" t="s">
        <v>4756</v>
      </c>
    </row>
    <row r="1324" spans="1:25">
      <c r="A1324" s="163" t="s">
        <v>380</v>
      </c>
      <c r="B1324" s="144" t="s">
        <v>163</v>
      </c>
      <c r="C1324" s="164" t="s">
        <v>386</v>
      </c>
      <c r="D1324" s="144" t="s">
        <v>387</v>
      </c>
      <c r="E1324" s="150" t="s">
        <v>2466</v>
      </c>
      <c r="F1324" s="144" t="s">
        <v>2467</v>
      </c>
      <c r="G1324" s="166" t="s">
        <v>388</v>
      </c>
      <c r="H1324" s="151">
        <v>1</v>
      </c>
      <c r="I1324" s="160">
        <v>111</v>
      </c>
      <c r="J1324" s="159">
        <v>111</v>
      </c>
      <c r="K1324" s="161">
        <v>111</v>
      </c>
      <c r="L1324" s="159">
        <v>111</v>
      </c>
      <c r="M1324" s="160">
        <v>111</v>
      </c>
      <c r="N1324" s="145">
        <v>291</v>
      </c>
      <c r="O1324" s="156" t="s">
        <v>164</v>
      </c>
      <c r="P1324" s="144" t="s">
        <v>2468</v>
      </c>
      <c r="Q1324" s="147">
        <v>45870</v>
      </c>
      <c r="R1324" s="146">
        <v>2050</v>
      </c>
      <c r="S1324" s="157"/>
      <c r="T1324" s="144" t="s">
        <v>25</v>
      </c>
      <c r="U1324" s="150" t="s">
        <v>20</v>
      </c>
      <c r="V1324" s="146">
        <v>1911</v>
      </c>
      <c r="W1324" s="148" t="s">
        <v>4757</v>
      </c>
      <c r="X1324" s="149">
        <v>45901</v>
      </c>
      <c r="Y1324" s="165" t="s">
        <v>2878</v>
      </c>
    </row>
    <row r="1325" spans="1:25">
      <c r="A1325" s="163" t="s">
        <v>7</v>
      </c>
      <c r="B1325" s="144" t="s">
        <v>2463</v>
      </c>
      <c r="C1325" s="164" t="s">
        <v>1367</v>
      </c>
      <c r="D1325" s="144" t="s">
        <v>526</v>
      </c>
      <c r="E1325" s="150" t="s">
        <v>2476</v>
      </c>
      <c r="F1325" s="144" t="s">
        <v>2477</v>
      </c>
      <c r="G1325" s="166"/>
      <c r="H1325" s="151">
        <v>7</v>
      </c>
      <c r="I1325" s="160">
        <v>4.2</v>
      </c>
      <c r="J1325" s="159">
        <v>4.2</v>
      </c>
      <c r="K1325" s="161">
        <v>29.4</v>
      </c>
      <c r="L1325" s="159">
        <v>29.4</v>
      </c>
      <c r="M1325" s="160">
        <v>29.4</v>
      </c>
      <c r="N1325" s="145"/>
      <c r="O1325" s="156" t="s">
        <v>135</v>
      </c>
      <c r="P1325" s="144" t="s">
        <v>2480</v>
      </c>
      <c r="Q1325" s="147">
        <v>46054</v>
      </c>
      <c r="R1325" s="146">
        <v>2055</v>
      </c>
      <c r="S1325" s="157"/>
      <c r="T1325" s="144" t="s">
        <v>29</v>
      </c>
      <c r="U1325" s="150" t="s">
        <v>2479</v>
      </c>
      <c r="V1325" s="146">
        <v>1714</v>
      </c>
      <c r="W1325" s="148" t="s">
        <v>4758</v>
      </c>
      <c r="X1325" s="149">
        <v>44713</v>
      </c>
      <c r="Y1325" s="165" t="s">
        <v>2975</v>
      </c>
    </row>
    <row r="1326" spans="1:25">
      <c r="A1326" s="163" t="s">
        <v>423</v>
      </c>
      <c r="B1326" s="144" t="s">
        <v>2463</v>
      </c>
      <c r="C1326" s="164" t="s">
        <v>1201</v>
      </c>
      <c r="D1326" s="144" t="s">
        <v>1202</v>
      </c>
      <c r="E1326" s="150" t="s">
        <v>2466</v>
      </c>
      <c r="F1326" s="144" t="s">
        <v>2467</v>
      </c>
      <c r="G1326" s="166"/>
      <c r="H1326" s="151">
        <v>38</v>
      </c>
      <c r="I1326" s="160">
        <v>2.63</v>
      </c>
      <c r="J1326" s="159">
        <v>3.8</v>
      </c>
      <c r="K1326" s="161">
        <v>99.94</v>
      </c>
      <c r="L1326" s="159">
        <v>144.4</v>
      </c>
      <c r="M1326" s="160" t="s">
        <v>4759</v>
      </c>
      <c r="N1326" s="145">
        <v>200</v>
      </c>
      <c r="O1326" s="156" t="s">
        <v>28</v>
      </c>
      <c r="P1326" s="144" t="s">
        <v>2468</v>
      </c>
      <c r="Q1326" s="147">
        <v>46174</v>
      </c>
      <c r="R1326" s="146">
        <v>2056</v>
      </c>
      <c r="S1326" s="157"/>
      <c r="T1326" s="144" t="s">
        <v>28</v>
      </c>
      <c r="U1326" s="150" t="s">
        <v>20</v>
      </c>
      <c r="V1326" s="146">
        <v>2168</v>
      </c>
      <c r="W1326" s="148"/>
      <c r="X1326" s="149">
        <v>45901</v>
      </c>
      <c r="Y1326" s="165" t="s">
        <v>2578</v>
      </c>
    </row>
    <row r="1327" spans="1:25">
      <c r="A1327" s="163" t="s">
        <v>7</v>
      </c>
      <c r="B1327" s="144" t="s">
        <v>2463</v>
      </c>
      <c r="C1327" s="164" t="s">
        <v>4760</v>
      </c>
      <c r="D1327" s="144" t="s">
        <v>1203</v>
      </c>
      <c r="E1327" s="150" t="s">
        <v>2466</v>
      </c>
      <c r="F1327" s="144" t="s">
        <v>2467</v>
      </c>
      <c r="G1327" s="166"/>
      <c r="H1327" s="151">
        <v>1</v>
      </c>
      <c r="I1327" s="160">
        <v>0.5</v>
      </c>
      <c r="J1327" s="159">
        <v>200</v>
      </c>
      <c r="K1327" s="161">
        <v>0.5</v>
      </c>
      <c r="L1327" s="159">
        <v>200</v>
      </c>
      <c r="M1327" s="160" t="s">
        <v>4761</v>
      </c>
      <c r="N1327" s="145">
        <v>400</v>
      </c>
      <c r="O1327" s="156" t="s">
        <v>135</v>
      </c>
      <c r="P1327" s="144" t="s">
        <v>2468</v>
      </c>
      <c r="Q1327" s="147"/>
      <c r="R1327" s="146"/>
      <c r="S1327" s="157"/>
      <c r="T1327" s="144" t="s">
        <v>29</v>
      </c>
      <c r="U1327" s="150" t="s">
        <v>20</v>
      </c>
      <c r="V1327" s="146">
        <v>2215</v>
      </c>
      <c r="W1327" s="148" t="s">
        <v>4762</v>
      </c>
      <c r="X1327" s="149">
        <v>45689</v>
      </c>
      <c r="Y1327" s="165" t="s">
        <v>2474</v>
      </c>
    </row>
    <row r="1328" spans="1:25">
      <c r="A1328" s="163" t="s">
        <v>7</v>
      </c>
      <c r="B1328" s="144" t="s">
        <v>2463</v>
      </c>
      <c r="C1328" s="164" t="s">
        <v>4763</v>
      </c>
      <c r="D1328" s="144" t="s">
        <v>2535</v>
      </c>
      <c r="E1328" s="150" t="s">
        <v>2466</v>
      </c>
      <c r="F1328" s="144" t="s">
        <v>2477</v>
      </c>
      <c r="G1328" s="166"/>
      <c r="H1328" s="151">
        <v>1</v>
      </c>
      <c r="I1328" s="160">
        <v>400</v>
      </c>
      <c r="J1328" s="159">
        <v>400</v>
      </c>
      <c r="K1328" s="161">
        <v>400</v>
      </c>
      <c r="L1328" s="159">
        <v>400</v>
      </c>
      <c r="M1328" s="160">
        <v>400</v>
      </c>
      <c r="N1328" s="145">
        <v>2251</v>
      </c>
      <c r="O1328" s="156" t="s">
        <v>135</v>
      </c>
      <c r="P1328" s="144" t="s">
        <v>2468</v>
      </c>
      <c r="Q1328" s="147"/>
      <c r="R1328" s="146"/>
      <c r="S1328" s="157"/>
      <c r="T1328" s="144" t="s">
        <v>29</v>
      </c>
      <c r="U1328" s="150" t="s">
        <v>20</v>
      </c>
      <c r="V1328" s="146">
        <v>3047</v>
      </c>
      <c r="W1328" s="148" t="s">
        <v>4764</v>
      </c>
      <c r="X1328" s="149">
        <v>45901</v>
      </c>
      <c r="Y1328" s="165" t="s">
        <v>2660</v>
      </c>
    </row>
    <row r="1329" spans="1:25">
      <c r="A1329" s="163" t="s">
        <v>7</v>
      </c>
      <c r="B1329" s="144" t="s">
        <v>2463</v>
      </c>
      <c r="C1329" s="164" t="s">
        <v>4765</v>
      </c>
      <c r="D1329" s="144" t="s">
        <v>2535</v>
      </c>
      <c r="E1329" s="150" t="s">
        <v>2476</v>
      </c>
      <c r="F1329" s="144" t="s">
        <v>2477</v>
      </c>
      <c r="G1329" s="166"/>
      <c r="H1329" s="151">
        <v>1</v>
      </c>
      <c r="I1329" s="160">
        <v>150</v>
      </c>
      <c r="J1329" s="159">
        <v>150</v>
      </c>
      <c r="K1329" s="161">
        <v>150</v>
      </c>
      <c r="L1329" s="159">
        <v>150</v>
      </c>
      <c r="M1329" s="160">
        <v>150</v>
      </c>
      <c r="N1329" s="145"/>
      <c r="O1329" s="156" t="s">
        <v>135</v>
      </c>
      <c r="P1329" s="144" t="s">
        <v>2478</v>
      </c>
      <c r="Q1329" s="147"/>
      <c r="R1329" s="146"/>
      <c r="S1329" s="157"/>
      <c r="T1329" s="144" t="s">
        <v>29</v>
      </c>
      <c r="U1329" s="150" t="s">
        <v>2479</v>
      </c>
      <c r="V1329" s="146">
        <v>3046</v>
      </c>
      <c r="W1329" s="148" t="s">
        <v>4764</v>
      </c>
      <c r="X1329" s="149">
        <v>45901</v>
      </c>
      <c r="Y1329" s="165" t="s">
        <v>2660</v>
      </c>
    </row>
    <row r="1330" spans="1:25">
      <c r="A1330" s="163" t="s">
        <v>309</v>
      </c>
      <c r="B1330" s="144" t="s">
        <v>2463</v>
      </c>
      <c r="C1330" s="164" t="s">
        <v>4766</v>
      </c>
      <c r="D1330" s="144" t="s">
        <v>699</v>
      </c>
      <c r="E1330" s="150" t="s">
        <v>2466</v>
      </c>
      <c r="F1330" s="144" t="s">
        <v>2467</v>
      </c>
      <c r="G1330" s="166"/>
      <c r="H1330" s="151">
        <v>324</v>
      </c>
      <c r="I1330" s="160">
        <v>0</v>
      </c>
      <c r="J1330" s="159">
        <v>1</v>
      </c>
      <c r="K1330" s="161">
        <v>0</v>
      </c>
      <c r="L1330" s="159">
        <v>324</v>
      </c>
      <c r="M1330" s="160">
        <v>324</v>
      </c>
      <c r="N1330" s="145">
        <v>1200</v>
      </c>
      <c r="O1330" s="156" t="s">
        <v>135</v>
      </c>
      <c r="P1330" s="144" t="s">
        <v>2468</v>
      </c>
      <c r="Q1330" s="147">
        <v>47088</v>
      </c>
      <c r="R1330" s="146"/>
      <c r="S1330" s="157"/>
      <c r="T1330" s="144" t="s">
        <v>29</v>
      </c>
      <c r="U1330" s="150" t="s">
        <v>20</v>
      </c>
      <c r="V1330" s="146">
        <v>3006</v>
      </c>
      <c r="W1330" s="148" t="s">
        <v>4767</v>
      </c>
      <c r="X1330" s="149">
        <v>45778</v>
      </c>
      <c r="Y1330" s="165"/>
    </row>
    <row r="1331" spans="1:25">
      <c r="A1331" s="163" t="s">
        <v>309</v>
      </c>
      <c r="B1331" s="144" t="s">
        <v>2463</v>
      </c>
      <c r="C1331" s="164" t="s">
        <v>4768</v>
      </c>
      <c r="D1331" s="144" t="s">
        <v>473</v>
      </c>
      <c r="E1331" s="150" t="s">
        <v>2466</v>
      </c>
      <c r="F1331" s="144" t="s">
        <v>2467</v>
      </c>
      <c r="G1331" s="166"/>
      <c r="H1331" s="151">
        <v>1</v>
      </c>
      <c r="I1331" s="160">
        <v>3.6</v>
      </c>
      <c r="J1331" s="159">
        <v>3.6</v>
      </c>
      <c r="K1331" s="161">
        <v>3.6</v>
      </c>
      <c r="L1331" s="159">
        <v>3.6</v>
      </c>
      <c r="M1331" s="160">
        <v>3.6</v>
      </c>
      <c r="N1331" s="145">
        <v>1000</v>
      </c>
      <c r="O1331" s="156" t="s">
        <v>135</v>
      </c>
      <c r="P1331" s="144" t="s">
        <v>2468</v>
      </c>
      <c r="Q1331" s="147"/>
      <c r="R1331" s="146"/>
      <c r="S1331" s="157"/>
      <c r="T1331" s="144" t="s">
        <v>29</v>
      </c>
      <c r="U1331" s="150" t="s">
        <v>20</v>
      </c>
      <c r="V1331" s="146">
        <v>2732</v>
      </c>
      <c r="W1331" s="148" t="s">
        <v>4769</v>
      </c>
      <c r="X1331" s="149">
        <v>45689</v>
      </c>
      <c r="Y1331" s="165" t="s">
        <v>2500</v>
      </c>
    </row>
    <row r="1332" spans="1:25">
      <c r="A1332" s="163" t="s">
        <v>7</v>
      </c>
      <c r="B1332" s="144" t="s">
        <v>163</v>
      </c>
      <c r="C1332" s="164" t="s">
        <v>522</v>
      </c>
      <c r="D1332" s="144" t="s">
        <v>523</v>
      </c>
      <c r="E1332" s="150" t="s">
        <v>2481</v>
      </c>
      <c r="F1332" s="144" t="s">
        <v>2482</v>
      </c>
      <c r="G1332" s="166" t="s">
        <v>524</v>
      </c>
      <c r="H1332" s="151">
        <v>1</v>
      </c>
      <c r="I1332" s="160">
        <v>2.5</v>
      </c>
      <c r="J1332" s="159">
        <v>2.5</v>
      </c>
      <c r="K1332" s="161">
        <v>2.5</v>
      </c>
      <c r="L1332" s="159">
        <v>2.5</v>
      </c>
      <c r="M1332" s="160">
        <v>2.5</v>
      </c>
      <c r="N1332" s="145"/>
      <c r="O1332" s="156" t="s">
        <v>166</v>
      </c>
      <c r="P1332" s="144" t="s">
        <v>2480</v>
      </c>
      <c r="Q1332" s="147"/>
      <c r="R1332" s="146">
        <v>2053</v>
      </c>
      <c r="S1332" s="157"/>
      <c r="T1332" s="144" t="s">
        <v>25</v>
      </c>
      <c r="U1332" s="150" t="s">
        <v>18</v>
      </c>
      <c r="V1332" s="146">
        <v>1205</v>
      </c>
      <c r="W1332" s="148"/>
      <c r="X1332" s="149">
        <v>45566</v>
      </c>
      <c r="Y1332" s="165" t="s">
        <v>2730</v>
      </c>
    </row>
    <row r="1333" spans="1:25">
      <c r="A1333" s="163" t="s">
        <v>380</v>
      </c>
      <c r="B1333" s="144" t="s">
        <v>2463</v>
      </c>
      <c r="C1333" s="164" t="s">
        <v>4770</v>
      </c>
      <c r="D1333" s="144" t="s">
        <v>4771</v>
      </c>
      <c r="E1333" s="150" t="s">
        <v>2476</v>
      </c>
      <c r="F1333" s="144" t="s">
        <v>2477</v>
      </c>
      <c r="G1333" s="166"/>
      <c r="H1333" s="151">
        <v>1</v>
      </c>
      <c r="I1333" s="160"/>
      <c r="J1333" s="159">
        <v>200</v>
      </c>
      <c r="K1333" s="161"/>
      <c r="L1333" s="159">
        <v>200</v>
      </c>
      <c r="M1333" s="160">
        <v>200</v>
      </c>
      <c r="N1333" s="145"/>
      <c r="O1333" s="156" t="s">
        <v>135</v>
      </c>
      <c r="P1333" s="144" t="s">
        <v>2478</v>
      </c>
      <c r="Q1333" s="147"/>
      <c r="R1333" s="146"/>
      <c r="S1333" s="157"/>
      <c r="T1333" s="144" t="s">
        <v>29</v>
      </c>
      <c r="U1333" s="150" t="s">
        <v>2479</v>
      </c>
      <c r="V1333" s="146">
        <v>2054</v>
      </c>
      <c r="W1333" s="148"/>
      <c r="X1333" s="149">
        <v>45901</v>
      </c>
      <c r="Y1333" s="165" t="s">
        <v>2704</v>
      </c>
    </row>
    <row r="1334" spans="1:25">
      <c r="A1334" s="163" t="s">
        <v>380</v>
      </c>
      <c r="B1334" s="144" t="s">
        <v>2463</v>
      </c>
      <c r="C1334" s="164" t="s">
        <v>4772</v>
      </c>
      <c r="D1334" s="144" t="s">
        <v>4771</v>
      </c>
      <c r="E1334" s="150" t="s">
        <v>2476</v>
      </c>
      <c r="F1334" s="144" t="s">
        <v>2477</v>
      </c>
      <c r="G1334" s="166"/>
      <c r="H1334" s="151">
        <v>1</v>
      </c>
      <c r="I1334" s="160"/>
      <c r="J1334" s="159">
        <v>200</v>
      </c>
      <c r="K1334" s="161"/>
      <c r="L1334" s="159">
        <v>200</v>
      </c>
      <c r="M1334" s="160">
        <v>200</v>
      </c>
      <c r="N1334" s="145"/>
      <c r="O1334" s="156" t="s">
        <v>135</v>
      </c>
      <c r="P1334" s="144" t="s">
        <v>2478</v>
      </c>
      <c r="Q1334" s="147"/>
      <c r="R1334" s="146"/>
      <c r="S1334" s="157"/>
      <c r="T1334" s="144" t="s">
        <v>29</v>
      </c>
      <c r="U1334" s="150" t="s">
        <v>2479</v>
      </c>
      <c r="V1334" s="146">
        <v>2055</v>
      </c>
      <c r="W1334" s="148"/>
      <c r="X1334" s="149">
        <v>45901</v>
      </c>
      <c r="Y1334" s="165" t="s">
        <v>2704</v>
      </c>
    </row>
    <row r="1335" spans="1:25">
      <c r="A1335" s="163" t="s">
        <v>309</v>
      </c>
      <c r="B1335" s="144" t="s">
        <v>2463</v>
      </c>
      <c r="C1335" s="164" t="s">
        <v>4773</v>
      </c>
      <c r="D1335" s="144" t="s">
        <v>4774</v>
      </c>
      <c r="E1335" s="150" t="s">
        <v>2466</v>
      </c>
      <c r="F1335" s="144" t="s">
        <v>2467</v>
      </c>
      <c r="G1335" s="166"/>
      <c r="H1335" s="151">
        <v>1</v>
      </c>
      <c r="I1335" s="160">
        <v>240</v>
      </c>
      <c r="J1335" s="159">
        <v>240</v>
      </c>
      <c r="K1335" s="161">
        <v>240</v>
      </c>
      <c r="L1335" s="159">
        <v>240</v>
      </c>
      <c r="M1335" s="160">
        <v>240</v>
      </c>
      <c r="N1335" s="145">
        <v>960</v>
      </c>
      <c r="O1335" s="156" t="s">
        <v>135</v>
      </c>
      <c r="P1335" s="144" t="s">
        <v>2468</v>
      </c>
      <c r="Q1335" s="147"/>
      <c r="R1335" s="146"/>
      <c r="S1335" s="157"/>
      <c r="T1335" s="144" t="s">
        <v>29</v>
      </c>
      <c r="U1335" s="150" t="s">
        <v>20</v>
      </c>
      <c r="V1335" s="146">
        <v>3024</v>
      </c>
      <c r="W1335" s="148" t="s">
        <v>4775</v>
      </c>
      <c r="X1335" s="149">
        <v>45778</v>
      </c>
      <c r="Y1335" s="165"/>
    </row>
    <row r="1336" spans="1:25">
      <c r="A1336" s="163" t="s">
        <v>309</v>
      </c>
      <c r="B1336" s="144" t="s">
        <v>2463</v>
      </c>
      <c r="C1336" s="164" t="s">
        <v>4776</v>
      </c>
      <c r="D1336" s="144" t="s">
        <v>4777</v>
      </c>
      <c r="E1336" s="150" t="s">
        <v>2491</v>
      </c>
      <c r="F1336" s="144" t="s">
        <v>2477</v>
      </c>
      <c r="G1336" s="166"/>
      <c r="H1336" s="151">
        <v>28</v>
      </c>
      <c r="I1336" s="160">
        <v>2.5</v>
      </c>
      <c r="J1336" s="159">
        <v>2.5</v>
      </c>
      <c r="K1336" s="161">
        <v>70</v>
      </c>
      <c r="L1336" s="159">
        <v>70</v>
      </c>
      <c r="M1336" s="160">
        <v>70</v>
      </c>
      <c r="N1336" s="145"/>
      <c r="O1336" s="156" t="s">
        <v>135</v>
      </c>
      <c r="P1336" s="144" t="s">
        <v>2478</v>
      </c>
      <c r="Q1336" s="147"/>
      <c r="R1336" s="146"/>
      <c r="S1336" s="157"/>
      <c r="T1336" s="144" t="s">
        <v>29</v>
      </c>
      <c r="U1336" s="150" t="s">
        <v>2479</v>
      </c>
      <c r="V1336" s="146">
        <v>1704</v>
      </c>
      <c r="W1336" s="148"/>
      <c r="X1336" s="149">
        <v>45689</v>
      </c>
      <c r="Y1336" s="165" t="s">
        <v>2500</v>
      </c>
    </row>
    <row r="1337" spans="1:25">
      <c r="A1337" s="163" t="s">
        <v>309</v>
      </c>
      <c r="B1337" s="144" t="s">
        <v>2463</v>
      </c>
      <c r="C1337" s="164" t="s">
        <v>4778</v>
      </c>
      <c r="D1337" s="144" t="s">
        <v>4779</v>
      </c>
      <c r="E1337" s="150" t="s">
        <v>2485</v>
      </c>
      <c r="F1337" s="144" t="s">
        <v>2486</v>
      </c>
      <c r="G1337" s="166"/>
      <c r="H1337" s="151">
        <v>160</v>
      </c>
      <c r="I1337" s="160">
        <v>6.2</v>
      </c>
      <c r="J1337" s="159">
        <v>6.2</v>
      </c>
      <c r="K1337" s="161">
        <v>992</v>
      </c>
      <c r="L1337" s="159">
        <v>992</v>
      </c>
      <c r="M1337" s="160">
        <v>992</v>
      </c>
      <c r="N1337" s="145"/>
      <c r="O1337" s="156" t="s">
        <v>135</v>
      </c>
      <c r="P1337" s="144" t="s">
        <v>2478</v>
      </c>
      <c r="Q1337" s="147"/>
      <c r="R1337" s="146"/>
      <c r="S1337" s="157"/>
      <c r="T1337" s="144" t="s">
        <v>29</v>
      </c>
      <c r="U1337" s="150" t="s">
        <v>17</v>
      </c>
      <c r="V1337" s="146">
        <v>2603</v>
      </c>
      <c r="W1337" s="148" t="s">
        <v>4780</v>
      </c>
      <c r="X1337" s="149">
        <v>45689</v>
      </c>
      <c r="Y1337" s="165" t="s">
        <v>2500</v>
      </c>
    </row>
    <row r="1338" spans="1:25">
      <c r="A1338" s="163" t="s">
        <v>423</v>
      </c>
      <c r="B1338" s="144" t="s">
        <v>2463</v>
      </c>
      <c r="C1338" s="164" t="s">
        <v>4781</v>
      </c>
      <c r="D1338" s="144" t="s">
        <v>2498</v>
      </c>
      <c r="E1338" s="150" t="s">
        <v>2466</v>
      </c>
      <c r="F1338" s="144" t="s">
        <v>2467</v>
      </c>
      <c r="G1338" s="166"/>
      <c r="H1338" s="151">
        <v>1</v>
      </c>
      <c r="I1338" s="160">
        <v>300</v>
      </c>
      <c r="J1338" s="159">
        <v>300</v>
      </c>
      <c r="K1338" s="161">
        <v>300</v>
      </c>
      <c r="L1338" s="159">
        <v>300</v>
      </c>
      <c r="M1338" s="160">
        <v>300</v>
      </c>
      <c r="N1338" s="145">
        <v>600</v>
      </c>
      <c r="O1338" s="156" t="s">
        <v>135</v>
      </c>
      <c r="P1338" s="144" t="s">
        <v>2468</v>
      </c>
      <c r="Q1338" s="147">
        <v>46722</v>
      </c>
      <c r="R1338" s="146"/>
      <c r="S1338" s="157"/>
      <c r="T1338" s="144" t="s">
        <v>29</v>
      </c>
      <c r="U1338" s="150" t="s">
        <v>20</v>
      </c>
      <c r="V1338" s="146">
        <v>2350</v>
      </c>
      <c r="W1338" s="148" t="s">
        <v>4782</v>
      </c>
      <c r="X1338" s="149">
        <v>45689</v>
      </c>
      <c r="Y1338" s="165" t="s">
        <v>2500</v>
      </c>
    </row>
    <row r="1339" spans="1:25">
      <c r="A1339" s="163" t="s">
        <v>309</v>
      </c>
      <c r="B1339" s="144" t="s">
        <v>2463</v>
      </c>
      <c r="C1339" s="164" t="s">
        <v>4783</v>
      </c>
      <c r="D1339" s="144" t="s">
        <v>3778</v>
      </c>
      <c r="E1339" s="150" t="s">
        <v>2466</v>
      </c>
      <c r="F1339" s="144" t="s">
        <v>2467</v>
      </c>
      <c r="G1339" s="166"/>
      <c r="H1339" s="151">
        <v>1</v>
      </c>
      <c r="I1339" s="160">
        <v>0</v>
      </c>
      <c r="J1339" s="159">
        <v>500</v>
      </c>
      <c r="K1339" s="161">
        <v>0</v>
      </c>
      <c r="L1339" s="159">
        <v>500</v>
      </c>
      <c r="M1339" s="160">
        <v>500</v>
      </c>
      <c r="N1339" s="145">
        <v>1000</v>
      </c>
      <c r="O1339" s="156" t="s">
        <v>135</v>
      </c>
      <c r="P1339" s="144" t="s">
        <v>2468</v>
      </c>
      <c r="Q1339" s="147"/>
      <c r="R1339" s="146"/>
      <c r="S1339" s="157"/>
      <c r="T1339" s="144" t="s">
        <v>29</v>
      </c>
      <c r="U1339" s="150" t="s">
        <v>20</v>
      </c>
      <c r="V1339" s="146">
        <v>3010</v>
      </c>
      <c r="W1339" s="148" t="s">
        <v>2785</v>
      </c>
      <c r="X1339" s="149">
        <v>45778</v>
      </c>
      <c r="Y1339" s="165"/>
    </row>
    <row r="1340" spans="1:25">
      <c r="A1340" s="163" t="s">
        <v>309</v>
      </c>
      <c r="B1340" s="144" t="s">
        <v>2463</v>
      </c>
      <c r="C1340" s="164" t="s">
        <v>4784</v>
      </c>
      <c r="D1340" s="144" t="s">
        <v>3778</v>
      </c>
      <c r="E1340" s="150" t="s">
        <v>2476</v>
      </c>
      <c r="F1340" s="144" t="s">
        <v>2477</v>
      </c>
      <c r="G1340" s="166"/>
      <c r="H1340" s="151">
        <v>1</v>
      </c>
      <c r="I1340" s="160">
        <v>700</v>
      </c>
      <c r="J1340" s="159">
        <v>700</v>
      </c>
      <c r="K1340" s="161">
        <v>700</v>
      </c>
      <c r="L1340" s="159">
        <v>700</v>
      </c>
      <c r="M1340" s="160">
        <v>700</v>
      </c>
      <c r="N1340" s="145"/>
      <c r="O1340" s="156" t="s">
        <v>135</v>
      </c>
      <c r="P1340" s="144" t="s">
        <v>2478</v>
      </c>
      <c r="Q1340" s="147"/>
      <c r="R1340" s="146"/>
      <c r="S1340" s="157"/>
      <c r="T1340" s="144" t="s">
        <v>29</v>
      </c>
      <c r="U1340" s="150" t="s">
        <v>2479</v>
      </c>
      <c r="V1340" s="146">
        <v>3009</v>
      </c>
      <c r="W1340" s="148" t="s">
        <v>2785</v>
      </c>
      <c r="X1340" s="149">
        <v>45778</v>
      </c>
      <c r="Y1340" s="165"/>
    </row>
    <row r="1341" spans="1:25">
      <c r="A1341" s="163" t="s">
        <v>7</v>
      </c>
      <c r="B1341" s="144" t="s">
        <v>2463</v>
      </c>
      <c r="C1341" s="164" t="s">
        <v>4785</v>
      </c>
      <c r="D1341" s="144" t="s">
        <v>1203</v>
      </c>
      <c r="E1341" s="150" t="s">
        <v>2485</v>
      </c>
      <c r="F1341" s="144" t="s">
        <v>2486</v>
      </c>
      <c r="G1341" s="166"/>
      <c r="H1341" s="151">
        <v>1</v>
      </c>
      <c r="I1341" s="160">
        <v>5</v>
      </c>
      <c r="J1341" s="159">
        <v>210</v>
      </c>
      <c r="K1341" s="161">
        <v>5</v>
      </c>
      <c r="L1341" s="159">
        <v>210</v>
      </c>
      <c r="M1341" s="160" t="s">
        <v>4786</v>
      </c>
      <c r="N1341" s="145"/>
      <c r="O1341" s="156" t="s">
        <v>135</v>
      </c>
      <c r="P1341" s="144" t="s">
        <v>2478</v>
      </c>
      <c r="Q1341" s="147"/>
      <c r="R1341" s="146">
        <v>2065</v>
      </c>
      <c r="S1341" s="157"/>
      <c r="T1341" s="144" t="s">
        <v>29</v>
      </c>
      <c r="U1341" s="150" t="s">
        <v>17</v>
      </c>
      <c r="V1341" s="146">
        <v>2201</v>
      </c>
      <c r="W1341" s="148" t="s">
        <v>4787</v>
      </c>
      <c r="X1341" s="149">
        <v>45901</v>
      </c>
      <c r="Y1341" s="165" t="s">
        <v>2596</v>
      </c>
    </row>
    <row r="1342" spans="1:25">
      <c r="A1342" s="163" t="s">
        <v>309</v>
      </c>
      <c r="B1342" s="144" t="s">
        <v>163</v>
      </c>
      <c r="C1342" s="164" t="s">
        <v>4788</v>
      </c>
      <c r="D1342" s="144" t="s">
        <v>4788</v>
      </c>
      <c r="E1342" s="150" t="s">
        <v>2501</v>
      </c>
      <c r="F1342" s="144" t="s">
        <v>3046</v>
      </c>
      <c r="G1342" s="166" t="s">
        <v>4789</v>
      </c>
      <c r="H1342" s="151">
        <v>1</v>
      </c>
      <c r="I1342" s="160"/>
      <c r="J1342" s="159">
        <v>1.2</v>
      </c>
      <c r="K1342" s="161"/>
      <c r="L1342" s="159">
        <v>1.2</v>
      </c>
      <c r="M1342" s="160">
        <v>1.2</v>
      </c>
      <c r="N1342" s="145"/>
      <c r="O1342" s="156" t="s">
        <v>166</v>
      </c>
      <c r="P1342" s="144" t="s">
        <v>2480</v>
      </c>
      <c r="Q1342" s="147"/>
      <c r="R1342" s="146">
        <v>2072</v>
      </c>
      <c r="S1342" s="157"/>
      <c r="T1342" s="144" t="s">
        <v>25</v>
      </c>
      <c r="U1342" s="150" t="s">
        <v>19</v>
      </c>
      <c r="V1342" s="146">
        <v>1321</v>
      </c>
      <c r="W1342" s="148"/>
      <c r="X1342" s="149">
        <v>45566</v>
      </c>
      <c r="Y1342" s="165" t="s">
        <v>2570</v>
      </c>
    </row>
    <row r="1343" spans="1:25">
      <c r="A1343" s="163" t="s">
        <v>309</v>
      </c>
      <c r="B1343" s="144" t="s">
        <v>163</v>
      </c>
      <c r="C1343" s="164" t="s">
        <v>4788</v>
      </c>
      <c r="D1343" s="144" t="s">
        <v>4788</v>
      </c>
      <c r="E1343" s="150" t="s">
        <v>2501</v>
      </c>
      <c r="F1343" s="144" t="s">
        <v>3046</v>
      </c>
      <c r="G1343" s="166" t="s">
        <v>4789</v>
      </c>
      <c r="H1343" s="151">
        <v>3</v>
      </c>
      <c r="I1343" s="160"/>
      <c r="J1343" s="159">
        <v>1.1000000000000001</v>
      </c>
      <c r="K1343" s="161"/>
      <c r="L1343" s="159">
        <v>3.3</v>
      </c>
      <c r="M1343" s="160">
        <v>3.3</v>
      </c>
      <c r="N1343" s="145"/>
      <c r="O1343" s="156" t="s">
        <v>166</v>
      </c>
      <c r="P1343" s="144" t="s">
        <v>2480</v>
      </c>
      <c r="Q1343" s="147"/>
      <c r="R1343" s="146">
        <v>2072</v>
      </c>
      <c r="S1343" s="157"/>
      <c r="T1343" s="144" t="s">
        <v>25</v>
      </c>
      <c r="U1343" s="150" t="s">
        <v>19</v>
      </c>
      <c r="V1343" s="146">
        <v>1321</v>
      </c>
      <c r="W1343" s="148"/>
      <c r="X1343" s="149">
        <v>45566</v>
      </c>
      <c r="Y1343" s="165" t="s">
        <v>2570</v>
      </c>
    </row>
    <row r="1344" spans="1:25">
      <c r="A1344" s="163" t="s">
        <v>309</v>
      </c>
      <c r="B1344" s="144" t="s">
        <v>2463</v>
      </c>
      <c r="C1344" s="164" t="s">
        <v>4790</v>
      </c>
      <c r="D1344" s="144" t="s">
        <v>4791</v>
      </c>
      <c r="E1344" s="150" t="s">
        <v>2466</v>
      </c>
      <c r="F1344" s="144" t="s">
        <v>2467</v>
      </c>
      <c r="G1344" s="166"/>
      <c r="H1344" s="151">
        <v>1</v>
      </c>
      <c r="I1344" s="160">
        <v>400</v>
      </c>
      <c r="J1344" s="159">
        <v>400</v>
      </c>
      <c r="K1344" s="161">
        <v>400</v>
      </c>
      <c r="L1344" s="159">
        <v>400</v>
      </c>
      <c r="M1344" s="160">
        <v>400</v>
      </c>
      <c r="N1344" s="145">
        <v>400</v>
      </c>
      <c r="O1344" s="156" t="s">
        <v>135</v>
      </c>
      <c r="P1344" s="144" t="s">
        <v>2468</v>
      </c>
      <c r="Q1344" s="147"/>
      <c r="R1344" s="146"/>
      <c r="S1344" s="157"/>
      <c r="T1344" s="144" t="s">
        <v>29</v>
      </c>
      <c r="U1344" s="150" t="s">
        <v>20</v>
      </c>
      <c r="V1344" s="146">
        <v>2675</v>
      </c>
      <c r="W1344" s="148" t="s">
        <v>4792</v>
      </c>
      <c r="X1344" s="149">
        <v>45901</v>
      </c>
      <c r="Y1344" s="165" t="s">
        <v>2490</v>
      </c>
    </row>
    <row r="1345" spans="1:25">
      <c r="A1345" s="163" t="s">
        <v>309</v>
      </c>
      <c r="B1345" s="144" t="s">
        <v>2463</v>
      </c>
      <c r="C1345" s="164" t="s">
        <v>4793</v>
      </c>
      <c r="D1345" s="144" t="s">
        <v>4791</v>
      </c>
      <c r="E1345" s="150" t="s">
        <v>2476</v>
      </c>
      <c r="F1345" s="144" t="s">
        <v>2477</v>
      </c>
      <c r="G1345" s="166"/>
      <c r="H1345" s="151">
        <v>1</v>
      </c>
      <c r="I1345" s="160">
        <v>400</v>
      </c>
      <c r="J1345" s="159">
        <v>400</v>
      </c>
      <c r="K1345" s="161">
        <v>400</v>
      </c>
      <c r="L1345" s="159">
        <v>400</v>
      </c>
      <c r="M1345" s="160">
        <v>400</v>
      </c>
      <c r="N1345" s="145"/>
      <c r="O1345" s="156" t="s">
        <v>135</v>
      </c>
      <c r="P1345" s="144" t="s">
        <v>2478</v>
      </c>
      <c r="Q1345" s="147"/>
      <c r="R1345" s="146"/>
      <c r="S1345" s="157"/>
      <c r="T1345" s="144" t="s">
        <v>29</v>
      </c>
      <c r="U1345" s="150" t="s">
        <v>2479</v>
      </c>
      <c r="V1345" s="146">
        <v>2674</v>
      </c>
      <c r="W1345" s="148" t="s">
        <v>4792</v>
      </c>
      <c r="X1345" s="149">
        <v>45901</v>
      </c>
      <c r="Y1345" s="165" t="s">
        <v>2712</v>
      </c>
    </row>
    <row r="1346" spans="1:25">
      <c r="A1346" s="163" t="s">
        <v>309</v>
      </c>
      <c r="B1346" s="144" t="s">
        <v>2463</v>
      </c>
      <c r="C1346" s="164" t="s">
        <v>1105</v>
      </c>
      <c r="D1346" s="144" t="s">
        <v>1106</v>
      </c>
      <c r="E1346" s="150" t="s">
        <v>2466</v>
      </c>
      <c r="F1346" s="144" t="s">
        <v>2467</v>
      </c>
      <c r="G1346" s="166"/>
      <c r="H1346" s="151">
        <v>24</v>
      </c>
      <c r="I1346" s="160"/>
      <c r="J1346" s="159">
        <v>4.3</v>
      </c>
      <c r="K1346" s="161"/>
      <c r="L1346" s="159">
        <v>103.2</v>
      </c>
      <c r="M1346" s="160">
        <v>103.2</v>
      </c>
      <c r="N1346" s="145">
        <v>200</v>
      </c>
      <c r="O1346" s="156" t="s">
        <v>135</v>
      </c>
      <c r="P1346" s="144" t="s">
        <v>2468</v>
      </c>
      <c r="Q1346" s="147"/>
      <c r="R1346" s="146"/>
      <c r="S1346" s="157"/>
      <c r="T1346" s="144" t="s">
        <v>29</v>
      </c>
      <c r="U1346" s="150" t="s">
        <v>20</v>
      </c>
      <c r="V1346" s="146">
        <v>1539</v>
      </c>
      <c r="W1346" s="148" t="s">
        <v>4794</v>
      </c>
      <c r="X1346" s="149">
        <v>45689</v>
      </c>
      <c r="Y1346" s="165" t="s">
        <v>2520</v>
      </c>
    </row>
    <row r="1347" spans="1:25">
      <c r="A1347" s="163" t="s">
        <v>7</v>
      </c>
      <c r="B1347" s="144" t="s">
        <v>2463</v>
      </c>
      <c r="C1347" s="164" t="s">
        <v>255</v>
      </c>
      <c r="D1347" s="144" t="s">
        <v>256</v>
      </c>
      <c r="E1347" s="150" t="s">
        <v>2476</v>
      </c>
      <c r="F1347" s="144" t="s">
        <v>2477</v>
      </c>
      <c r="G1347" s="166"/>
      <c r="H1347" s="151">
        <v>152</v>
      </c>
      <c r="I1347" s="160"/>
      <c r="J1347" s="159">
        <v>1.64</v>
      </c>
      <c r="K1347" s="161"/>
      <c r="L1347" s="159">
        <v>248.82</v>
      </c>
      <c r="M1347" s="160">
        <v>248.82</v>
      </c>
      <c r="N1347" s="145"/>
      <c r="O1347" s="156" t="s">
        <v>28</v>
      </c>
      <c r="P1347" s="144" t="s">
        <v>2478</v>
      </c>
      <c r="Q1347" s="147">
        <v>47088</v>
      </c>
      <c r="R1347" s="146">
        <v>2058</v>
      </c>
      <c r="S1347" s="157"/>
      <c r="T1347" s="144" t="s">
        <v>28</v>
      </c>
      <c r="U1347" s="150" t="s">
        <v>2479</v>
      </c>
      <c r="V1347" s="146">
        <v>1683</v>
      </c>
      <c r="W1347" s="148" t="s">
        <v>3870</v>
      </c>
      <c r="X1347" s="149">
        <v>45901</v>
      </c>
      <c r="Y1347" s="165" t="s">
        <v>3759</v>
      </c>
    </row>
    <row r="1348" spans="1:25">
      <c r="A1348" s="163" t="s">
        <v>423</v>
      </c>
      <c r="B1348" s="144" t="s">
        <v>163</v>
      </c>
      <c r="C1348" s="164" t="s">
        <v>4795</v>
      </c>
      <c r="D1348" s="144" t="s">
        <v>4796</v>
      </c>
      <c r="E1348" s="150" t="s">
        <v>2485</v>
      </c>
      <c r="F1348" s="144" t="s">
        <v>2486</v>
      </c>
      <c r="G1348" s="166" t="s">
        <v>4797</v>
      </c>
      <c r="H1348" s="151">
        <v>2</v>
      </c>
      <c r="I1348" s="160">
        <v>3.6</v>
      </c>
      <c r="J1348" s="159">
        <v>3.6</v>
      </c>
      <c r="K1348" s="161">
        <v>7.2</v>
      </c>
      <c r="L1348" s="159">
        <v>7.2</v>
      </c>
      <c r="M1348" s="160">
        <v>7.2</v>
      </c>
      <c r="N1348" s="145"/>
      <c r="O1348" s="156" t="s">
        <v>166</v>
      </c>
      <c r="P1348" s="144" t="s">
        <v>2480</v>
      </c>
      <c r="Q1348" s="147">
        <v>43435</v>
      </c>
      <c r="R1348" s="146">
        <v>2048</v>
      </c>
      <c r="S1348" s="157"/>
      <c r="T1348" s="144" t="s">
        <v>25</v>
      </c>
      <c r="U1348" s="150" t="s">
        <v>17</v>
      </c>
      <c r="V1348" s="146">
        <v>1494</v>
      </c>
      <c r="W1348" s="148"/>
      <c r="X1348" s="149">
        <v>45566</v>
      </c>
      <c r="Y1348" s="165" t="s">
        <v>2987</v>
      </c>
    </row>
    <row r="1349" spans="1:25">
      <c r="A1349" s="163" t="s">
        <v>7</v>
      </c>
      <c r="B1349" s="144" t="s">
        <v>2463</v>
      </c>
      <c r="C1349" s="164" t="s">
        <v>4798</v>
      </c>
      <c r="D1349" s="144" t="s">
        <v>4799</v>
      </c>
      <c r="E1349" s="150" t="s">
        <v>2466</v>
      </c>
      <c r="F1349" s="144" t="s">
        <v>2467</v>
      </c>
      <c r="G1349" s="166"/>
      <c r="H1349" s="151">
        <v>1</v>
      </c>
      <c r="I1349" s="160"/>
      <c r="J1349" s="159">
        <v>400</v>
      </c>
      <c r="K1349" s="161"/>
      <c r="L1349" s="159">
        <v>400</v>
      </c>
      <c r="M1349" s="160">
        <v>400</v>
      </c>
      <c r="N1349" s="145">
        <v>400</v>
      </c>
      <c r="O1349" s="156" t="s">
        <v>135</v>
      </c>
      <c r="P1349" s="144" t="s">
        <v>2468</v>
      </c>
      <c r="Q1349" s="147"/>
      <c r="R1349" s="146"/>
      <c r="S1349" s="157"/>
      <c r="T1349" s="144" t="s">
        <v>29</v>
      </c>
      <c r="U1349" s="150" t="s">
        <v>20</v>
      </c>
      <c r="V1349" s="146">
        <v>3005</v>
      </c>
      <c r="W1349" s="148"/>
      <c r="X1349" s="149">
        <v>45901</v>
      </c>
      <c r="Y1349" s="165" t="s">
        <v>2660</v>
      </c>
    </row>
    <row r="1350" spans="1:25">
      <c r="A1350" s="163" t="s">
        <v>7</v>
      </c>
      <c r="B1350" s="144" t="s">
        <v>2463</v>
      </c>
      <c r="C1350" s="164" t="s">
        <v>295</v>
      </c>
      <c r="D1350" s="144" t="s">
        <v>296</v>
      </c>
      <c r="E1350" s="150" t="s">
        <v>2466</v>
      </c>
      <c r="F1350" s="144" t="s">
        <v>2467</v>
      </c>
      <c r="G1350" s="166"/>
      <c r="H1350" s="151">
        <v>1</v>
      </c>
      <c r="I1350" s="160"/>
      <c r="J1350" s="159">
        <v>500</v>
      </c>
      <c r="K1350" s="161"/>
      <c r="L1350" s="159">
        <v>500</v>
      </c>
      <c r="M1350" s="160">
        <v>500</v>
      </c>
      <c r="N1350" s="145">
        <v>2000</v>
      </c>
      <c r="O1350" s="156" t="s">
        <v>28</v>
      </c>
      <c r="P1350" s="144" t="s">
        <v>2468</v>
      </c>
      <c r="Q1350" s="147">
        <v>47088</v>
      </c>
      <c r="R1350" s="146"/>
      <c r="S1350" s="157"/>
      <c r="T1350" s="144" t="s">
        <v>28</v>
      </c>
      <c r="U1350" s="150" t="s">
        <v>20</v>
      </c>
      <c r="V1350" s="146">
        <v>2463</v>
      </c>
      <c r="W1350" s="148" t="s">
        <v>4800</v>
      </c>
      <c r="X1350" s="149">
        <v>45901</v>
      </c>
      <c r="Y1350" s="165" t="s">
        <v>2840</v>
      </c>
    </row>
    <row r="1351" spans="1:25">
      <c r="A1351" s="163" t="s">
        <v>423</v>
      </c>
      <c r="B1351" s="144" t="s">
        <v>2463</v>
      </c>
      <c r="C1351" s="164" t="s">
        <v>4801</v>
      </c>
      <c r="D1351" s="144" t="s">
        <v>2997</v>
      </c>
      <c r="E1351" s="150" t="s">
        <v>2466</v>
      </c>
      <c r="F1351" s="144" t="s">
        <v>2467</v>
      </c>
      <c r="G1351" s="166"/>
      <c r="H1351" s="151">
        <v>1</v>
      </c>
      <c r="I1351" s="160"/>
      <c r="J1351" s="159">
        <v>25</v>
      </c>
      <c r="K1351" s="161"/>
      <c r="L1351" s="159">
        <v>25</v>
      </c>
      <c r="M1351" s="160">
        <v>25</v>
      </c>
      <c r="N1351" s="145">
        <v>200</v>
      </c>
      <c r="O1351" s="156" t="s">
        <v>135</v>
      </c>
      <c r="P1351" s="144" t="s">
        <v>2468</v>
      </c>
      <c r="Q1351" s="147"/>
      <c r="R1351" s="146"/>
      <c r="S1351" s="157"/>
      <c r="T1351" s="144" t="s">
        <v>29</v>
      </c>
      <c r="U1351" s="150" t="s">
        <v>20</v>
      </c>
      <c r="V1351" s="146">
        <v>2964</v>
      </c>
      <c r="W1351" s="148"/>
      <c r="X1351" s="149"/>
      <c r="Y1351" s="165" t="s">
        <v>2474</v>
      </c>
    </row>
    <row r="1352" spans="1:25">
      <c r="A1352" s="163" t="s">
        <v>423</v>
      </c>
      <c r="B1352" s="144" t="s">
        <v>2463</v>
      </c>
      <c r="C1352" s="164" t="s">
        <v>4802</v>
      </c>
      <c r="D1352" s="144" t="s">
        <v>2997</v>
      </c>
      <c r="E1352" s="150" t="s">
        <v>2476</v>
      </c>
      <c r="F1352" s="144" t="s">
        <v>2477</v>
      </c>
      <c r="G1352" s="166"/>
      <c r="H1352" s="151">
        <v>1</v>
      </c>
      <c r="I1352" s="160"/>
      <c r="J1352" s="159">
        <v>15</v>
      </c>
      <c r="K1352" s="161"/>
      <c r="L1352" s="159">
        <v>15</v>
      </c>
      <c r="M1352" s="160">
        <v>15</v>
      </c>
      <c r="N1352" s="145"/>
      <c r="O1352" s="156" t="s">
        <v>135</v>
      </c>
      <c r="P1352" s="144" t="s">
        <v>2478</v>
      </c>
      <c r="Q1352" s="147"/>
      <c r="R1352" s="146"/>
      <c r="S1352" s="157"/>
      <c r="T1352" s="144" t="s">
        <v>29</v>
      </c>
      <c r="U1352" s="150" t="s">
        <v>2479</v>
      </c>
      <c r="V1352" s="146">
        <v>2949</v>
      </c>
      <c r="W1352" s="148"/>
      <c r="X1352" s="149"/>
      <c r="Y1352" s="165" t="s">
        <v>2474</v>
      </c>
    </row>
    <row r="1353" spans="1:25">
      <c r="A1353" s="163" t="s">
        <v>423</v>
      </c>
      <c r="B1353" s="144" t="s">
        <v>2463</v>
      </c>
      <c r="C1353" s="164" t="s">
        <v>4803</v>
      </c>
      <c r="D1353" s="144" t="s">
        <v>2997</v>
      </c>
      <c r="E1353" s="150" t="s">
        <v>2476</v>
      </c>
      <c r="F1353" s="144" t="s">
        <v>2477</v>
      </c>
      <c r="G1353" s="166"/>
      <c r="H1353" s="151">
        <v>1</v>
      </c>
      <c r="I1353" s="160"/>
      <c r="J1353" s="159">
        <v>15</v>
      </c>
      <c r="K1353" s="161"/>
      <c r="L1353" s="159">
        <v>15</v>
      </c>
      <c r="M1353" s="160">
        <v>15</v>
      </c>
      <c r="N1353" s="145"/>
      <c r="O1353" s="156" t="s">
        <v>135</v>
      </c>
      <c r="P1353" s="144" t="s">
        <v>2478</v>
      </c>
      <c r="Q1353" s="147"/>
      <c r="R1353" s="146"/>
      <c r="S1353" s="157"/>
      <c r="T1353" s="144" t="s">
        <v>29</v>
      </c>
      <c r="U1353" s="150" t="s">
        <v>2479</v>
      </c>
      <c r="V1353" s="146">
        <v>2963</v>
      </c>
      <c r="W1353" s="148"/>
      <c r="X1353" s="149"/>
      <c r="Y1353" s="165" t="s">
        <v>2474</v>
      </c>
    </row>
    <row r="1354" spans="1:25">
      <c r="A1354" s="163" t="s">
        <v>423</v>
      </c>
      <c r="B1354" s="144" t="s">
        <v>163</v>
      </c>
      <c r="C1354" s="164" t="s">
        <v>4804</v>
      </c>
      <c r="D1354" s="144" t="s">
        <v>1100</v>
      </c>
      <c r="E1354" s="150" t="s">
        <v>2485</v>
      </c>
      <c r="F1354" s="144" t="s">
        <v>2486</v>
      </c>
      <c r="G1354" s="166" t="s">
        <v>4805</v>
      </c>
      <c r="H1354" s="151">
        <v>12</v>
      </c>
      <c r="I1354" s="160">
        <v>1.75</v>
      </c>
      <c r="J1354" s="159">
        <v>1.75</v>
      </c>
      <c r="K1354" s="161">
        <v>21</v>
      </c>
      <c r="L1354" s="159">
        <v>21</v>
      </c>
      <c r="M1354" s="160">
        <v>21</v>
      </c>
      <c r="N1354" s="145"/>
      <c r="O1354" s="156" t="s">
        <v>166</v>
      </c>
      <c r="P1354" s="144" t="s">
        <v>2480</v>
      </c>
      <c r="Q1354" s="147"/>
      <c r="R1354" s="146">
        <v>2032</v>
      </c>
      <c r="S1354" s="157"/>
      <c r="T1354" s="144" t="s">
        <v>25</v>
      </c>
      <c r="U1354" s="150" t="s">
        <v>17</v>
      </c>
      <c r="V1354" s="146">
        <v>1208</v>
      </c>
      <c r="W1354" s="148"/>
      <c r="X1354" s="149">
        <v>45566</v>
      </c>
      <c r="Y1354" s="165" t="s">
        <v>2558</v>
      </c>
    </row>
    <row r="1355" spans="1:25" ht="20.6">
      <c r="A1355" s="163" t="s">
        <v>380</v>
      </c>
      <c r="B1355" s="144" t="s">
        <v>163</v>
      </c>
      <c r="C1355" s="164" t="s">
        <v>390</v>
      </c>
      <c r="D1355" s="144" t="s">
        <v>391</v>
      </c>
      <c r="E1355" s="150" t="s">
        <v>2639</v>
      </c>
      <c r="F1355" s="144" t="s">
        <v>2556</v>
      </c>
      <c r="G1355" s="166" t="s">
        <v>1268</v>
      </c>
      <c r="H1355" s="151">
        <v>1</v>
      </c>
      <c r="I1355" s="160">
        <v>0</v>
      </c>
      <c r="J1355" s="159">
        <v>200</v>
      </c>
      <c r="K1355" s="161">
        <v>0</v>
      </c>
      <c r="L1355" s="159">
        <v>200</v>
      </c>
      <c r="M1355" s="160">
        <v>200</v>
      </c>
      <c r="N1355" s="145"/>
      <c r="O1355" s="156" t="s">
        <v>3313</v>
      </c>
      <c r="P1355" s="144" t="s">
        <v>2468</v>
      </c>
      <c r="Q1355" s="147"/>
      <c r="R1355" s="146">
        <v>2026</v>
      </c>
      <c r="S1355" s="157">
        <v>46203</v>
      </c>
      <c r="T1355" s="144" t="s">
        <v>24</v>
      </c>
      <c r="U1355" s="150" t="s">
        <v>15</v>
      </c>
      <c r="V1355" s="146">
        <v>1210</v>
      </c>
      <c r="W1355" s="148"/>
      <c r="X1355" s="149">
        <v>45689</v>
      </c>
      <c r="Y1355" s="165" t="s">
        <v>2558</v>
      </c>
    </row>
    <row r="1356" spans="1:25" ht="20.6">
      <c r="A1356" s="163" t="s">
        <v>380</v>
      </c>
      <c r="B1356" s="144" t="s">
        <v>163</v>
      </c>
      <c r="C1356" s="164" t="s">
        <v>390</v>
      </c>
      <c r="D1356" s="144" t="s">
        <v>391</v>
      </c>
      <c r="E1356" s="150" t="s">
        <v>2639</v>
      </c>
      <c r="F1356" s="144" t="s">
        <v>2556</v>
      </c>
      <c r="G1356" s="166" t="s">
        <v>392</v>
      </c>
      <c r="H1356" s="151">
        <v>1</v>
      </c>
      <c r="I1356" s="160">
        <v>0</v>
      </c>
      <c r="J1356" s="159">
        <v>200</v>
      </c>
      <c r="K1356" s="161">
        <v>0</v>
      </c>
      <c r="L1356" s="159">
        <v>200</v>
      </c>
      <c r="M1356" s="160">
        <v>200</v>
      </c>
      <c r="N1356" s="145"/>
      <c r="O1356" s="156" t="s">
        <v>3313</v>
      </c>
      <c r="P1356" s="144" t="s">
        <v>2468</v>
      </c>
      <c r="Q1356" s="147"/>
      <c r="R1356" s="146">
        <v>2028</v>
      </c>
      <c r="S1356" s="157">
        <v>46934</v>
      </c>
      <c r="T1356" s="144" t="s">
        <v>24</v>
      </c>
      <c r="U1356" s="150" t="s">
        <v>15</v>
      </c>
      <c r="V1356" s="146">
        <v>1210</v>
      </c>
      <c r="W1356" s="148"/>
      <c r="X1356" s="149">
        <v>45689</v>
      </c>
      <c r="Y1356" s="165" t="s">
        <v>2558</v>
      </c>
    </row>
    <row r="1357" spans="1:25" ht="20.6">
      <c r="A1357" s="163" t="s">
        <v>380</v>
      </c>
      <c r="B1357" s="144" t="s">
        <v>163</v>
      </c>
      <c r="C1357" s="164" t="s">
        <v>390</v>
      </c>
      <c r="D1357" s="144" t="s">
        <v>391</v>
      </c>
      <c r="E1357" s="150" t="s">
        <v>2639</v>
      </c>
      <c r="F1357" s="144" t="s">
        <v>2556</v>
      </c>
      <c r="G1357" s="166" t="s">
        <v>394</v>
      </c>
      <c r="H1357" s="151">
        <v>1</v>
      </c>
      <c r="I1357" s="160">
        <v>0</v>
      </c>
      <c r="J1357" s="159">
        <v>200</v>
      </c>
      <c r="K1357" s="161">
        <v>0</v>
      </c>
      <c r="L1357" s="159">
        <v>200</v>
      </c>
      <c r="M1357" s="160">
        <v>200</v>
      </c>
      <c r="N1357" s="145"/>
      <c r="O1357" s="156" t="s">
        <v>3313</v>
      </c>
      <c r="P1357" s="144" t="s">
        <v>2468</v>
      </c>
      <c r="Q1357" s="147"/>
      <c r="R1357" s="146">
        <v>2028</v>
      </c>
      <c r="S1357" s="157">
        <v>46934</v>
      </c>
      <c r="T1357" s="144" t="s">
        <v>24</v>
      </c>
      <c r="U1357" s="150" t="s">
        <v>15</v>
      </c>
      <c r="V1357" s="146">
        <v>1210</v>
      </c>
      <c r="W1357" s="148"/>
      <c r="X1357" s="149">
        <v>45689</v>
      </c>
      <c r="Y1357" s="165" t="s">
        <v>2558</v>
      </c>
    </row>
    <row r="1358" spans="1:25" ht="20.6">
      <c r="A1358" s="163" t="s">
        <v>380</v>
      </c>
      <c r="B1358" s="144" t="s">
        <v>163</v>
      </c>
      <c r="C1358" s="164" t="s">
        <v>390</v>
      </c>
      <c r="D1358" s="144" t="s">
        <v>391</v>
      </c>
      <c r="E1358" s="150" t="s">
        <v>2639</v>
      </c>
      <c r="F1358" s="144" t="s">
        <v>2556</v>
      </c>
      <c r="G1358" s="166" t="s">
        <v>395</v>
      </c>
      <c r="H1358" s="151">
        <v>1</v>
      </c>
      <c r="I1358" s="160">
        <v>0</v>
      </c>
      <c r="J1358" s="159">
        <v>200</v>
      </c>
      <c r="K1358" s="161">
        <v>0</v>
      </c>
      <c r="L1358" s="159">
        <v>200</v>
      </c>
      <c r="M1358" s="160">
        <v>200</v>
      </c>
      <c r="N1358" s="145"/>
      <c r="O1358" s="156" t="s">
        <v>3313</v>
      </c>
      <c r="P1358" s="144" t="s">
        <v>2468</v>
      </c>
      <c r="Q1358" s="147"/>
      <c r="R1358" s="146">
        <v>2028</v>
      </c>
      <c r="S1358" s="157">
        <v>46934</v>
      </c>
      <c r="T1358" s="144" t="s">
        <v>24</v>
      </c>
      <c r="U1358" s="150" t="s">
        <v>15</v>
      </c>
      <c r="V1358" s="146">
        <v>1210</v>
      </c>
      <c r="W1358" s="148"/>
      <c r="X1358" s="149">
        <v>45689</v>
      </c>
      <c r="Y1358" s="165" t="s">
        <v>2558</v>
      </c>
    </row>
    <row r="1359" spans="1:25">
      <c r="A1359" s="163" t="s">
        <v>380</v>
      </c>
      <c r="B1359" s="144" t="s">
        <v>163</v>
      </c>
      <c r="C1359" s="164" t="s">
        <v>1130</v>
      </c>
      <c r="D1359" s="144" t="s">
        <v>1131</v>
      </c>
      <c r="E1359" s="150" t="s">
        <v>2466</v>
      </c>
      <c r="F1359" s="144" t="s">
        <v>2467</v>
      </c>
      <c r="G1359" s="166" t="s">
        <v>4806</v>
      </c>
      <c r="H1359" s="151">
        <v>109</v>
      </c>
      <c r="I1359" s="160"/>
      <c r="J1359" s="159">
        <v>2.2999999999999998</v>
      </c>
      <c r="K1359" s="161"/>
      <c r="L1359" s="159">
        <v>250.7</v>
      </c>
      <c r="M1359" s="160">
        <v>250.7</v>
      </c>
      <c r="N1359" s="145">
        <v>250</v>
      </c>
      <c r="O1359" s="156" t="s">
        <v>166</v>
      </c>
      <c r="P1359" s="144" t="s">
        <v>2468</v>
      </c>
      <c r="Q1359" s="147">
        <v>45139</v>
      </c>
      <c r="R1359" s="146">
        <v>2043</v>
      </c>
      <c r="S1359" s="157"/>
      <c r="T1359" s="144" t="s">
        <v>25</v>
      </c>
      <c r="U1359" s="150" t="s">
        <v>20</v>
      </c>
      <c r="V1359" s="146">
        <v>1866</v>
      </c>
      <c r="W1359" s="148"/>
      <c r="X1359" s="149">
        <v>45689</v>
      </c>
      <c r="Y1359" s="165" t="s">
        <v>2558</v>
      </c>
    </row>
    <row r="1360" spans="1:25">
      <c r="A1360" s="163" t="s">
        <v>7</v>
      </c>
      <c r="B1360" s="144" t="s">
        <v>163</v>
      </c>
      <c r="C1360" s="164" t="s">
        <v>4807</v>
      </c>
      <c r="D1360" s="144" t="s">
        <v>2505</v>
      </c>
      <c r="E1360" s="150" t="s">
        <v>2506</v>
      </c>
      <c r="F1360" s="144" t="s">
        <v>2507</v>
      </c>
      <c r="G1360" s="166" t="s">
        <v>4808</v>
      </c>
      <c r="H1360" s="151">
        <v>40</v>
      </c>
      <c r="I1360" s="160"/>
      <c r="J1360" s="159">
        <v>1.03</v>
      </c>
      <c r="K1360" s="161"/>
      <c r="L1360" s="159">
        <v>41.2</v>
      </c>
      <c r="M1360" s="160">
        <v>41.2</v>
      </c>
      <c r="N1360" s="145"/>
      <c r="O1360" s="156" t="s">
        <v>166</v>
      </c>
      <c r="P1360" s="144" t="s">
        <v>2480</v>
      </c>
      <c r="Q1360" s="147"/>
      <c r="R1360" s="146">
        <v>2036</v>
      </c>
      <c r="S1360" s="157"/>
      <c r="T1360" s="144" t="s">
        <v>25</v>
      </c>
      <c r="U1360" s="150" t="s">
        <v>15</v>
      </c>
      <c r="V1360" s="146">
        <v>1211</v>
      </c>
      <c r="W1360" s="148"/>
      <c r="X1360" s="149">
        <v>45566</v>
      </c>
      <c r="Y1360" s="165" t="s">
        <v>2509</v>
      </c>
    </row>
    <row r="1361" spans="1:25">
      <c r="A1361" s="163" t="s">
        <v>309</v>
      </c>
      <c r="B1361" s="144" t="s">
        <v>2463</v>
      </c>
      <c r="C1361" s="164" t="s">
        <v>4809</v>
      </c>
      <c r="D1361" s="144" t="s">
        <v>473</v>
      </c>
      <c r="E1361" s="150" t="s">
        <v>2466</v>
      </c>
      <c r="F1361" s="144" t="s">
        <v>2467</v>
      </c>
      <c r="G1361" s="166"/>
      <c r="H1361" s="151">
        <v>1</v>
      </c>
      <c r="I1361" s="160">
        <v>200</v>
      </c>
      <c r="J1361" s="159">
        <v>200</v>
      </c>
      <c r="K1361" s="161">
        <v>200</v>
      </c>
      <c r="L1361" s="159">
        <v>200</v>
      </c>
      <c r="M1361" s="160">
        <v>200</v>
      </c>
      <c r="N1361" s="145">
        <v>0</v>
      </c>
      <c r="O1361" s="156" t="s">
        <v>135</v>
      </c>
      <c r="P1361" s="144" t="s">
        <v>2468</v>
      </c>
      <c r="Q1361" s="147"/>
      <c r="R1361" s="146"/>
      <c r="S1361" s="157"/>
      <c r="T1361" s="144" t="s">
        <v>29</v>
      </c>
      <c r="U1361" s="150" t="s">
        <v>20</v>
      </c>
      <c r="V1361" s="146">
        <v>3074</v>
      </c>
      <c r="W1361" s="148" t="s">
        <v>4810</v>
      </c>
      <c r="X1361" s="149">
        <v>45901</v>
      </c>
      <c r="Y1361" s="165" t="s">
        <v>3142</v>
      </c>
    </row>
    <row r="1362" spans="1:25">
      <c r="A1362" s="163" t="s">
        <v>309</v>
      </c>
      <c r="B1362" s="144" t="s">
        <v>163</v>
      </c>
      <c r="C1362" s="164" t="s">
        <v>4811</v>
      </c>
      <c r="D1362" s="144" t="s">
        <v>4812</v>
      </c>
      <c r="E1362" s="150" t="s">
        <v>3100</v>
      </c>
      <c r="F1362" s="144" t="s">
        <v>2556</v>
      </c>
      <c r="G1362" s="166" t="s">
        <v>4813</v>
      </c>
      <c r="H1362" s="151">
        <v>1</v>
      </c>
      <c r="I1362" s="160"/>
      <c r="J1362" s="159">
        <v>160</v>
      </c>
      <c r="K1362" s="161"/>
      <c r="L1362" s="159">
        <v>160</v>
      </c>
      <c r="M1362" s="160">
        <v>160</v>
      </c>
      <c r="N1362" s="145"/>
      <c r="O1362" s="156" t="s">
        <v>166</v>
      </c>
      <c r="P1362" s="144" t="s">
        <v>2468</v>
      </c>
      <c r="Q1362" s="147"/>
      <c r="R1362" s="146">
        <v>2046</v>
      </c>
      <c r="S1362" s="157"/>
      <c r="T1362" s="144" t="s">
        <v>25</v>
      </c>
      <c r="U1362" s="150" t="s">
        <v>13</v>
      </c>
      <c r="V1362" s="146">
        <v>1724</v>
      </c>
      <c r="W1362" s="148"/>
      <c r="X1362" s="149">
        <v>45689</v>
      </c>
      <c r="Y1362" s="165" t="s">
        <v>2538</v>
      </c>
    </row>
    <row r="1363" spans="1:25">
      <c r="A1363" s="163" t="s">
        <v>309</v>
      </c>
      <c r="B1363" s="144" t="s">
        <v>163</v>
      </c>
      <c r="C1363" s="164" t="s">
        <v>4811</v>
      </c>
      <c r="D1363" s="144" t="s">
        <v>4812</v>
      </c>
      <c r="E1363" s="150" t="s">
        <v>3100</v>
      </c>
      <c r="F1363" s="144" t="s">
        <v>2556</v>
      </c>
      <c r="G1363" s="166" t="s">
        <v>4814</v>
      </c>
      <c r="H1363" s="151">
        <v>1</v>
      </c>
      <c r="I1363" s="160"/>
      <c r="J1363" s="159">
        <v>84</v>
      </c>
      <c r="K1363" s="161"/>
      <c r="L1363" s="159">
        <v>84</v>
      </c>
      <c r="M1363" s="160">
        <v>84</v>
      </c>
      <c r="N1363" s="145"/>
      <c r="O1363" s="156" t="s">
        <v>166</v>
      </c>
      <c r="P1363" s="144" t="s">
        <v>2468</v>
      </c>
      <c r="Q1363" s="147"/>
      <c r="R1363" s="146">
        <v>2046</v>
      </c>
      <c r="S1363" s="157"/>
      <c r="T1363" s="144" t="s">
        <v>25</v>
      </c>
      <c r="U1363" s="150" t="s">
        <v>13</v>
      </c>
      <c r="V1363" s="146">
        <v>1724</v>
      </c>
      <c r="W1363" s="148"/>
      <c r="X1363" s="149">
        <v>45689</v>
      </c>
      <c r="Y1363" s="165" t="s">
        <v>2538</v>
      </c>
    </row>
    <row r="1364" spans="1:25">
      <c r="A1364" s="163" t="s">
        <v>423</v>
      </c>
      <c r="B1364" s="144" t="s">
        <v>2463</v>
      </c>
      <c r="C1364" s="164" t="s">
        <v>4815</v>
      </c>
      <c r="D1364" s="144" t="s">
        <v>4816</v>
      </c>
      <c r="E1364" s="150" t="s">
        <v>2491</v>
      </c>
      <c r="F1364" s="144" t="s">
        <v>2477</v>
      </c>
      <c r="G1364" s="166"/>
      <c r="H1364" s="151">
        <v>40</v>
      </c>
      <c r="I1364" s="160">
        <v>5</v>
      </c>
      <c r="J1364" s="159">
        <v>5</v>
      </c>
      <c r="K1364" s="161">
        <v>200</v>
      </c>
      <c r="L1364" s="159">
        <v>200</v>
      </c>
      <c r="M1364" s="160">
        <v>200</v>
      </c>
      <c r="N1364" s="145"/>
      <c r="O1364" s="156" t="s">
        <v>135</v>
      </c>
      <c r="P1364" s="144" t="s">
        <v>2478</v>
      </c>
      <c r="Q1364" s="147"/>
      <c r="R1364" s="146"/>
      <c r="S1364" s="157"/>
      <c r="T1364" s="144" t="s">
        <v>29</v>
      </c>
      <c r="U1364" s="150" t="s">
        <v>2479</v>
      </c>
      <c r="V1364" s="146">
        <v>3085</v>
      </c>
      <c r="W1364" s="148"/>
      <c r="X1364" s="149">
        <v>45901</v>
      </c>
      <c r="Y1364" s="165" t="s">
        <v>2578</v>
      </c>
    </row>
    <row r="1365" spans="1:25">
      <c r="A1365" s="163" t="s">
        <v>423</v>
      </c>
      <c r="B1365" s="144" t="s">
        <v>2463</v>
      </c>
      <c r="C1365" s="164" t="s">
        <v>4815</v>
      </c>
      <c r="D1365" s="144" t="s">
        <v>4816</v>
      </c>
      <c r="E1365" s="150" t="s">
        <v>2466</v>
      </c>
      <c r="F1365" s="144" t="s">
        <v>2477</v>
      </c>
      <c r="G1365" s="166"/>
      <c r="H1365" s="151">
        <v>1</v>
      </c>
      <c r="I1365" s="160">
        <v>200</v>
      </c>
      <c r="J1365" s="159">
        <v>200</v>
      </c>
      <c r="K1365" s="161">
        <v>200</v>
      </c>
      <c r="L1365" s="159">
        <v>200</v>
      </c>
      <c r="M1365" s="160">
        <v>200</v>
      </c>
      <c r="N1365" s="145">
        <v>800</v>
      </c>
      <c r="O1365" s="156" t="s">
        <v>135</v>
      </c>
      <c r="P1365" s="144" t="s">
        <v>2468</v>
      </c>
      <c r="Q1365" s="147"/>
      <c r="R1365" s="146"/>
      <c r="S1365" s="157"/>
      <c r="T1365" s="144" t="s">
        <v>29</v>
      </c>
      <c r="U1365" s="150" t="s">
        <v>20</v>
      </c>
      <c r="V1365" s="146">
        <v>3085</v>
      </c>
      <c r="W1365" s="148"/>
      <c r="X1365" s="149">
        <v>45901</v>
      </c>
      <c r="Y1365" s="165" t="s">
        <v>2578</v>
      </c>
    </row>
    <row r="1366" spans="1:25">
      <c r="A1366" s="163" t="s">
        <v>423</v>
      </c>
      <c r="B1366" s="144" t="s">
        <v>2463</v>
      </c>
      <c r="C1366" s="164" t="s">
        <v>4817</v>
      </c>
      <c r="D1366" s="144" t="s">
        <v>4818</v>
      </c>
      <c r="E1366" s="150" t="s">
        <v>2466</v>
      </c>
      <c r="F1366" s="144" t="s">
        <v>2467</v>
      </c>
      <c r="G1366" s="166"/>
      <c r="H1366" s="151">
        <v>1</v>
      </c>
      <c r="I1366" s="160"/>
      <c r="J1366" s="159">
        <v>300</v>
      </c>
      <c r="K1366" s="161"/>
      <c r="L1366" s="159">
        <v>300</v>
      </c>
      <c r="M1366" s="160">
        <v>300</v>
      </c>
      <c r="N1366" s="145">
        <v>1200</v>
      </c>
      <c r="O1366" s="156" t="s">
        <v>135</v>
      </c>
      <c r="P1366" s="144" t="s">
        <v>2468</v>
      </c>
      <c r="Q1366" s="147"/>
      <c r="R1366" s="146"/>
      <c r="S1366" s="157"/>
      <c r="T1366" s="144" t="s">
        <v>29</v>
      </c>
      <c r="U1366" s="150" t="s">
        <v>20</v>
      </c>
      <c r="V1366" s="146">
        <v>2898</v>
      </c>
      <c r="W1366" s="148" t="s">
        <v>4819</v>
      </c>
      <c r="X1366" s="149"/>
      <c r="Y1366" s="165" t="s">
        <v>2470</v>
      </c>
    </row>
    <row r="1367" spans="1:25">
      <c r="A1367" s="163" t="s">
        <v>423</v>
      </c>
      <c r="B1367" s="144" t="s">
        <v>163</v>
      </c>
      <c r="C1367" s="164" t="s">
        <v>1012</v>
      </c>
      <c r="D1367" s="144" t="s">
        <v>1013</v>
      </c>
      <c r="E1367" s="150" t="s">
        <v>2506</v>
      </c>
      <c r="F1367" s="144" t="s">
        <v>2814</v>
      </c>
      <c r="G1367" s="166" t="s">
        <v>4820</v>
      </c>
      <c r="H1367" s="151">
        <v>1</v>
      </c>
      <c r="I1367" s="160"/>
      <c r="J1367" s="159">
        <v>10</v>
      </c>
      <c r="K1367" s="161"/>
      <c r="L1367" s="159">
        <v>10</v>
      </c>
      <c r="M1367" s="160">
        <v>10</v>
      </c>
      <c r="N1367" s="145"/>
      <c r="O1367" s="156" t="s">
        <v>166</v>
      </c>
      <c r="P1367" s="144" t="s">
        <v>2480</v>
      </c>
      <c r="Q1367" s="147"/>
      <c r="R1367" s="146">
        <v>2050</v>
      </c>
      <c r="S1367" s="157"/>
      <c r="T1367" s="144" t="s">
        <v>25</v>
      </c>
      <c r="U1367" s="150" t="s">
        <v>15</v>
      </c>
      <c r="V1367" s="146">
        <v>2863</v>
      </c>
      <c r="W1367" s="148"/>
      <c r="X1367" s="149"/>
      <c r="Y1367" s="165"/>
    </row>
    <row r="1368" spans="1:25">
      <c r="A1368" s="163" t="s">
        <v>565</v>
      </c>
      <c r="B1368" s="144" t="s">
        <v>163</v>
      </c>
      <c r="C1368" s="164" t="s">
        <v>4821</v>
      </c>
      <c r="D1368" s="144" t="s">
        <v>1137</v>
      </c>
      <c r="E1368" s="150" t="s">
        <v>2593</v>
      </c>
      <c r="F1368" s="144" t="s">
        <v>2482</v>
      </c>
      <c r="G1368" s="166" t="s">
        <v>4822</v>
      </c>
      <c r="H1368" s="151">
        <v>2</v>
      </c>
      <c r="I1368" s="160">
        <v>20</v>
      </c>
      <c r="J1368" s="159">
        <v>20</v>
      </c>
      <c r="K1368" s="161">
        <v>40</v>
      </c>
      <c r="L1368" s="159">
        <v>40</v>
      </c>
      <c r="M1368" s="160">
        <v>40</v>
      </c>
      <c r="N1368" s="145"/>
      <c r="O1368" s="156" t="s">
        <v>166</v>
      </c>
      <c r="P1368" s="144" t="s">
        <v>2468</v>
      </c>
      <c r="Q1368" s="147"/>
      <c r="R1368" s="146">
        <v>2100</v>
      </c>
      <c r="S1368" s="157"/>
      <c r="T1368" s="144" t="s">
        <v>25</v>
      </c>
      <c r="U1368" s="150" t="s">
        <v>18</v>
      </c>
      <c r="V1368" s="146">
        <v>1213</v>
      </c>
      <c r="W1368" s="148"/>
      <c r="X1368" s="149">
        <v>45689</v>
      </c>
      <c r="Y1368" s="165" t="s">
        <v>2541</v>
      </c>
    </row>
    <row r="1369" spans="1:25">
      <c r="A1369" s="163" t="s">
        <v>565</v>
      </c>
      <c r="B1369" s="144" t="s">
        <v>163</v>
      </c>
      <c r="C1369" s="164" t="s">
        <v>4821</v>
      </c>
      <c r="D1369" s="144" t="s">
        <v>1137</v>
      </c>
      <c r="E1369" s="150" t="s">
        <v>2593</v>
      </c>
      <c r="F1369" s="144" t="s">
        <v>2482</v>
      </c>
      <c r="G1369" s="166" t="s">
        <v>4822</v>
      </c>
      <c r="H1369" s="151">
        <v>2</v>
      </c>
      <c r="I1369" s="160">
        <v>26.5</v>
      </c>
      <c r="J1369" s="159">
        <v>26.5</v>
      </c>
      <c r="K1369" s="161">
        <v>53</v>
      </c>
      <c r="L1369" s="159">
        <v>53</v>
      </c>
      <c r="M1369" s="160">
        <v>53</v>
      </c>
      <c r="N1369" s="145"/>
      <c r="O1369" s="156" t="s">
        <v>166</v>
      </c>
      <c r="P1369" s="144" t="s">
        <v>2468</v>
      </c>
      <c r="Q1369" s="147"/>
      <c r="R1369" s="146">
        <v>2100</v>
      </c>
      <c r="S1369" s="157"/>
      <c r="T1369" s="144" t="s">
        <v>25</v>
      </c>
      <c r="U1369" s="150" t="s">
        <v>18</v>
      </c>
      <c r="V1369" s="146">
        <v>1213</v>
      </c>
      <c r="W1369" s="148"/>
      <c r="X1369" s="149">
        <v>45689</v>
      </c>
      <c r="Y1369" s="165" t="s">
        <v>2541</v>
      </c>
    </row>
    <row r="1370" spans="1:25">
      <c r="A1370" s="163" t="s">
        <v>565</v>
      </c>
      <c r="B1370" s="144" t="s">
        <v>2463</v>
      </c>
      <c r="C1370" s="164" t="s">
        <v>4823</v>
      </c>
      <c r="D1370" s="144" t="s">
        <v>4824</v>
      </c>
      <c r="E1370" s="150" t="s">
        <v>2485</v>
      </c>
      <c r="F1370" s="144" t="s">
        <v>2486</v>
      </c>
      <c r="G1370" s="166"/>
      <c r="H1370" s="151">
        <v>4</v>
      </c>
      <c r="I1370" s="160">
        <v>4</v>
      </c>
      <c r="J1370" s="159">
        <v>8</v>
      </c>
      <c r="K1370" s="161">
        <v>16</v>
      </c>
      <c r="L1370" s="159">
        <v>32</v>
      </c>
      <c r="M1370" s="160" t="s">
        <v>4825</v>
      </c>
      <c r="N1370" s="145"/>
      <c r="O1370" s="156" t="s">
        <v>135</v>
      </c>
      <c r="P1370" s="144" t="s">
        <v>2478</v>
      </c>
      <c r="Q1370" s="147"/>
      <c r="R1370" s="146"/>
      <c r="S1370" s="157"/>
      <c r="T1370" s="144" t="s">
        <v>29</v>
      </c>
      <c r="U1370" s="150" t="s">
        <v>17</v>
      </c>
      <c r="V1370" s="146">
        <v>2228</v>
      </c>
      <c r="W1370" s="148" t="s">
        <v>4826</v>
      </c>
      <c r="X1370" s="149">
        <v>45689</v>
      </c>
      <c r="Y1370" s="165" t="s">
        <v>2538</v>
      </c>
    </row>
    <row r="1371" spans="1:25">
      <c r="A1371" s="163" t="s">
        <v>565</v>
      </c>
      <c r="B1371" s="144" t="s">
        <v>163</v>
      </c>
      <c r="C1371" s="164" t="s">
        <v>4827</v>
      </c>
      <c r="D1371" s="144" t="s">
        <v>1137</v>
      </c>
      <c r="E1371" s="150" t="s">
        <v>2593</v>
      </c>
      <c r="F1371" s="144" t="s">
        <v>2482</v>
      </c>
      <c r="G1371" s="166" t="s">
        <v>4828</v>
      </c>
      <c r="H1371" s="151">
        <v>1</v>
      </c>
      <c r="I1371" s="160">
        <v>82.8</v>
      </c>
      <c r="J1371" s="159">
        <v>82.8</v>
      </c>
      <c r="K1371" s="161">
        <v>82.8</v>
      </c>
      <c r="L1371" s="159">
        <v>82.8</v>
      </c>
      <c r="M1371" s="160">
        <v>82.8</v>
      </c>
      <c r="N1371" s="145"/>
      <c r="O1371" s="156" t="s">
        <v>166</v>
      </c>
      <c r="P1371" s="144" t="s">
        <v>2468</v>
      </c>
      <c r="Q1371" s="147"/>
      <c r="R1371" s="146">
        <v>2100</v>
      </c>
      <c r="S1371" s="157"/>
      <c r="T1371" s="144" t="s">
        <v>25</v>
      </c>
      <c r="U1371" s="150" t="s">
        <v>18</v>
      </c>
      <c r="V1371" s="146">
        <v>1214</v>
      </c>
      <c r="W1371" s="148"/>
      <c r="X1371" s="149">
        <v>45689</v>
      </c>
      <c r="Y1371" s="165" t="s">
        <v>2541</v>
      </c>
    </row>
    <row r="1372" spans="1:25">
      <c r="A1372" s="163" t="s">
        <v>565</v>
      </c>
      <c r="B1372" s="144" t="s">
        <v>2463</v>
      </c>
      <c r="C1372" s="164" t="s">
        <v>4829</v>
      </c>
      <c r="D1372" s="144" t="s">
        <v>1137</v>
      </c>
      <c r="E1372" s="150" t="s">
        <v>2636</v>
      </c>
      <c r="F1372" s="144" t="s">
        <v>2482</v>
      </c>
      <c r="G1372" s="166"/>
      <c r="H1372" s="151">
        <v>4</v>
      </c>
      <c r="I1372" s="160"/>
      <c r="J1372" s="159">
        <v>187.5</v>
      </c>
      <c r="K1372" s="161"/>
      <c r="L1372" s="159">
        <v>750</v>
      </c>
      <c r="M1372" s="160">
        <v>750</v>
      </c>
      <c r="N1372" s="145">
        <v>18750</v>
      </c>
      <c r="O1372" s="156" t="s">
        <v>135</v>
      </c>
      <c r="P1372" s="144" t="s">
        <v>2468</v>
      </c>
      <c r="Q1372" s="147"/>
      <c r="R1372" s="146"/>
      <c r="S1372" s="157"/>
      <c r="T1372" s="144" t="s">
        <v>29</v>
      </c>
      <c r="U1372" s="150" t="s">
        <v>18</v>
      </c>
      <c r="V1372" s="146">
        <v>2226</v>
      </c>
      <c r="W1372" s="148" t="s">
        <v>4830</v>
      </c>
      <c r="X1372" s="149">
        <v>45689</v>
      </c>
      <c r="Y1372" s="165" t="s">
        <v>2637</v>
      </c>
    </row>
    <row r="1373" spans="1:25">
      <c r="A1373" s="163" t="s">
        <v>309</v>
      </c>
      <c r="B1373" s="144" t="s">
        <v>2463</v>
      </c>
      <c r="C1373" s="164" t="s">
        <v>4831</v>
      </c>
      <c r="D1373" s="144" t="s">
        <v>4832</v>
      </c>
      <c r="E1373" s="150" t="s">
        <v>2466</v>
      </c>
      <c r="F1373" s="144" t="s">
        <v>2467</v>
      </c>
      <c r="G1373" s="166"/>
      <c r="H1373" s="151">
        <v>1</v>
      </c>
      <c r="I1373" s="160"/>
      <c r="J1373" s="159">
        <v>500</v>
      </c>
      <c r="K1373" s="161"/>
      <c r="L1373" s="159">
        <v>500</v>
      </c>
      <c r="M1373" s="160">
        <v>500</v>
      </c>
      <c r="N1373" s="145">
        <v>500</v>
      </c>
      <c r="O1373" s="156" t="s">
        <v>135</v>
      </c>
      <c r="P1373" s="144" t="s">
        <v>2468</v>
      </c>
      <c r="Q1373" s="147"/>
      <c r="R1373" s="146"/>
      <c r="S1373" s="157"/>
      <c r="T1373" s="144" t="s">
        <v>29</v>
      </c>
      <c r="U1373" s="150" t="s">
        <v>20</v>
      </c>
      <c r="V1373" s="146">
        <v>3003</v>
      </c>
      <c r="W1373" s="148"/>
      <c r="X1373" s="149">
        <v>45901</v>
      </c>
      <c r="Y1373" s="165" t="s">
        <v>2800</v>
      </c>
    </row>
    <row r="1374" spans="1:25">
      <c r="A1374" s="163" t="s">
        <v>309</v>
      </c>
      <c r="B1374" s="144" t="s">
        <v>2463</v>
      </c>
      <c r="C1374" s="164" t="s">
        <v>4833</v>
      </c>
      <c r="D1374" s="144" t="s">
        <v>643</v>
      </c>
      <c r="E1374" s="150" t="s">
        <v>2466</v>
      </c>
      <c r="F1374" s="144" t="s">
        <v>2467</v>
      </c>
      <c r="G1374" s="166"/>
      <c r="H1374" s="151">
        <v>1</v>
      </c>
      <c r="I1374" s="160"/>
      <c r="J1374" s="159">
        <v>200</v>
      </c>
      <c r="K1374" s="161"/>
      <c r="L1374" s="159">
        <v>200</v>
      </c>
      <c r="M1374" s="160">
        <v>200</v>
      </c>
      <c r="N1374" s="145">
        <v>200</v>
      </c>
      <c r="O1374" s="156" t="s">
        <v>135</v>
      </c>
      <c r="P1374" s="144" t="s">
        <v>2468</v>
      </c>
      <c r="Q1374" s="147"/>
      <c r="R1374" s="146"/>
      <c r="S1374" s="157"/>
      <c r="T1374" s="144" t="s">
        <v>29</v>
      </c>
      <c r="U1374" s="150" t="s">
        <v>20</v>
      </c>
      <c r="V1374" s="146">
        <v>3002</v>
      </c>
      <c r="W1374" s="148"/>
      <c r="X1374" s="149">
        <v>45778</v>
      </c>
      <c r="Y1374" s="165"/>
    </row>
    <row r="1375" spans="1:25">
      <c r="A1375" s="163" t="s">
        <v>309</v>
      </c>
      <c r="B1375" s="144" t="s">
        <v>163</v>
      </c>
      <c r="C1375" s="164" t="s">
        <v>953</v>
      </c>
      <c r="D1375" s="144" t="s">
        <v>954</v>
      </c>
      <c r="E1375" s="150" t="s">
        <v>2918</v>
      </c>
      <c r="F1375" s="144" t="s">
        <v>3104</v>
      </c>
      <c r="G1375" s="166" t="s">
        <v>4834</v>
      </c>
      <c r="H1375" s="151">
        <v>1</v>
      </c>
      <c r="I1375" s="160"/>
      <c r="J1375" s="159">
        <v>32</v>
      </c>
      <c r="K1375" s="161"/>
      <c r="L1375" s="159">
        <v>32</v>
      </c>
      <c r="M1375" s="160">
        <v>32</v>
      </c>
      <c r="N1375" s="145"/>
      <c r="O1375" s="156" t="s">
        <v>166</v>
      </c>
      <c r="P1375" s="144" t="s">
        <v>2480</v>
      </c>
      <c r="Q1375" s="147"/>
      <c r="R1375" s="146">
        <v>2050</v>
      </c>
      <c r="S1375" s="157"/>
      <c r="T1375" s="144" t="s">
        <v>25</v>
      </c>
      <c r="U1375" s="150" t="s">
        <v>19</v>
      </c>
      <c r="V1375" s="146">
        <v>2865</v>
      </c>
      <c r="W1375" s="148"/>
      <c r="X1375" s="149"/>
      <c r="Y1375" s="165"/>
    </row>
    <row r="1376" spans="1:25">
      <c r="A1376" s="163" t="s">
        <v>309</v>
      </c>
      <c r="B1376" s="144" t="s">
        <v>2463</v>
      </c>
      <c r="C1376" s="164" t="s">
        <v>4835</v>
      </c>
      <c r="D1376" s="144" t="s">
        <v>3551</v>
      </c>
      <c r="E1376" s="150" t="s">
        <v>2466</v>
      </c>
      <c r="F1376" s="144" t="s">
        <v>2467</v>
      </c>
      <c r="G1376" s="166"/>
      <c r="H1376" s="151">
        <v>1</v>
      </c>
      <c r="I1376" s="160">
        <v>500</v>
      </c>
      <c r="J1376" s="159">
        <v>500</v>
      </c>
      <c r="K1376" s="161">
        <v>500</v>
      </c>
      <c r="L1376" s="159">
        <v>500</v>
      </c>
      <c r="M1376" s="160">
        <v>500</v>
      </c>
      <c r="N1376" s="145">
        <v>1000</v>
      </c>
      <c r="O1376" s="156" t="s">
        <v>135</v>
      </c>
      <c r="P1376" s="144" t="s">
        <v>2468</v>
      </c>
      <c r="Q1376" s="147"/>
      <c r="R1376" s="146"/>
      <c r="S1376" s="157"/>
      <c r="T1376" s="144" t="s">
        <v>29</v>
      </c>
      <c r="U1376" s="150" t="s">
        <v>20</v>
      </c>
      <c r="V1376" s="146">
        <v>2850</v>
      </c>
      <c r="W1376" s="148" t="s">
        <v>4836</v>
      </c>
      <c r="X1376" s="149">
        <v>45901</v>
      </c>
      <c r="Y1376" s="165" t="s">
        <v>2524</v>
      </c>
    </row>
    <row r="1377" spans="1:25">
      <c r="A1377" s="163" t="s">
        <v>309</v>
      </c>
      <c r="B1377" s="144" t="s">
        <v>2463</v>
      </c>
      <c r="C1377" s="164" t="s">
        <v>4837</v>
      </c>
      <c r="D1377" s="144" t="s">
        <v>3551</v>
      </c>
      <c r="E1377" s="150" t="s">
        <v>2476</v>
      </c>
      <c r="F1377" s="144" t="s">
        <v>2477</v>
      </c>
      <c r="G1377" s="166"/>
      <c r="H1377" s="151">
        <v>1</v>
      </c>
      <c r="I1377" s="160">
        <v>500</v>
      </c>
      <c r="J1377" s="159">
        <v>500</v>
      </c>
      <c r="K1377" s="161">
        <v>500</v>
      </c>
      <c r="L1377" s="159">
        <v>500</v>
      </c>
      <c r="M1377" s="160">
        <v>500</v>
      </c>
      <c r="N1377" s="145"/>
      <c r="O1377" s="156" t="s">
        <v>135</v>
      </c>
      <c r="P1377" s="144" t="s">
        <v>2478</v>
      </c>
      <c r="Q1377" s="147"/>
      <c r="R1377" s="146"/>
      <c r="S1377" s="157"/>
      <c r="T1377" s="144" t="s">
        <v>29</v>
      </c>
      <c r="U1377" s="150" t="s">
        <v>2479</v>
      </c>
      <c r="V1377" s="146">
        <v>2849</v>
      </c>
      <c r="W1377" s="148" t="s">
        <v>4836</v>
      </c>
      <c r="X1377" s="149">
        <v>45901</v>
      </c>
      <c r="Y1377" s="165" t="s">
        <v>2524</v>
      </c>
    </row>
    <row r="1378" spans="1:25">
      <c r="A1378" s="163" t="s">
        <v>309</v>
      </c>
      <c r="B1378" s="144" t="s">
        <v>2463</v>
      </c>
      <c r="C1378" s="164" t="s">
        <v>4838</v>
      </c>
      <c r="D1378" s="144" t="s">
        <v>4839</v>
      </c>
      <c r="E1378" s="150" t="s">
        <v>2466</v>
      </c>
      <c r="F1378" s="144" t="s">
        <v>2467</v>
      </c>
      <c r="G1378" s="166"/>
      <c r="H1378" s="151">
        <v>1</v>
      </c>
      <c r="I1378" s="160">
        <v>295</v>
      </c>
      <c r="J1378" s="159">
        <v>295</v>
      </c>
      <c r="K1378" s="161">
        <v>295</v>
      </c>
      <c r="L1378" s="159">
        <v>295</v>
      </c>
      <c r="M1378" s="160">
        <v>295</v>
      </c>
      <c r="N1378" s="145">
        <v>0</v>
      </c>
      <c r="O1378" s="156" t="s">
        <v>135</v>
      </c>
      <c r="P1378" s="144" t="s">
        <v>2468</v>
      </c>
      <c r="Q1378" s="147"/>
      <c r="R1378" s="146"/>
      <c r="S1378" s="157"/>
      <c r="T1378" s="144" t="s">
        <v>29</v>
      </c>
      <c r="U1378" s="150" t="s">
        <v>20</v>
      </c>
      <c r="V1378" s="146">
        <v>2496</v>
      </c>
      <c r="W1378" s="148" t="s">
        <v>4840</v>
      </c>
      <c r="X1378" s="149">
        <v>45901</v>
      </c>
      <c r="Y1378" s="165" t="s">
        <v>3028</v>
      </c>
    </row>
    <row r="1379" spans="1:25">
      <c r="A1379" s="163" t="s">
        <v>309</v>
      </c>
      <c r="B1379" s="144" t="s">
        <v>2463</v>
      </c>
      <c r="C1379" s="164" t="s">
        <v>4841</v>
      </c>
      <c r="D1379" s="144" t="s">
        <v>4839</v>
      </c>
      <c r="E1379" s="150" t="s">
        <v>2476</v>
      </c>
      <c r="F1379" s="144" t="s">
        <v>2477</v>
      </c>
      <c r="G1379" s="166"/>
      <c r="H1379" s="151">
        <v>1</v>
      </c>
      <c r="I1379" s="160">
        <v>464</v>
      </c>
      <c r="J1379" s="159">
        <v>464</v>
      </c>
      <c r="K1379" s="161">
        <v>464</v>
      </c>
      <c r="L1379" s="159">
        <v>464</v>
      </c>
      <c r="M1379" s="160">
        <v>464</v>
      </c>
      <c r="N1379" s="145"/>
      <c r="O1379" s="156" t="s">
        <v>135</v>
      </c>
      <c r="P1379" s="144" t="s">
        <v>2478</v>
      </c>
      <c r="Q1379" s="147"/>
      <c r="R1379" s="146"/>
      <c r="S1379" s="157"/>
      <c r="T1379" s="144" t="s">
        <v>29</v>
      </c>
      <c r="U1379" s="150" t="s">
        <v>2479</v>
      </c>
      <c r="V1379" s="146">
        <v>2495</v>
      </c>
      <c r="W1379" s="148" t="s">
        <v>4840</v>
      </c>
      <c r="X1379" s="149">
        <v>45901</v>
      </c>
      <c r="Y1379" s="165" t="s">
        <v>3028</v>
      </c>
    </row>
    <row r="1380" spans="1:25">
      <c r="A1380" s="163" t="s">
        <v>7</v>
      </c>
      <c r="B1380" s="144" t="s">
        <v>163</v>
      </c>
      <c r="C1380" s="164" t="s">
        <v>4842</v>
      </c>
      <c r="D1380" s="144" t="s">
        <v>218</v>
      </c>
      <c r="E1380" s="150" t="s">
        <v>2593</v>
      </c>
      <c r="F1380" s="144" t="s">
        <v>2482</v>
      </c>
      <c r="G1380" s="166" t="s">
        <v>4843</v>
      </c>
      <c r="H1380" s="151">
        <v>6</v>
      </c>
      <c r="I1380" s="160"/>
      <c r="J1380" s="159">
        <v>250</v>
      </c>
      <c r="K1380" s="161"/>
      <c r="L1380" s="159">
        <v>1500</v>
      </c>
      <c r="M1380" s="160">
        <v>1500</v>
      </c>
      <c r="N1380" s="145"/>
      <c r="O1380" s="156" t="s">
        <v>166</v>
      </c>
      <c r="P1380" s="144" t="s">
        <v>2468</v>
      </c>
      <c r="Q1380" s="147"/>
      <c r="R1380" s="146">
        <v>2070</v>
      </c>
      <c r="S1380" s="157"/>
      <c r="T1380" s="144" t="s">
        <v>25</v>
      </c>
      <c r="U1380" s="150" t="s">
        <v>18</v>
      </c>
      <c r="V1380" s="146">
        <v>1215</v>
      </c>
      <c r="W1380" s="148"/>
      <c r="X1380" s="149">
        <v>45689</v>
      </c>
      <c r="Y1380" s="165" t="s">
        <v>2500</v>
      </c>
    </row>
    <row r="1381" spans="1:25">
      <c r="A1381" s="163" t="s">
        <v>565</v>
      </c>
      <c r="B1381" s="144" t="s">
        <v>163</v>
      </c>
      <c r="C1381" s="164" t="s">
        <v>4844</v>
      </c>
      <c r="D1381" s="144" t="s">
        <v>1137</v>
      </c>
      <c r="E1381" s="150" t="s">
        <v>2593</v>
      </c>
      <c r="F1381" s="144" t="s">
        <v>2482</v>
      </c>
      <c r="G1381" s="166" t="s">
        <v>4845</v>
      </c>
      <c r="H1381" s="151">
        <v>5</v>
      </c>
      <c r="I1381" s="160">
        <v>25</v>
      </c>
      <c r="J1381" s="159">
        <v>25</v>
      </c>
      <c r="K1381" s="161">
        <v>125</v>
      </c>
      <c r="L1381" s="159">
        <v>125</v>
      </c>
      <c r="M1381" s="160">
        <v>125</v>
      </c>
      <c r="N1381" s="145"/>
      <c r="O1381" s="156" t="s">
        <v>166</v>
      </c>
      <c r="P1381" s="144" t="s">
        <v>2468</v>
      </c>
      <c r="Q1381" s="147"/>
      <c r="R1381" s="146">
        <v>2100</v>
      </c>
      <c r="S1381" s="157"/>
      <c r="T1381" s="144" t="s">
        <v>25</v>
      </c>
      <c r="U1381" s="150" t="s">
        <v>18</v>
      </c>
      <c r="V1381" s="146">
        <v>1216</v>
      </c>
      <c r="W1381" s="148"/>
      <c r="X1381" s="149">
        <v>45689</v>
      </c>
      <c r="Y1381" s="165" t="s">
        <v>2541</v>
      </c>
    </row>
    <row r="1382" spans="1:25">
      <c r="A1382" s="163" t="s">
        <v>380</v>
      </c>
      <c r="B1382" s="144" t="s">
        <v>2463</v>
      </c>
      <c r="C1382" s="164" t="s">
        <v>4846</v>
      </c>
      <c r="D1382" s="144" t="s">
        <v>249</v>
      </c>
      <c r="E1382" s="150" t="s">
        <v>2466</v>
      </c>
      <c r="F1382" s="144" t="s">
        <v>2467</v>
      </c>
      <c r="G1382" s="166"/>
      <c r="H1382" s="151">
        <v>1</v>
      </c>
      <c r="I1382" s="160"/>
      <c r="J1382" s="159">
        <v>270</v>
      </c>
      <c r="K1382" s="161"/>
      <c r="L1382" s="159">
        <v>270</v>
      </c>
      <c r="M1382" s="160">
        <v>270</v>
      </c>
      <c r="N1382" s="145">
        <v>1215</v>
      </c>
      <c r="O1382" s="156" t="s">
        <v>135</v>
      </c>
      <c r="P1382" s="144" t="s">
        <v>2468</v>
      </c>
      <c r="Q1382" s="147">
        <v>47270</v>
      </c>
      <c r="R1382" s="146">
        <v>2058</v>
      </c>
      <c r="S1382" s="157"/>
      <c r="T1382" s="144" t="s">
        <v>29</v>
      </c>
      <c r="U1382" s="150" t="s">
        <v>20</v>
      </c>
      <c r="V1382" s="146">
        <v>2735</v>
      </c>
      <c r="W1382" s="148" t="s">
        <v>4847</v>
      </c>
      <c r="X1382" s="149"/>
      <c r="Y1382" s="165"/>
    </row>
    <row r="1383" spans="1:25">
      <c r="A1383" s="163" t="s">
        <v>309</v>
      </c>
      <c r="B1383" s="144" t="s">
        <v>2463</v>
      </c>
      <c r="C1383" s="164" t="s">
        <v>4848</v>
      </c>
      <c r="D1383" s="144" t="s">
        <v>4791</v>
      </c>
      <c r="E1383" s="150" t="s">
        <v>2466</v>
      </c>
      <c r="F1383" s="144" t="s">
        <v>2467</v>
      </c>
      <c r="G1383" s="166"/>
      <c r="H1383" s="151">
        <v>1</v>
      </c>
      <c r="I1383" s="160">
        <v>400</v>
      </c>
      <c r="J1383" s="159">
        <v>400</v>
      </c>
      <c r="K1383" s="161">
        <v>400</v>
      </c>
      <c r="L1383" s="159">
        <v>400</v>
      </c>
      <c r="M1383" s="160">
        <v>400</v>
      </c>
      <c r="N1383" s="145">
        <v>400</v>
      </c>
      <c r="O1383" s="156" t="s">
        <v>135</v>
      </c>
      <c r="P1383" s="144" t="s">
        <v>2468</v>
      </c>
      <c r="Q1383" s="147"/>
      <c r="R1383" s="146"/>
      <c r="S1383" s="157"/>
      <c r="T1383" s="144" t="s">
        <v>29</v>
      </c>
      <c r="U1383" s="150" t="s">
        <v>20</v>
      </c>
      <c r="V1383" s="146">
        <v>2677</v>
      </c>
      <c r="W1383" s="148" t="s">
        <v>4849</v>
      </c>
      <c r="X1383" s="149">
        <v>45901</v>
      </c>
      <c r="Y1383" s="165" t="s">
        <v>2490</v>
      </c>
    </row>
    <row r="1384" spans="1:25">
      <c r="A1384" s="163" t="s">
        <v>309</v>
      </c>
      <c r="B1384" s="144" t="s">
        <v>2463</v>
      </c>
      <c r="C1384" s="164" t="s">
        <v>4850</v>
      </c>
      <c r="D1384" s="144" t="s">
        <v>4791</v>
      </c>
      <c r="E1384" s="150" t="s">
        <v>2476</v>
      </c>
      <c r="F1384" s="144" t="s">
        <v>2477</v>
      </c>
      <c r="G1384" s="166"/>
      <c r="H1384" s="151">
        <v>1</v>
      </c>
      <c r="I1384" s="160">
        <v>400</v>
      </c>
      <c r="J1384" s="159">
        <v>400</v>
      </c>
      <c r="K1384" s="161">
        <v>400</v>
      </c>
      <c r="L1384" s="159">
        <v>400</v>
      </c>
      <c r="M1384" s="160">
        <v>400</v>
      </c>
      <c r="N1384" s="145"/>
      <c r="O1384" s="156" t="s">
        <v>135</v>
      </c>
      <c r="P1384" s="144" t="s">
        <v>2478</v>
      </c>
      <c r="Q1384" s="147"/>
      <c r="R1384" s="146"/>
      <c r="S1384" s="157"/>
      <c r="T1384" s="144" t="s">
        <v>29</v>
      </c>
      <c r="U1384" s="150" t="s">
        <v>2479</v>
      </c>
      <c r="V1384" s="146">
        <v>2676</v>
      </c>
      <c r="W1384" s="148" t="s">
        <v>4849</v>
      </c>
      <c r="X1384" s="149">
        <v>45901</v>
      </c>
      <c r="Y1384" s="165" t="s">
        <v>2712</v>
      </c>
    </row>
    <row r="1385" spans="1:25">
      <c r="A1385" s="163" t="s">
        <v>309</v>
      </c>
      <c r="B1385" s="144" t="s">
        <v>2463</v>
      </c>
      <c r="C1385" s="164" t="s">
        <v>865</v>
      </c>
      <c r="D1385" s="144" t="s">
        <v>866</v>
      </c>
      <c r="E1385" s="150" t="s">
        <v>2466</v>
      </c>
      <c r="F1385" s="144" t="s">
        <v>2467</v>
      </c>
      <c r="G1385" s="166" t="s">
        <v>4851</v>
      </c>
      <c r="H1385" s="151">
        <v>52</v>
      </c>
      <c r="I1385" s="160">
        <v>0</v>
      </c>
      <c r="J1385" s="159">
        <v>2.98</v>
      </c>
      <c r="K1385" s="161">
        <v>0</v>
      </c>
      <c r="L1385" s="159">
        <v>154.96</v>
      </c>
      <c r="M1385" s="160">
        <v>154.96</v>
      </c>
      <c r="N1385" s="145">
        <v>298</v>
      </c>
      <c r="O1385" s="156" t="s">
        <v>27</v>
      </c>
      <c r="P1385" s="144" t="s">
        <v>2468</v>
      </c>
      <c r="Q1385" s="147">
        <v>45992</v>
      </c>
      <c r="R1385" s="146">
        <v>2065</v>
      </c>
      <c r="S1385" s="157"/>
      <c r="T1385" s="144" t="s">
        <v>27</v>
      </c>
      <c r="U1385" s="150" t="s">
        <v>20</v>
      </c>
      <c r="V1385" s="146">
        <v>2016</v>
      </c>
      <c r="W1385" s="148" t="s">
        <v>4852</v>
      </c>
      <c r="X1385" s="149">
        <v>45901</v>
      </c>
      <c r="Y1385" s="165" t="s">
        <v>2578</v>
      </c>
    </row>
    <row r="1386" spans="1:25">
      <c r="A1386" s="163" t="s">
        <v>309</v>
      </c>
      <c r="B1386" s="144" t="s">
        <v>2463</v>
      </c>
      <c r="C1386" s="164" t="s">
        <v>4853</v>
      </c>
      <c r="D1386" s="144" t="s">
        <v>780</v>
      </c>
      <c r="E1386" s="150" t="s">
        <v>2466</v>
      </c>
      <c r="F1386" s="144" t="s">
        <v>2467</v>
      </c>
      <c r="G1386" s="166"/>
      <c r="H1386" s="151">
        <v>46</v>
      </c>
      <c r="I1386" s="160"/>
      <c r="J1386" s="159">
        <v>4.24</v>
      </c>
      <c r="K1386" s="161"/>
      <c r="L1386" s="159">
        <v>195.04</v>
      </c>
      <c r="M1386" s="160">
        <v>195.04</v>
      </c>
      <c r="N1386" s="145">
        <v>780</v>
      </c>
      <c r="O1386" s="156" t="s">
        <v>135</v>
      </c>
      <c r="P1386" s="144" t="s">
        <v>2468</v>
      </c>
      <c r="Q1386" s="147"/>
      <c r="R1386" s="146"/>
      <c r="S1386" s="157"/>
      <c r="T1386" s="144" t="s">
        <v>29</v>
      </c>
      <c r="U1386" s="150" t="s">
        <v>20</v>
      </c>
      <c r="V1386" s="146">
        <v>3107</v>
      </c>
      <c r="W1386" s="148"/>
      <c r="X1386" s="149">
        <v>45901</v>
      </c>
      <c r="Y1386" s="165" t="s">
        <v>2578</v>
      </c>
    </row>
    <row r="1387" spans="1:25">
      <c r="A1387" s="163" t="s">
        <v>7</v>
      </c>
      <c r="B1387" s="144" t="s">
        <v>2463</v>
      </c>
      <c r="C1387" s="164" t="s">
        <v>4854</v>
      </c>
      <c r="D1387" s="144" t="s">
        <v>3275</v>
      </c>
      <c r="E1387" s="150" t="s">
        <v>2630</v>
      </c>
      <c r="F1387" s="144" t="s">
        <v>2486</v>
      </c>
      <c r="G1387" s="166"/>
      <c r="H1387" s="151">
        <v>1</v>
      </c>
      <c r="I1387" s="160"/>
      <c r="J1387" s="159">
        <v>2000</v>
      </c>
      <c r="K1387" s="161"/>
      <c r="L1387" s="159">
        <v>2000</v>
      </c>
      <c r="M1387" s="160">
        <v>2000</v>
      </c>
      <c r="N1387" s="145"/>
      <c r="O1387" s="156" t="s">
        <v>135</v>
      </c>
      <c r="P1387" s="144" t="s">
        <v>2478</v>
      </c>
      <c r="Q1387" s="147">
        <v>49310</v>
      </c>
      <c r="R1387" s="146"/>
      <c r="S1387" s="157"/>
      <c r="T1387" s="144" t="s">
        <v>29</v>
      </c>
      <c r="U1387" s="150" t="s">
        <v>17</v>
      </c>
      <c r="V1387" s="146">
        <v>2025</v>
      </c>
      <c r="W1387" s="148"/>
      <c r="X1387" s="149">
        <v>45901</v>
      </c>
      <c r="Y1387" s="165" t="s">
        <v>3276</v>
      </c>
    </row>
    <row r="1388" spans="1:25">
      <c r="A1388" s="163" t="s">
        <v>309</v>
      </c>
      <c r="B1388" s="144" t="s">
        <v>2463</v>
      </c>
      <c r="C1388" s="164" t="s">
        <v>4855</v>
      </c>
      <c r="D1388" s="144" t="s">
        <v>4856</v>
      </c>
      <c r="E1388" s="150" t="s">
        <v>2476</v>
      </c>
      <c r="F1388" s="144" t="s">
        <v>2477</v>
      </c>
      <c r="G1388" s="166"/>
      <c r="H1388" s="151">
        <v>1</v>
      </c>
      <c r="I1388" s="160">
        <v>1100</v>
      </c>
      <c r="J1388" s="159">
        <v>1100</v>
      </c>
      <c r="K1388" s="161">
        <v>1100</v>
      </c>
      <c r="L1388" s="159">
        <v>1100</v>
      </c>
      <c r="M1388" s="160">
        <v>1100</v>
      </c>
      <c r="N1388" s="145"/>
      <c r="O1388" s="156" t="s">
        <v>135</v>
      </c>
      <c r="P1388" s="144" t="s">
        <v>2478</v>
      </c>
      <c r="Q1388" s="147"/>
      <c r="R1388" s="146"/>
      <c r="S1388" s="157"/>
      <c r="T1388" s="144" t="s">
        <v>29</v>
      </c>
      <c r="U1388" s="150" t="s">
        <v>2479</v>
      </c>
      <c r="V1388" s="146">
        <v>2494</v>
      </c>
      <c r="W1388" s="148" t="s">
        <v>4857</v>
      </c>
      <c r="X1388" s="149">
        <v>45901</v>
      </c>
      <c r="Y1388" s="165" t="s">
        <v>2712</v>
      </c>
    </row>
    <row r="1389" spans="1:25">
      <c r="A1389" s="163" t="s">
        <v>7</v>
      </c>
      <c r="B1389" s="144" t="s">
        <v>2463</v>
      </c>
      <c r="C1389" s="164" t="s">
        <v>4858</v>
      </c>
      <c r="D1389" s="144" t="s">
        <v>4859</v>
      </c>
      <c r="E1389" s="150" t="s">
        <v>2466</v>
      </c>
      <c r="F1389" s="144" t="s">
        <v>2467</v>
      </c>
      <c r="G1389" s="166"/>
      <c r="H1389" s="151">
        <v>200</v>
      </c>
      <c r="I1389" s="160">
        <v>2</v>
      </c>
      <c r="J1389" s="159">
        <v>2</v>
      </c>
      <c r="K1389" s="161">
        <v>400</v>
      </c>
      <c r="L1389" s="159">
        <v>400</v>
      </c>
      <c r="M1389" s="160">
        <v>400</v>
      </c>
      <c r="N1389" s="145">
        <v>0</v>
      </c>
      <c r="O1389" s="156" t="s">
        <v>135</v>
      </c>
      <c r="P1389" s="144" t="s">
        <v>2468</v>
      </c>
      <c r="Q1389" s="147"/>
      <c r="R1389" s="146"/>
      <c r="S1389" s="157"/>
      <c r="T1389" s="144" t="s">
        <v>29</v>
      </c>
      <c r="U1389" s="150" t="s">
        <v>20</v>
      </c>
      <c r="V1389" s="146">
        <v>2772</v>
      </c>
      <c r="W1389" s="148" t="s">
        <v>4860</v>
      </c>
      <c r="X1389" s="149">
        <v>45901</v>
      </c>
      <c r="Y1389" s="165" t="s">
        <v>3739</v>
      </c>
    </row>
    <row r="1390" spans="1:25">
      <c r="A1390" s="163" t="s">
        <v>7</v>
      </c>
      <c r="B1390" s="144" t="s">
        <v>2463</v>
      </c>
      <c r="C1390" s="164" t="s">
        <v>4861</v>
      </c>
      <c r="D1390" s="144" t="s">
        <v>4862</v>
      </c>
      <c r="E1390" s="150" t="s">
        <v>2476</v>
      </c>
      <c r="F1390" s="144" t="s">
        <v>2477</v>
      </c>
      <c r="G1390" s="166"/>
      <c r="H1390" s="151">
        <v>5</v>
      </c>
      <c r="I1390" s="160"/>
      <c r="J1390" s="159">
        <v>2</v>
      </c>
      <c r="K1390" s="161"/>
      <c r="L1390" s="159">
        <v>10</v>
      </c>
      <c r="M1390" s="160">
        <v>10</v>
      </c>
      <c r="N1390" s="145"/>
      <c r="O1390" s="156" t="s">
        <v>135</v>
      </c>
      <c r="P1390" s="144" t="s">
        <v>2478</v>
      </c>
      <c r="Q1390" s="147"/>
      <c r="R1390" s="146">
        <v>2051</v>
      </c>
      <c r="S1390" s="157"/>
      <c r="T1390" s="144" t="s">
        <v>29</v>
      </c>
      <c r="U1390" s="150" t="s">
        <v>2479</v>
      </c>
      <c r="V1390" s="146">
        <v>1660</v>
      </c>
      <c r="W1390" s="148"/>
      <c r="X1390" s="149">
        <v>45689</v>
      </c>
      <c r="Y1390" s="165" t="s">
        <v>3893</v>
      </c>
    </row>
    <row r="1391" spans="1:25">
      <c r="A1391" s="163" t="s">
        <v>7</v>
      </c>
      <c r="B1391" s="144" t="s">
        <v>2463</v>
      </c>
      <c r="C1391" s="164" t="s">
        <v>4863</v>
      </c>
      <c r="D1391" s="144" t="s">
        <v>4862</v>
      </c>
      <c r="E1391" s="150" t="s">
        <v>2485</v>
      </c>
      <c r="F1391" s="144" t="s">
        <v>2486</v>
      </c>
      <c r="G1391" s="166"/>
      <c r="H1391" s="151">
        <v>18</v>
      </c>
      <c r="I1391" s="160"/>
      <c r="J1391" s="159">
        <v>4.2</v>
      </c>
      <c r="K1391" s="161"/>
      <c r="L1391" s="159">
        <v>75.599999999999994</v>
      </c>
      <c r="M1391" s="160">
        <v>75.599999999999994</v>
      </c>
      <c r="N1391" s="145"/>
      <c r="O1391" s="156" t="s">
        <v>135</v>
      </c>
      <c r="P1391" s="144" t="s">
        <v>2478</v>
      </c>
      <c r="Q1391" s="147"/>
      <c r="R1391" s="146">
        <v>2051</v>
      </c>
      <c r="S1391" s="157"/>
      <c r="T1391" s="144" t="s">
        <v>29</v>
      </c>
      <c r="U1391" s="150" t="s">
        <v>17</v>
      </c>
      <c r="V1391" s="146">
        <v>1275</v>
      </c>
      <c r="W1391" s="148"/>
      <c r="X1391" s="149">
        <v>45689</v>
      </c>
      <c r="Y1391" s="165" t="s">
        <v>2875</v>
      </c>
    </row>
    <row r="1392" spans="1:25">
      <c r="A1392" s="163" t="s">
        <v>7</v>
      </c>
      <c r="B1392" s="144" t="s">
        <v>163</v>
      </c>
      <c r="C1392" s="164" t="s">
        <v>4864</v>
      </c>
      <c r="D1392" s="144" t="s">
        <v>218</v>
      </c>
      <c r="E1392" s="150" t="s">
        <v>2593</v>
      </c>
      <c r="F1392" s="144" t="s">
        <v>2482</v>
      </c>
      <c r="G1392" s="166" t="s">
        <v>4865</v>
      </c>
      <c r="H1392" s="151">
        <v>4</v>
      </c>
      <c r="I1392" s="160"/>
      <c r="J1392" s="159">
        <v>72</v>
      </c>
      <c r="K1392" s="161"/>
      <c r="L1392" s="159">
        <v>288</v>
      </c>
      <c r="M1392" s="160">
        <v>288</v>
      </c>
      <c r="N1392" s="145"/>
      <c r="O1392" s="156" t="s">
        <v>166</v>
      </c>
      <c r="P1392" s="144" t="s">
        <v>2468</v>
      </c>
      <c r="Q1392" s="147"/>
      <c r="R1392" s="146">
        <v>2070</v>
      </c>
      <c r="S1392" s="157"/>
      <c r="T1392" s="144" t="s">
        <v>25</v>
      </c>
      <c r="U1392" s="150" t="s">
        <v>18</v>
      </c>
      <c r="V1392" s="146">
        <v>1217</v>
      </c>
      <c r="W1392" s="148"/>
      <c r="X1392" s="149">
        <v>45689</v>
      </c>
      <c r="Y1392" s="165" t="s">
        <v>2500</v>
      </c>
    </row>
    <row r="1393" spans="1:25">
      <c r="A1393" s="163" t="s">
        <v>7</v>
      </c>
      <c r="B1393" s="144" t="s">
        <v>163</v>
      </c>
      <c r="C1393" s="164" t="s">
        <v>4864</v>
      </c>
      <c r="D1393" s="144" t="s">
        <v>218</v>
      </c>
      <c r="E1393" s="150" t="s">
        <v>2593</v>
      </c>
      <c r="F1393" s="144" t="s">
        <v>2482</v>
      </c>
      <c r="G1393" s="166" t="s">
        <v>4865</v>
      </c>
      <c r="H1393" s="151">
        <v>4</v>
      </c>
      <c r="I1393" s="160"/>
      <c r="J1393" s="159">
        <v>82</v>
      </c>
      <c r="K1393" s="161"/>
      <c r="L1393" s="159">
        <v>328</v>
      </c>
      <c r="M1393" s="160">
        <v>328</v>
      </c>
      <c r="N1393" s="145"/>
      <c r="O1393" s="156" t="s">
        <v>166</v>
      </c>
      <c r="P1393" s="144" t="s">
        <v>2468</v>
      </c>
      <c r="Q1393" s="147"/>
      <c r="R1393" s="146">
        <v>2070</v>
      </c>
      <c r="S1393" s="157"/>
      <c r="T1393" s="144" t="s">
        <v>25</v>
      </c>
      <c r="U1393" s="150" t="s">
        <v>18</v>
      </c>
      <c r="V1393" s="146">
        <v>1217</v>
      </c>
      <c r="W1393" s="148"/>
      <c r="X1393" s="149">
        <v>45689</v>
      </c>
      <c r="Y1393" s="165" t="s">
        <v>2500</v>
      </c>
    </row>
    <row r="1394" spans="1:25">
      <c r="A1394" s="163" t="s">
        <v>7</v>
      </c>
      <c r="B1394" s="144" t="s">
        <v>163</v>
      </c>
      <c r="C1394" s="164" t="s">
        <v>4866</v>
      </c>
      <c r="D1394" s="144" t="s">
        <v>4867</v>
      </c>
      <c r="E1394" s="150" t="s">
        <v>2555</v>
      </c>
      <c r="F1394" s="144" t="s">
        <v>2556</v>
      </c>
      <c r="G1394" s="166" t="s">
        <v>4868</v>
      </c>
      <c r="H1394" s="151">
        <v>1</v>
      </c>
      <c r="I1394" s="160">
        <v>173</v>
      </c>
      <c r="J1394" s="159">
        <v>173</v>
      </c>
      <c r="K1394" s="161">
        <v>173</v>
      </c>
      <c r="L1394" s="159">
        <v>173</v>
      </c>
      <c r="M1394" s="160">
        <v>173</v>
      </c>
      <c r="N1394" s="145"/>
      <c r="O1394" s="156" t="s">
        <v>166</v>
      </c>
      <c r="P1394" s="144" t="s">
        <v>2468</v>
      </c>
      <c r="Q1394" s="147"/>
      <c r="R1394" s="146">
        <v>2044</v>
      </c>
      <c r="S1394" s="157"/>
      <c r="T1394" s="144" t="s">
        <v>25</v>
      </c>
      <c r="U1394" s="150" t="s">
        <v>14</v>
      </c>
      <c r="V1394" s="146">
        <v>1218</v>
      </c>
      <c r="W1394" s="148"/>
      <c r="X1394" s="149">
        <v>45689</v>
      </c>
      <c r="Y1394" s="165" t="s">
        <v>2500</v>
      </c>
    </row>
    <row r="1395" spans="1:25">
      <c r="A1395" s="163" t="s">
        <v>7</v>
      </c>
      <c r="B1395" s="144" t="s">
        <v>163</v>
      </c>
      <c r="C1395" s="164" t="s">
        <v>4866</v>
      </c>
      <c r="D1395" s="144" t="s">
        <v>4867</v>
      </c>
      <c r="E1395" s="150" t="s">
        <v>2555</v>
      </c>
      <c r="F1395" s="144" t="s">
        <v>2556</v>
      </c>
      <c r="G1395" s="166" t="s">
        <v>4869</v>
      </c>
      <c r="H1395" s="151">
        <v>1</v>
      </c>
      <c r="I1395" s="160"/>
      <c r="J1395" s="159">
        <v>173</v>
      </c>
      <c r="K1395" s="161"/>
      <c r="L1395" s="159">
        <v>173</v>
      </c>
      <c r="M1395" s="160">
        <v>173</v>
      </c>
      <c r="N1395" s="145"/>
      <c r="O1395" s="156" t="s">
        <v>166</v>
      </c>
      <c r="P1395" s="144" t="s">
        <v>2468</v>
      </c>
      <c r="Q1395" s="147"/>
      <c r="R1395" s="146">
        <v>2044</v>
      </c>
      <c r="S1395" s="157"/>
      <c r="T1395" s="144" t="s">
        <v>25</v>
      </c>
      <c r="U1395" s="150" t="s">
        <v>14</v>
      </c>
      <c r="V1395" s="146">
        <v>1218</v>
      </c>
      <c r="W1395" s="148"/>
      <c r="X1395" s="149">
        <v>45689</v>
      </c>
      <c r="Y1395" s="165" t="s">
        <v>2500</v>
      </c>
    </row>
    <row r="1396" spans="1:25">
      <c r="A1396" s="163" t="s">
        <v>7</v>
      </c>
      <c r="B1396" s="144" t="s">
        <v>163</v>
      </c>
      <c r="C1396" s="164" t="s">
        <v>4866</v>
      </c>
      <c r="D1396" s="144" t="s">
        <v>4867</v>
      </c>
      <c r="E1396" s="150" t="s">
        <v>2555</v>
      </c>
      <c r="F1396" s="144" t="s">
        <v>2556</v>
      </c>
      <c r="G1396" s="166" t="s">
        <v>4870</v>
      </c>
      <c r="H1396" s="151">
        <v>1</v>
      </c>
      <c r="I1396" s="160"/>
      <c r="J1396" s="159">
        <v>173</v>
      </c>
      <c r="K1396" s="161"/>
      <c r="L1396" s="159">
        <v>173</v>
      </c>
      <c r="M1396" s="160">
        <v>173</v>
      </c>
      <c r="N1396" s="145"/>
      <c r="O1396" s="156" t="s">
        <v>166</v>
      </c>
      <c r="P1396" s="144" t="s">
        <v>2468</v>
      </c>
      <c r="Q1396" s="147"/>
      <c r="R1396" s="146">
        <v>2044</v>
      </c>
      <c r="S1396" s="157"/>
      <c r="T1396" s="144" t="s">
        <v>25</v>
      </c>
      <c r="U1396" s="150" t="s">
        <v>14</v>
      </c>
      <c r="V1396" s="146">
        <v>1218</v>
      </c>
      <c r="W1396" s="148"/>
      <c r="X1396" s="149">
        <v>45689</v>
      </c>
      <c r="Y1396" s="165" t="s">
        <v>2500</v>
      </c>
    </row>
    <row r="1397" spans="1:25">
      <c r="A1397" s="163" t="s">
        <v>7</v>
      </c>
      <c r="B1397" s="144" t="s">
        <v>163</v>
      </c>
      <c r="C1397" s="164" t="s">
        <v>4866</v>
      </c>
      <c r="D1397" s="144" t="s">
        <v>4867</v>
      </c>
      <c r="E1397" s="150" t="s">
        <v>2555</v>
      </c>
      <c r="F1397" s="144" t="s">
        <v>2556</v>
      </c>
      <c r="G1397" s="166" t="s">
        <v>4871</v>
      </c>
      <c r="H1397" s="151">
        <v>1</v>
      </c>
      <c r="I1397" s="160"/>
      <c r="J1397" s="159">
        <v>173</v>
      </c>
      <c r="K1397" s="161"/>
      <c r="L1397" s="159">
        <v>173</v>
      </c>
      <c r="M1397" s="160">
        <v>173</v>
      </c>
      <c r="N1397" s="145"/>
      <c r="O1397" s="156" t="s">
        <v>166</v>
      </c>
      <c r="P1397" s="144" t="s">
        <v>2468</v>
      </c>
      <c r="Q1397" s="147"/>
      <c r="R1397" s="146">
        <v>2044</v>
      </c>
      <c r="S1397" s="157"/>
      <c r="T1397" s="144" t="s">
        <v>25</v>
      </c>
      <c r="U1397" s="150" t="s">
        <v>14</v>
      </c>
      <c r="V1397" s="146">
        <v>1218</v>
      </c>
      <c r="W1397" s="148"/>
      <c r="X1397" s="149">
        <v>45689</v>
      </c>
      <c r="Y1397" s="165" t="s">
        <v>2500</v>
      </c>
    </row>
    <row r="1398" spans="1:25">
      <c r="A1398" s="163" t="s">
        <v>7</v>
      </c>
      <c r="B1398" s="144" t="s">
        <v>2463</v>
      </c>
      <c r="C1398" s="164" t="s">
        <v>4872</v>
      </c>
      <c r="D1398" s="144" t="s">
        <v>690</v>
      </c>
      <c r="E1398" s="150" t="s">
        <v>2466</v>
      </c>
      <c r="F1398" s="144" t="s">
        <v>2467</v>
      </c>
      <c r="G1398" s="166"/>
      <c r="H1398" s="151">
        <v>1</v>
      </c>
      <c r="I1398" s="160">
        <v>400</v>
      </c>
      <c r="J1398" s="159">
        <v>400</v>
      </c>
      <c r="K1398" s="161">
        <v>400</v>
      </c>
      <c r="L1398" s="159">
        <v>400</v>
      </c>
      <c r="M1398" s="160">
        <v>400</v>
      </c>
      <c r="N1398" s="145">
        <v>400</v>
      </c>
      <c r="O1398" s="156" t="s">
        <v>135</v>
      </c>
      <c r="P1398" s="144" t="s">
        <v>2468</v>
      </c>
      <c r="Q1398" s="147"/>
      <c r="R1398" s="146"/>
      <c r="S1398" s="157"/>
      <c r="T1398" s="144" t="s">
        <v>29</v>
      </c>
      <c r="U1398" s="150" t="s">
        <v>20</v>
      </c>
      <c r="V1398" s="146">
        <v>2801</v>
      </c>
      <c r="W1398" s="148"/>
      <c r="X1398" s="149">
        <v>45689</v>
      </c>
      <c r="Y1398" s="165" t="s">
        <v>2500</v>
      </c>
    </row>
    <row r="1399" spans="1:25">
      <c r="A1399" s="163" t="s">
        <v>7</v>
      </c>
      <c r="B1399" s="144" t="s">
        <v>2463</v>
      </c>
      <c r="C1399" s="164" t="s">
        <v>851</v>
      </c>
      <c r="D1399" s="144" t="s">
        <v>852</v>
      </c>
      <c r="E1399" s="150" t="s">
        <v>2485</v>
      </c>
      <c r="F1399" s="144" t="s">
        <v>2486</v>
      </c>
      <c r="G1399" s="166"/>
      <c r="H1399" s="151">
        <v>69</v>
      </c>
      <c r="I1399" s="160">
        <v>6</v>
      </c>
      <c r="J1399" s="159">
        <v>6</v>
      </c>
      <c r="K1399" s="161">
        <v>414</v>
      </c>
      <c r="L1399" s="159">
        <v>414</v>
      </c>
      <c r="M1399" s="160">
        <v>414</v>
      </c>
      <c r="N1399" s="145"/>
      <c r="O1399" s="156" t="s">
        <v>27</v>
      </c>
      <c r="P1399" s="144" t="s">
        <v>2478</v>
      </c>
      <c r="Q1399" s="147">
        <v>46784</v>
      </c>
      <c r="R1399" s="146">
        <v>2057</v>
      </c>
      <c r="S1399" s="157"/>
      <c r="T1399" s="144" t="s">
        <v>27</v>
      </c>
      <c r="U1399" s="150" t="s">
        <v>17</v>
      </c>
      <c r="V1399" s="146">
        <v>1283</v>
      </c>
      <c r="W1399" s="148" t="s">
        <v>4873</v>
      </c>
      <c r="X1399" s="149">
        <v>45901</v>
      </c>
      <c r="Y1399" s="165" t="s">
        <v>3006</v>
      </c>
    </row>
    <row r="1400" spans="1:25">
      <c r="A1400" s="163" t="s">
        <v>309</v>
      </c>
      <c r="B1400" s="144" t="s">
        <v>163</v>
      </c>
      <c r="C1400" s="164" t="s">
        <v>956</v>
      </c>
      <c r="D1400" s="144" t="s">
        <v>957</v>
      </c>
      <c r="E1400" s="150" t="s">
        <v>2476</v>
      </c>
      <c r="F1400" s="144" t="s">
        <v>2477</v>
      </c>
      <c r="G1400" s="166" t="s">
        <v>4874</v>
      </c>
      <c r="H1400" s="151">
        <v>1</v>
      </c>
      <c r="I1400" s="160"/>
      <c r="J1400" s="159">
        <v>15</v>
      </c>
      <c r="K1400" s="161"/>
      <c r="L1400" s="159">
        <v>15</v>
      </c>
      <c r="M1400" s="160">
        <v>15</v>
      </c>
      <c r="N1400" s="145"/>
      <c r="O1400" s="156" t="s">
        <v>166</v>
      </c>
      <c r="P1400" s="144" t="s">
        <v>2480</v>
      </c>
      <c r="Q1400" s="147"/>
      <c r="R1400" s="146">
        <v>2050</v>
      </c>
      <c r="S1400" s="157"/>
      <c r="T1400" s="144" t="s">
        <v>25</v>
      </c>
      <c r="U1400" s="150" t="s">
        <v>2479</v>
      </c>
      <c r="V1400" s="146">
        <v>2864</v>
      </c>
      <c r="W1400" s="148"/>
      <c r="X1400" s="149"/>
      <c r="Y1400" s="165"/>
    </row>
    <row r="1401" spans="1:25">
      <c r="A1401" s="163" t="s">
        <v>7</v>
      </c>
      <c r="B1401" s="144" t="s">
        <v>163</v>
      </c>
      <c r="C1401" s="164" t="s">
        <v>1306</v>
      </c>
      <c r="D1401" s="144" t="s">
        <v>1307</v>
      </c>
      <c r="E1401" s="150" t="s">
        <v>2639</v>
      </c>
      <c r="F1401" s="144" t="s">
        <v>2640</v>
      </c>
      <c r="G1401" s="166" t="s">
        <v>4875</v>
      </c>
      <c r="H1401" s="151">
        <v>1</v>
      </c>
      <c r="I1401" s="160">
        <v>250</v>
      </c>
      <c r="J1401" s="159">
        <v>660</v>
      </c>
      <c r="K1401" s="161">
        <v>250</v>
      </c>
      <c r="L1401" s="159">
        <v>660</v>
      </c>
      <c r="M1401" s="160">
        <v>660</v>
      </c>
      <c r="N1401" s="145"/>
      <c r="O1401" s="156" t="s">
        <v>166</v>
      </c>
      <c r="P1401" s="144" t="s">
        <v>2468</v>
      </c>
      <c r="Q1401" s="147"/>
      <c r="R1401" s="146">
        <v>2033</v>
      </c>
      <c r="S1401" s="157"/>
      <c r="T1401" s="144" t="s">
        <v>25</v>
      </c>
      <c r="U1401" s="150" t="s">
        <v>12</v>
      </c>
      <c r="V1401" s="146">
        <v>1219</v>
      </c>
      <c r="W1401" s="148"/>
      <c r="X1401" s="149">
        <v>45901</v>
      </c>
      <c r="Y1401" s="165" t="s">
        <v>2578</v>
      </c>
    </row>
    <row r="1402" spans="1:25">
      <c r="A1402" s="163" t="s">
        <v>7</v>
      </c>
      <c r="B1402" s="144" t="s">
        <v>163</v>
      </c>
      <c r="C1402" s="164" t="s">
        <v>1306</v>
      </c>
      <c r="D1402" s="144" t="s">
        <v>1307</v>
      </c>
      <c r="E1402" s="150" t="s">
        <v>2639</v>
      </c>
      <c r="F1402" s="144" t="s">
        <v>2640</v>
      </c>
      <c r="G1402" s="166" t="s">
        <v>4876</v>
      </c>
      <c r="H1402" s="151">
        <v>1</v>
      </c>
      <c r="I1402" s="160">
        <v>250</v>
      </c>
      <c r="J1402" s="159">
        <v>660</v>
      </c>
      <c r="K1402" s="161">
        <v>250</v>
      </c>
      <c r="L1402" s="159">
        <v>660</v>
      </c>
      <c r="M1402" s="160">
        <v>660</v>
      </c>
      <c r="N1402" s="145"/>
      <c r="O1402" s="156" t="s">
        <v>166</v>
      </c>
      <c r="P1402" s="144" t="s">
        <v>2468</v>
      </c>
      <c r="Q1402" s="147"/>
      <c r="R1402" s="146">
        <v>2033</v>
      </c>
      <c r="S1402" s="157"/>
      <c r="T1402" s="144" t="s">
        <v>25</v>
      </c>
      <c r="U1402" s="150" t="s">
        <v>12</v>
      </c>
      <c r="V1402" s="146">
        <v>1219</v>
      </c>
      <c r="W1402" s="148"/>
      <c r="X1402" s="149">
        <v>45901</v>
      </c>
      <c r="Y1402" s="165" t="s">
        <v>2578</v>
      </c>
    </row>
    <row r="1403" spans="1:25">
      <c r="A1403" s="163" t="s">
        <v>7</v>
      </c>
      <c r="B1403" s="144" t="s">
        <v>2463</v>
      </c>
      <c r="C1403" s="164" t="s">
        <v>4877</v>
      </c>
      <c r="D1403" s="144" t="s">
        <v>4878</v>
      </c>
      <c r="E1403" s="150" t="s">
        <v>2466</v>
      </c>
      <c r="F1403" s="144" t="s">
        <v>2467</v>
      </c>
      <c r="G1403" s="166"/>
      <c r="H1403" s="151">
        <v>1</v>
      </c>
      <c r="I1403" s="160">
        <v>400</v>
      </c>
      <c r="J1403" s="159">
        <v>400</v>
      </c>
      <c r="K1403" s="161">
        <v>400</v>
      </c>
      <c r="L1403" s="159">
        <v>400</v>
      </c>
      <c r="M1403" s="160">
        <v>400</v>
      </c>
      <c r="N1403" s="145">
        <v>0</v>
      </c>
      <c r="O1403" s="156" t="s">
        <v>135</v>
      </c>
      <c r="P1403" s="144" t="s">
        <v>2468</v>
      </c>
      <c r="Q1403" s="147"/>
      <c r="R1403" s="146"/>
      <c r="S1403" s="157"/>
      <c r="T1403" s="144" t="s">
        <v>29</v>
      </c>
      <c r="U1403" s="150" t="s">
        <v>20</v>
      </c>
      <c r="V1403" s="146">
        <v>3048</v>
      </c>
      <c r="W1403" s="148" t="s">
        <v>4879</v>
      </c>
      <c r="X1403" s="149">
        <v>45901</v>
      </c>
      <c r="Y1403" s="165" t="s">
        <v>2712</v>
      </c>
    </row>
    <row r="1404" spans="1:25">
      <c r="A1404" s="163" t="s">
        <v>7</v>
      </c>
      <c r="B1404" s="144" t="s">
        <v>2463</v>
      </c>
      <c r="C1404" s="164" t="s">
        <v>4880</v>
      </c>
      <c r="D1404" s="144" t="s">
        <v>1307</v>
      </c>
      <c r="E1404" s="150" t="s">
        <v>2476</v>
      </c>
      <c r="F1404" s="144" t="s">
        <v>2477</v>
      </c>
      <c r="G1404" s="166"/>
      <c r="H1404" s="151">
        <v>1</v>
      </c>
      <c r="I1404" s="160">
        <v>55</v>
      </c>
      <c r="J1404" s="159">
        <v>55</v>
      </c>
      <c r="K1404" s="161">
        <v>55</v>
      </c>
      <c r="L1404" s="159">
        <v>55</v>
      </c>
      <c r="M1404" s="160">
        <v>55</v>
      </c>
      <c r="N1404" s="145"/>
      <c r="O1404" s="156" t="s">
        <v>135</v>
      </c>
      <c r="P1404" s="144" t="s">
        <v>2478</v>
      </c>
      <c r="Q1404" s="147"/>
      <c r="R1404" s="146"/>
      <c r="S1404" s="157"/>
      <c r="T1404" s="144" t="s">
        <v>29</v>
      </c>
      <c r="U1404" s="150" t="s">
        <v>2479</v>
      </c>
      <c r="V1404" s="146">
        <v>1490</v>
      </c>
      <c r="W1404" s="148"/>
      <c r="X1404" s="149">
        <v>45689</v>
      </c>
      <c r="Y1404" s="165" t="s">
        <v>2520</v>
      </c>
    </row>
    <row r="1405" spans="1:25">
      <c r="A1405" s="163" t="s">
        <v>7</v>
      </c>
      <c r="B1405" s="144" t="s">
        <v>2463</v>
      </c>
      <c r="C1405" s="164" t="s">
        <v>853</v>
      </c>
      <c r="D1405" s="144" t="s">
        <v>854</v>
      </c>
      <c r="E1405" s="150" t="s">
        <v>2485</v>
      </c>
      <c r="F1405" s="144" t="s">
        <v>2486</v>
      </c>
      <c r="G1405" s="166"/>
      <c r="H1405" s="151">
        <v>1</v>
      </c>
      <c r="I1405" s="160"/>
      <c r="J1405" s="159">
        <v>148</v>
      </c>
      <c r="K1405" s="161"/>
      <c r="L1405" s="159">
        <v>148</v>
      </c>
      <c r="M1405" s="160">
        <v>148</v>
      </c>
      <c r="N1405" s="145"/>
      <c r="O1405" s="156" t="s">
        <v>28</v>
      </c>
      <c r="P1405" s="144" t="s">
        <v>2478</v>
      </c>
      <c r="Q1405" s="147">
        <v>47665</v>
      </c>
      <c r="R1405" s="146">
        <v>2080</v>
      </c>
      <c r="S1405" s="157"/>
      <c r="T1405" s="144" t="s">
        <v>28</v>
      </c>
      <c r="U1405" s="150" t="s">
        <v>17</v>
      </c>
      <c r="V1405" s="146">
        <v>2892</v>
      </c>
      <c r="W1405" s="148"/>
      <c r="X1405" s="149">
        <v>45901</v>
      </c>
      <c r="Y1405" s="165" t="s">
        <v>2840</v>
      </c>
    </row>
    <row r="1406" spans="1:25">
      <c r="A1406" s="163" t="s">
        <v>7</v>
      </c>
      <c r="B1406" s="144" t="s">
        <v>2463</v>
      </c>
      <c r="C1406" s="164" t="s">
        <v>853</v>
      </c>
      <c r="D1406" s="144" t="s">
        <v>854</v>
      </c>
      <c r="E1406" s="150" t="s">
        <v>2485</v>
      </c>
      <c r="F1406" s="144" t="s">
        <v>2486</v>
      </c>
      <c r="G1406" s="166"/>
      <c r="H1406" s="151">
        <v>1</v>
      </c>
      <c r="I1406" s="160"/>
      <c r="J1406" s="159">
        <v>319</v>
      </c>
      <c r="K1406" s="161"/>
      <c r="L1406" s="159">
        <v>319</v>
      </c>
      <c r="M1406" s="160">
        <v>319</v>
      </c>
      <c r="N1406" s="145"/>
      <c r="O1406" s="156" t="s">
        <v>28</v>
      </c>
      <c r="P1406" s="144" t="s">
        <v>2478</v>
      </c>
      <c r="Q1406" s="147">
        <v>47453</v>
      </c>
      <c r="R1406" s="146">
        <v>2079</v>
      </c>
      <c r="S1406" s="157"/>
      <c r="T1406" s="144" t="s">
        <v>28</v>
      </c>
      <c r="U1406" s="150" t="s">
        <v>17</v>
      </c>
      <c r="V1406" s="146">
        <v>2892</v>
      </c>
      <c r="W1406" s="148"/>
      <c r="X1406" s="149">
        <v>45901</v>
      </c>
      <c r="Y1406" s="165" t="s">
        <v>2840</v>
      </c>
    </row>
    <row r="1407" spans="1:25">
      <c r="A1407" s="163" t="s">
        <v>7</v>
      </c>
      <c r="B1407" s="144" t="s">
        <v>2463</v>
      </c>
      <c r="C1407" s="164" t="s">
        <v>853</v>
      </c>
      <c r="D1407" s="144" t="s">
        <v>854</v>
      </c>
      <c r="E1407" s="150" t="s">
        <v>2485</v>
      </c>
      <c r="F1407" s="144" t="s">
        <v>2486</v>
      </c>
      <c r="G1407" s="166"/>
      <c r="H1407" s="151">
        <v>1</v>
      </c>
      <c r="I1407" s="160">
        <v>452</v>
      </c>
      <c r="J1407" s="159">
        <v>452</v>
      </c>
      <c r="K1407" s="161">
        <v>452</v>
      </c>
      <c r="L1407" s="159">
        <v>452</v>
      </c>
      <c r="M1407" s="160">
        <v>452</v>
      </c>
      <c r="N1407" s="145"/>
      <c r="O1407" s="156" t="s">
        <v>28</v>
      </c>
      <c r="P1407" s="144" t="s">
        <v>2478</v>
      </c>
      <c r="Q1407" s="147">
        <v>47574</v>
      </c>
      <c r="R1407" s="146">
        <v>2080</v>
      </c>
      <c r="S1407" s="157"/>
      <c r="T1407" s="144" t="s">
        <v>28</v>
      </c>
      <c r="U1407" s="150" t="s">
        <v>17</v>
      </c>
      <c r="V1407" s="146">
        <v>2892</v>
      </c>
      <c r="W1407" s="148"/>
      <c r="X1407" s="149">
        <v>45901</v>
      </c>
      <c r="Y1407" s="165" t="s">
        <v>2840</v>
      </c>
    </row>
    <row r="1408" spans="1:25">
      <c r="A1408" s="163" t="s">
        <v>423</v>
      </c>
      <c r="B1408" s="144" t="s">
        <v>163</v>
      </c>
      <c r="C1408" s="164" t="s">
        <v>4881</v>
      </c>
      <c r="D1408" s="144" t="s">
        <v>218</v>
      </c>
      <c r="E1408" s="150" t="s">
        <v>2555</v>
      </c>
      <c r="F1408" s="144" t="s">
        <v>2556</v>
      </c>
      <c r="G1408" s="166" t="s">
        <v>4882</v>
      </c>
      <c r="H1408" s="151">
        <v>1</v>
      </c>
      <c r="I1408" s="160">
        <v>50</v>
      </c>
      <c r="J1408" s="159">
        <v>50</v>
      </c>
      <c r="K1408" s="161">
        <v>50</v>
      </c>
      <c r="L1408" s="159">
        <v>50</v>
      </c>
      <c r="M1408" s="160">
        <v>50</v>
      </c>
      <c r="N1408" s="145"/>
      <c r="O1408" s="156" t="s">
        <v>166</v>
      </c>
      <c r="P1408" s="144" t="s">
        <v>2468</v>
      </c>
      <c r="Q1408" s="147"/>
      <c r="R1408" s="146">
        <v>2070</v>
      </c>
      <c r="S1408" s="157"/>
      <c r="T1408" s="144" t="s">
        <v>25</v>
      </c>
      <c r="U1408" s="150" t="s">
        <v>14</v>
      </c>
      <c r="V1408" s="146">
        <v>1220</v>
      </c>
      <c r="W1408" s="148"/>
      <c r="X1408" s="149">
        <v>45689</v>
      </c>
      <c r="Y1408" s="165" t="s">
        <v>2500</v>
      </c>
    </row>
    <row r="1409" spans="1:25">
      <c r="A1409" s="163" t="s">
        <v>423</v>
      </c>
      <c r="B1409" s="144" t="s">
        <v>163</v>
      </c>
      <c r="C1409" s="164" t="s">
        <v>4881</v>
      </c>
      <c r="D1409" s="144" t="s">
        <v>218</v>
      </c>
      <c r="E1409" s="150" t="s">
        <v>2555</v>
      </c>
      <c r="F1409" s="144" t="s">
        <v>2556</v>
      </c>
      <c r="G1409" s="166" t="s">
        <v>4883</v>
      </c>
      <c r="H1409" s="151">
        <v>1</v>
      </c>
      <c r="I1409" s="160"/>
      <c r="J1409" s="159">
        <v>50</v>
      </c>
      <c r="K1409" s="161"/>
      <c r="L1409" s="159">
        <v>50</v>
      </c>
      <c r="M1409" s="160">
        <v>50</v>
      </c>
      <c r="N1409" s="145"/>
      <c r="O1409" s="156" t="s">
        <v>166</v>
      </c>
      <c r="P1409" s="144" t="s">
        <v>2468</v>
      </c>
      <c r="Q1409" s="147"/>
      <c r="R1409" s="146">
        <v>2070</v>
      </c>
      <c r="S1409" s="157"/>
      <c r="T1409" s="144" t="s">
        <v>25</v>
      </c>
      <c r="U1409" s="150" t="s">
        <v>14</v>
      </c>
      <c r="V1409" s="146">
        <v>1220</v>
      </c>
      <c r="W1409" s="148"/>
      <c r="X1409" s="149">
        <v>45689</v>
      </c>
      <c r="Y1409" s="165" t="s">
        <v>2500</v>
      </c>
    </row>
    <row r="1410" spans="1:25">
      <c r="A1410" s="163" t="s">
        <v>423</v>
      </c>
      <c r="B1410" s="144" t="s">
        <v>163</v>
      </c>
      <c r="C1410" s="164" t="s">
        <v>4881</v>
      </c>
      <c r="D1410" s="144" t="s">
        <v>218</v>
      </c>
      <c r="E1410" s="150" t="s">
        <v>2555</v>
      </c>
      <c r="F1410" s="144" t="s">
        <v>2556</v>
      </c>
      <c r="G1410" s="166" t="s">
        <v>4884</v>
      </c>
      <c r="H1410" s="151">
        <v>1</v>
      </c>
      <c r="I1410" s="160"/>
      <c r="J1410" s="159">
        <v>50</v>
      </c>
      <c r="K1410" s="161"/>
      <c r="L1410" s="159">
        <v>50</v>
      </c>
      <c r="M1410" s="160">
        <v>50</v>
      </c>
      <c r="N1410" s="145"/>
      <c r="O1410" s="156" t="s">
        <v>166</v>
      </c>
      <c r="P1410" s="144" t="s">
        <v>2468</v>
      </c>
      <c r="Q1410" s="147"/>
      <c r="R1410" s="146">
        <v>2070</v>
      </c>
      <c r="S1410" s="157"/>
      <c r="T1410" s="144" t="s">
        <v>25</v>
      </c>
      <c r="U1410" s="150" t="s">
        <v>14</v>
      </c>
      <c r="V1410" s="146">
        <v>1220</v>
      </c>
      <c r="W1410" s="148"/>
      <c r="X1410" s="149">
        <v>45689</v>
      </c>
      <c r="Y1410" s="165" t="s">
        <v>2500</v>
      </c>
    </row>
    <row r="1411" spans="1:25">
      <c r="A1411" s="163" t="s">
        <v>423</v>
      </c>
      <c r="B1411" s="144" t="s">
        <v>163</v>
      </c>
      <c r="C1411" s="164" t="s">
        <v>4881</v>
      </c>
      <c r="D1411" s="144" t="s">
        <v>218</v>
      </c>
      <c r="E1411" s="150" t="s">
        <v>2555</v>
      </c>
      <c r="F1411" s="144" t="s">
        <v>2556</v>
      </c>
      <c r="G1411" s="166" t="s">
        <v>4885</v>
      </c>
      <c r="H1411" s="151">
        <v>1</v>
      </c>
      <c r="I1411" s="160"/>
      <c r="J1411" s="159">
        <v>50</v>
      </c>
      <c r="K1411" s="161"/>
      <c r="L1411" s="159">
        <v>50</v>
      </c>
      <c r="M1411" s="160">
        <v>50</v>
      </c>
      <c r="N1411" s="145"/>
      <c r="O1411" s="156" t="s">
        <v>166</v>
      </c>
      <c r="P1411" s="144" t="s">
        <v>2468</v>
      </c>
      <c r="Q1411" s="147"/>
      <c r="R1411" s="146">
        <v>2070</v>
      </c>
      <c r="S1411" s="157"/>
      <c r="T1411" s="144" t="s">
        <v>25</v>
      </c>
      <c r="U1411" s="150" t="s">
        <v>14</v>
      </c>
      <c r="V1411" s="146">
        <v>1220</v>
      </c>
      <c r="W1411" s="148"/>
      <c r="X1411" s="149">
        <v>45689</v>
      </c>
      <c r="Y1411" s="165" t="s">
        <v>2500</v>
      </c>
    </row>
    <row r="1412" spans="1:25">
      <c r="A1412" s="163" t="s">
        <v>423</v>
      </c>
      <c r="B1412" s="144" t="s">
        <v>163</v>
      </c>
      <c r="C1412" s="164" t="s">
        <v>4881</v>
      </c>
      <c r="D1412" s="144" t="s">
        <v>218</v>
      </c>
      <c r="E1412" s="150" t="s">
        <v>2555</v>
      </c>
      <c r="F1412" s="144" t="s">
        <v>2556</v>
      </c>
      <c r="G1412" s="166" t="s">
        <v>4886</v>
      </c>
      <c r="H1412" s="151">
        <v>1</v>
      </c>
      <c r="I1412" s="160"/>
      <c r="J1412" s="159">
        <v>50</v>
      </c>
      <c r="K1412" s="161"/>
      <c r="L1412" s="159">
        <v>50</v>
      </c>
      <c r="M1412" s="160">
        <v>50</v>
      </c>
      <c r="N1412" s="145"/>
      <c r="O1412" s="156" t="s">
        <v>166</v>
      </c>
      <c r="P1412" s="144" t="s">
        <v>2468</v>
      </c>
      <c r="Q1412" s="147"/>
      <c r="R1412" s="146">
        <v>2070</v>
      </c>
      <c r="S1412" s="157"/>
      <c r="T1412" s="144" t="s">
        <v>25</v>
      </c>
      <c r="U1412" s="150" t="s">
        <v>14</v>
      </c>
      <c r="V1412" s="146">
        <v>1220</v>
      </c>
      <c r="W1412" s="148"/>
      <c r="X1412" s="149">
        <v>45689</v>
      </c>
      <c r="Y1412" s="165" t="s">
        <v>2500</v>
      </c>
    </row>
    <row r="1413" spans="1:25">
      <c r="A1413" s="163" t="s">
        <v>423</v>
      </c>
      <c r="B1413" s="144" t="s">
        <v>163</v>
      </c>
      <c r="C1413" s="164" t="s">
        <v>4881</v>
      </c>
      <c r="D1413" s="144" t="s">
        <v>218</v>
      </c>
      <c r="E1413" s="150" t="s">
        <v>2555</v>
      </c>
      <c r="F1413" s="144" t="s">
        <v>2556</v>
      </c>
      <c r="G1413" s="166" t="s">
        <v>4887</v>
      </c>
      <c r="H1413" s="151">
        <v>1</v>
      </c>
      <c r="I1413" s="160"/>
      <c r="J1413" s="159">
        <v>50</v>
      </c>
      <c r="K1413" s="161"/>
      <c r="L1413" s="159">
        <v>50</v>
      </c>
      <c r="M1413" s="160">
        <v>50</v>
      </c>
      <c r="N1413" s="145"/>
      <c r="O1413" s="156" t="s">
        <v>166</v>
      </c>
      <c r="P1413" s="144" t="s">
        <v>2468</v>
      </c>
      <c r="Q1413" s="147"/>
      <c r="R1413" s="146">
        <v>2070</v>
      </c>
      <c r="S1413" s="157"/>
      <c r="T1413" s="144" t="s">
        <v>25</v>
      </c>
      <c r="U1413" s="150" t="s">
        <v>14</v>
      </c>
      <c r="V1413" s="146">
        <v>1220</v>
      </c>
      <c r="W1413" s="148"/>
      <c r="X1413" s="149">
        <v>45689</v>
      </c>
      <c r="Y1413" s="165" t="s">
        <v>2500</v>
      </c>
    </row>
    <row r="1414" spans="1:25">
      <c r="A1414" s="163" t="s">
        <v>380</v>
      </c>
      <c r="B1414" s="144" t="s">
        <v>2463</v>
      </c>
      <c r="C1414" s="164" t="s">
        <v>4888</v>
      </c>
      <c r="D1414" s="144" t="s">
        <v>4889</v>
      </c>
      <c r="E1414" s="150" t="s">
        <v>4890</v>
      </c>
      <c r="F1414" s="144" t="s">
        <v>2477</v>
      </c>
      <c r="G1414" s="166"/>
      <c r="H1414" s="151">
        <v>1</v>
      </c>
      <c r="I1414" s="160"/>
      <c r="J1414" s="159">
        <v>34</v>
      </c>
      <c r="K1414" s="161"/>
      <c r="L1414" s="159">
        <v>34</v>
      </c>
      <c r="M1414" s="160">
        <v>34</v>
      </c>
      <c r="N1414" s="145"/>
      <c r="O1414" s="156" t="s">
        <v>135</v>
      </c>
      <c r="P1414" s="144" t="s">
        <v>2478</v>
      </c>
      <c r="Q1414" s="147"/>
      <c r="R1414" s="146">
        <v>2055</v>
      </c>
      <c r="S1414" s="157"/>
      <c r="T1414" s="144" t="s">
        <v>29</v>
      </c>
      <c r="U1414" s="150" t="s">
        <v>2479</v>
      </c>
      <c r="V1414" s="146">
        <v>2311</v>
      </c>
      <c r="W1414" s="148" t="s">
        <v>4891</v>
      </c>
      <c r="X1414" s="149">
        <v>45689</v>
      </c>
      <c r="Y1414" s="165" t="s">
        <v>2500</v>
      </c>
    </row>
    <row r="1415" spans="1:25">
      <c r="A1415" s="163" t="s">
        <v>309</v>
      </c>
      <c r="B1415" s="144" t="s">
        <v>163</v>
      </c>
      <c r="C1415" s="164" t="s">
        <v>4892</v>
      </c>
      <c r="D1415" s="144" t="s">
        <v>4893</v>
      </c>
      <c r="E1415" s="150" t="s">
        <v>2639</v>
      </c>
      <c r="F1415" s="144" t="s">
        <v>3104</v>
      </c>
      <c r="G1415" s="166"/>
      <c r="H1415" s="151">
        <v>1</v>
      </c>
      <c r="I1415" s="160"/>
      <c r="J1415" s="159">
        <v>5</v>
      </c>
      <c r="K1415" s="161"/>
      <c r="L1415" s="159">
        <v>5</v>
      </c>
      <c r="M1415" s="160">
        <v>5</v>
      </c>
      <c r="N1415" s="145"/>
      <c r="O1415" s="156" t="s">
        <v>166</v>
      </c>
      <c r="P1415" s="144" t="s">
        <v>2480</v>
      </c>
      <c r="Q1415" s="147"/>
      <c r="R1415" s="146">
        <v>2035</v>
      </c>
      <c r="S1415" s="157"/>
      <c r="T1415" s="144" t="s">
        <v>25</v>
      </c>
      <c r="U1415" s="150" t="s">
        <v>19</v>
      </c>
      <c r="V1415" s="146">
        <v>1221</v>
      </c>
      <c r="W1415" s="148"/>
      <c r="X1415" s="149">
        <v>45566</v>
      </c>
      <c r="Y1415" s="165" t="s">
        <v>2558</v>
      </c>
    </row>
    <row r="1416" spans="1:25">
      <c r="A1416" s="163" t="s">
        <v>309</v>
      </c>
      <c r="B1416" s="144" t="s">
        <v>163</v>
      </c>
      <c r="C1416" s="164" t="s">
        <v>4892</v>
      </c>
      <c r="D1416" s="144" t="s">
        <v>4893</v>
      </c>
      <c r="E1416" s="150" t="s">
        <v>2639</v>
      </c>
      <c r="F1416" s="144" t="s">
        <v>3104</v>
      </c>
      <c r="G1416" s="166"/>
      <c r="H1416" s="151">
        <v>1</v>
      </c>
      <c r="I1416" s="160"/>
      <c r="J1416" s="159">
        <v>19</v>
      </c>
      <c r="K1416" s="161"/>
      <c r="L1416" s="159">
        <v>19</v>
      </c>
      <c r="M1416" s="160">
        <v>19</v>
      </c>
      <c r="N1416" s="145"/>
      <c r="O1416" s="156" t="s">
        <v>166</v>
      </c>
      <c r="P1416" s="144" t="s">
        <v>2480</v>
      </c>
      <c r="Q1416" s="147"/>
      <c r="R1416" s="146">
        <v>2035</v>
      </c>
      <c r="S1416" s="157"/>
      <c r="T1416" s="144" t="s">
        <v>25</v>
      </c>
      <c r="U1416" s="150" t="s">
        <v>19</v>
      </c>
      <c r="V1416" s="146">
        <v>1221</v>
      </c>
      <c r="W1416" s="148"/>
      <c r="X1416" s="149">
        <v>45566</v>
      </c>
      <c r="Y1416" s="165" t="s">
        <v>2558</v>
      </c>
    </row>
    <row r="1417" spans="1:25">
      <c r="A1417" s="163" t="s">
        <v>423</v>
      </c>
      <c r="B1417" s="144" t="s">
        <v>163</v>
      </c>
      <c r="C1417" s="164" t="s">
        <v>1581</v>
      </c>
      <c r="D1417" s="144" t="s">
        <v>1582</v>
      </c>
      <c r="E1417" s="150" t="s">
        <v>2466</v>
      </c>
      <c r="F1417" s="144" t="s">
        <v>2467</v>
      </c>
      <c r="G1417" s="166" t="s">
        <v>4894</v>
      </c>
      <c r="H1417" s="151">
        <v>1</v>
      </c>
      <c r="I1417" s="160"/>
      <c r="J1417" s="159">
        <v>300</v>
      </c>
      <c r="K1417" s="161"/>
      <c r="L1417" s="159">
        <v>300</v>
      </c>
      <c r="M1417" s="160">
        <v>300</v>
      </c>
      <c r="N1417" s="145">
        <v>470</v>
      </c>
      <c r="O1417" s="156" t="s">
        <v>166</v>
      </c>
      <c r="P1417" s="144" t="s">
        <v>2468</v>
      </c>
      <c r="Q1417" s="147">
        <v>44531</v>
      </c>
      <c r="R1417" s="146">
        <v>2041</v>
      </c>
      <c r="S1417" s="157"/>
      <c r="T1417" s="144" t="s">
        <v>25</v>
      </c>
      <c r="U1417" s="150" t="s">
        <v>20</v>
      </c>
      <c r="V1417" s="146">
        <v>1864</v>
      </c>
      <c r="W1417" s="148"/>
      <c r="X1417" s="149">
        <v>45778</v>
      </c>
      <c r="Y1417" s="165" t="s">
        <v>3069</v>
      </c>
    </row>
    <row r="1418" spans="1:25">
      <c r="A1418" s="163" t="s">
        <v>7</v>
      </c>
      <c r="B1418" s="144" t="s">
        <v>2463</v>
      </c>
      <c r="C1418" s="164" t="s">
        <v>4895</v>
      </c>
      <c r="D1418" s="144" t="s">
        <v>1282</v>
      </c>
      <c r="E1418" s="150" t="s">
        <v>2466</v>
      </c>
      <c r="F1418" s="144" t="s">
        <v>2467</v>
      </c>
      <c r="G1418" s="166"/>
      <c r="H1418" s="151">
        <v>1</v>
      </c>
      <c r="I1418" s="160">
        <v>200</v>
      </c>
      <c r="J1418" s="159">
        <v>200</v>
      </c>
      <c r="K1418" s="161">
        <v>200</v>
      </c>
      <c r="L1418" s="159">
        <v>200</v>
      </c>
      <c r="M1418" s="160">
        <v>200</v>
      </c>
      <c r="N1418" s="145">
        <v>400</v>
      </c>
      <c r="O1418" s="156" t="s">
        <v>135</v>
      </c>
      <c r="P1418" s="144" t="s">
        <v>2468</v>
      </c>
      <c r="Q1418" s="147"/>
      <c r="R1418" s="146"/>
      <c r="S1418" s="157"/>
      <c r="T1418" s="144" t="s">
        <v>29</v>
      </c>
      <c r="U1418" s="150" t="s">
        <v>20</v>
      </c>
      <c r="V1418" s="146">
        <v>2528</v>
      </c>
      <c r="W1418" s="148" t="s">
        <v>4896</v>
      </c>
      <c r="X1418" s="149">
        <v>45689</v>
      </c>
      <c r="Y1418" s="165" t="s">
        <v>2675</v>
      </c>
    </row>
    <row r="1419" spans="1:25">
      <c r="A1419" s="163" t="s">
        <v>7</v>
      </c>
      <c r="B1419" s="144" t="s">
        <v>2463</v>
      </c>
      <c r="C1419" s="164" t="s">
        <v>4897</v>
      </c>
      <c r="D1419" s="144" t="s">
        <v>1129</v>
      </c>
      <c r="E1419" s="150" t="s">
        <v>2466</v>
      </c>
      <c r="F1419" s="144" t="s">
        <v>2477</v>
      </c>
      <c r="G1419" s="166"/>
      <c r="H1419" s="151">
        <v>1</v>
      </c>
      <c r="I1419" s="160"/>
      <c r="J1419" s="159">
        <v>105</v>
      </c>
      <c r="K1419" s="161"/>
      <c r="L1419" s="159">
        <v>105</v>
      </c>
      <c r="M1419" s="160">
        <v>105</v>
      </c>
      <c r="N1419" s="145">
        <v>420</v>
      </c>
      <c r="O1419" s="156" t="s">
        <v>135</v>
      </c>
      <c r="P1419" s="144" t="s">
        <v>2468</v>
      </c>
      <c r="Q1419" s="147">
        <v>46905</v>
      </c>
      <c r="R1419" s="146"/>
      <c r="S1419" s="157"/>
      <c r="T1419" s="144" t="s">
        <v>29</v>
      </c>
      <c r="U1419" s="150" t="s">
        <v>20</v>
      </c>
      <c r="V1419" s="146">
        <v>2701</v>
      </c>
      <c r="W1419" s="148" t="s">
        <v>4898</v>
      </c>
      <c r="X1419" s="149">
        <v>45778</v>
      </c>
      <c r="Y1419" s="165" t="s">
        <v>2612</v>
      </c>
    </row>
    <row r="1420" spans="1:25">
      <c r="A1420" s="163" t="s">
        <v>7</v>
      </c>
      <c r="B1420" s="144" t="s">
        <v>2463</v>
      </c>
      <c r="C1420" s="164" t="s">
        <v>4899</v>
      </c>
      <c r="D1420" s="144" t="s">
        <v>3196</v>
      </c>
      <c r="E1420" s="150" t="s">
        <v>2466</v>
      </c>
      <c r="F1420" s="144" t="s">
        <v>2467</v>
      </c>
      <c r="G1420" s="166"/>
      <c r="H1420" s="151">
        <v>42</v>
      </c>
      <c r="I1420" s="160">
        <v>2.86</v>
      </c>
      <c r="J1420" s="159">
        <v>2.86</v>
      </c>
      <c r="K1420" s="161">
        <v>120.12</v>
      </c>
      <c r="L1420" s="159">
        <v>120.12</v>
      </c>
      <c r="M1420" s="160">
        <v>120.12</v>
      </c>
      <c r="N1420" s="145">
        <v>480</v>
      </c>
      <c r="O1420" s="156" t="s">
        <v>135</v>
      </c>
      <c r="P1420" s="144" t="s">
        <v>2468</v>
      </c>
      <c r="Q1420" s="147"/>
      <c r="R1420" s="146"/>
      <c r="S1420" s="157"/>
      <c r="T1420" s="144" t="s">
        <v>29</v>
      </c>
      <c r="U1420" s="150" t="s">
        <v>20</v>
      </c>
      <c r="V1420" s="146">
        <v>2817</v>
      </c>
      <c r="W1420" s="148" t="s">
        <v>4900</v>
      </c>
      <c r="X1420" s="149"/>
      <c r="Y1420" s="165" t="s">
        <v>2474</v>
      </c>
    </row>
    <row r="1421" spans="1:25">
      <c r="A1421" s="163" t="s">
        <v>7</v>
      </c>
      <c r="B1421" s="144" t="s">
        <v>163</v>
      </c>
      <c r="C1421" s="164" t="s">
        <v>930</v>
      </c>
      <c r="D1421" s="144" t="s">
        <v>931</v>
      </c>
      <c r="E1421" s="150" t="s">
        <v>2491</v>
      </c>
      <c r="F1421" s="144" t="s">
        <v>2477</v>
      </c>
      <c r="G1421" s="166" t="s">
        <v>932</v>
      </c>
      <c r="H1421" s="151">
        <v>12</v>
      </c>
      <c r="I1421" s="160">
        <v>1.64</v>
      </c>
      <c r="J1421" s="159">
        <v>1.64</v>
      </c>
      <c r="K1421" s="161">
        <v>19.64</v>
      </c>
      <c r="L1421" s="159">
        <v>19.64</v>
      </c>
      <c r="M1421" s="160">
        <v>19.64</v>
      </c>
      <c r="N1421" s="145"/>
      <c r="O1421" s="156" t="s">
        <v>164</v>
      </c>
      <c r="P1421" s="144" t="s">
        <v>2478</v>
      </c>
      <c r="Q1421" s="147">
        <v>45108</v>
      </c>
      <c r="R1421" s="146">
        <v>2050</v>
      </c>
      <c r="S1421" s="157"/>
      <c r="T1421" s="144" t="s">
        <v>25</v>
      </c>
      <c r="U1421" s="150" t="s">
        <v>2479</v>
      </c>
      <c r="V1421" s="146">
        <v>1514</v>
      </c>
      <c r="W1421" s="148"/>
      <c r="X1421" s="149">
        <v>45901</v>
      </c>
      <c r="Y1421" s="165" t="s">
        <v>2596</v>
      </c>
    </row>
    <row r="1422" spans="1:25">
      <c r="A1422" s="163" t="s">
        <v>7</v>
      </c>
      <c r="B1422" s="144" t="s">
        <v>163</v>
      </c>
      <c r="C1422" s="164" t="s">
        <v>930</v>
      </c>
      <c r="D1422" s="144" t="s">
        <v>931</v>
      </c>
      <c r="E1422" s="150" t="s">
        <v>2491</v>
      </c>
      <c r="F1422" s="144" t="s">
        <v>2477</v>
      </c>
      <c r="G1422" s="166" t="s">
        <v>932</v>
      </c>
      <c r="H1422" s="151">
        <v>22</v>
      </c>
      <c r="I1422" s="160"/>
      <c r="J1422" s="159">
        <v>1.64</v>
      </c>
      <c r="K1422" s="161"/>
      <c r="L1422" s="159">
        <v>36.01</v>
      </c>
      <c r="M1422" s="160">
        <v>36.01</v>
      </c>
      <c r="N1422" s="145"/>
      <c r="O1422" s="156" t="s">
        <v>164</v>
      </c>
      <c r="P1422" s="144" t="s">
        <v>2478</v>
      </c>
      <c r="Q1422" s="147"/>
      <c r="R1422" s="146">
        <v>2050</v>
      </c>
      <c r="S1422" s="157"/>
      <c r="T1422" s="144" t="s">
        <v>25</v>
      </c>
      <c r="U1422" s="150" t="s">
        <v>2479</v>
      </c>
      <c r="V1422" s="146">
        <v>1514</v>
      </c>
      <c r="W1422" s="148"/>
      <c r="X1422" s="149">
        <v>45901</v>
      </c>
      <c r="Y1422" s="165" t="s">
        <v>2596</v>
      </c>
    </row>
    <row r="1423" spans="1:25">
      <c r="A1423" s="163" t="s">
        <v>7</v>
      </c>
      <c r="B1423" s="144" t="s">
        <v>2463</v>
      </c>
      <c r="C1423" s="164" t="s">
        <v>4901</v>
      </c>
      <c r="D1423" s="144" t="s">
        <v>4902</v>
      </c>
      <c r="E1423" s="150" t="s">
        <v>2466</v>
      </c>
      <c r="F1423" s="144" t="s">
        <v>2477</v>
      </c>
      <c r="G1423" s="166"/>
      <c r="H1423" s="151">
        <v>1</v>
      </c>
      <c r="I1423" s="160">
        <v>15</v>
      </c>
      <c r="J1423" s="159">
        <v>15</v>
      </c>
      <c r="K1423" s="161">
        <v>15</v>
      </c>
      <c r="L1423" s="159">
        <v>15</v>
      </c>
      <c r="M1423" s="160">
        <v>15</v>
      </c>
      <c r="N1423" s="145">
        <v>30</v>
      </c>
      <c r="O1423" s="156" t="s">
        <v>135</v>
      </c>
      <c r="P1423" s="144" t="s">
        <v>2468</v>
      </c>
      <c r="Q1423" s="147"/>
      <c r="R1423" s="146"/>
      <c r="S1423" s="157"/>
      <c r="T1423" s="144" t="s">
        <v>29</v>
      </c>
      <c r="U1423" s="150" t="s">
        <v>20</v>
      </c>
      <c r="V1423" s="146">
        <v>2199</v>
      </c>
      <c r="W1423" s="148" t="s">
        <v>4903</v>
      </c>
      <c r="X1423" s="149">
        <v>45689</v>
      </c>
      <c r="Y1423" s="165" t="s">
        <v>2474</v>
      </c>
    </row>
    <row r="1424" spans="1:25">
      <c r="A1424" s="163" t="s">
        <v>7</v>
      </c>
      <c r="B1424" s="144" t="s">
        <v>2463</v>
      </c>
      <c r="C1424" s="164" t="s">
        <v>4904</v>
      </c>
      <c r="D1424" s="144" t="s">
        <v>2997</v>
      </c>
      <c r="E1424" s="150" t="s">
        <v>2466</v>
      </c>
      <c r="F1424" s="144" t="s">
        <v>2467</v>
      </c>
      <c r="G1424" s="166"/>
      <c r="H1424" s="151">
        <v>1</v>
      </c>
      <c r="I1424" s="160"/>
      <c r="J1424" s="159">
        <v>415</v>
      </c>
      <c r="K1424" s="161"/>
      <c r="L1424" s="159">
        <v>415</v>
      </c>
      <c r="M1424" s="160">
        <v>415</v>
      </c>
      <c r="N1424" s="145">
        <v>1660</v>
      </c>
      <c r="O1424" s="156" t="s">
        <v>135</v>
      </c>
      <c r="P1424" s="144" t="s">
        <v>2468</v>
      </c>
      <c r="Q1424" s="147"/>
      <c r="R1424" s="146"/>
      <c r="S1424" s="157"/>
      <c r="T1424" s="144" t="s">
        <v>29</v>
      </c>
      <c r="U1424" s="150" t="s">
        <v>20</v>
      </c>
      <c r="V1424" s="146">
        <v>2956</v>
      </c>
      <c r="W1424" s="148"/>
      <c r="X1424" s="149"/>
      <c r="Y1424" s="165" t="s">
        <v>2474</v>
      </c>
    </row>
    <row r="1425" spans="1:25">
      <c r="A1425" s="163" t="s">
        <v>7</v>
      </c>
      <c r="B1425" s="144" t="s">
        <v>163</v>
      </c>
      <c r="C1425" s="164" t="s">
        <v>297</v>
      </c>
      <c r="D1425" s="144" t="s">
        <v>298</v>
      </c>
      <c r="E1425" s="150" t="s">
        <v>2491</v>
      </c>
      <c r="F1425" s="144" t="s">
        <v>2477</v>
      </c>
      <c r="G1425" s="166" t="s">
        <v>299</v>
      </c>
      <c r="H1425" s="151">
        <v>48</v>
      </c>
      <c r="I1425" s="160"/>
      <c r="J1425" s="159">
        <v>3.17</v>
      </c>
      <c r="K1425" s="161"/>
      <c r="L1425" s="159">
        <v>151.97</v>
      </c>
      <c r="M1425" s="160">
        <v>151.97</v>
      </c>
      <c r="N1425" s="145"/>
      <c r="O1425" s="156" t="s">
        <v>166</v>
      </c>
      <c r="P1425" s="144" t="s">
        <v>2478</v>
      </c>
      <c r="Q1425" s="147">
        <v>45717</v>
      </c>
      <c r="R1425" s="146">
        <v>2054</v>
      </c>
      <c r="S1425" s="157"/>
      <c r="T1425" s="144" t="s">
        <v>25</v>
      </c>
      <c r="U1425" s="150" t="s">
        <v>2479</v>
      </c>
      <c r="V1425" s="146">
        <v>1712</v>
      </c>
      <c r="W1425" s="148"/>
      <c r="X1425" s="149">
        <v>45901</v>
      </c>
      <c r="Y1425" s="165" t="s">
        <v>2490</v>
      </c>
    </row>
    <row r="1426" spans="1:25">
      <c r="A1426" s="163" t="s">
        <v>7</v>
      </c>
      <c r="B1426" s="144" t="s">
        <v>163</v>
      </c>
      <c r="C1426" s="164" t="s">
        <v>297</v>
      </c>
      <c r="D1426" s="144" t="s">
        <v>298</v>
      </c>
      <c r="E1426" s="150" t="s">
        <v>2491</v>
      </c>
      <c r="F1426" s="144" t="s">
        <v>2477</v>
      </c>
      <c r="G1426" s="166" t="s">
        <v>300</v>
      </c>
      <c r="H1426" s="151">
        <v>48</v>
      </c>
      <c r="I1426" s="160"/>
      <c r="J1426" s="159">
        <v>3.17</v>
      </c>
      <c r="K1426" s="161"/>
      <c r="L1426" s="159">
        <v>151.97</v>
      </c>
      <c r="M1426" s="160">
        <v>151.97</v>
      </c>
      <c r="N1426" s="145"/>
      <c r="O1426" s="156" t="s">
        <v>166</v>
      </c>
      <c r="P1426" s="144" t="s">
        <v>2478</v>
      </c>
      <c r="Q1426" s="147">
        <v>45717</v>
      </c>
      <c r="R1426" s="146">
        <v>2054</v>
      </c>
      <c r="S1426" s="157"/>
      <c r="T1426" s="144" t="s">
        <v>25</v>
      </c>
      <c r="U1426" s="150" t="s">
        <v>2479</v>
      </c>
      <c r="V1426" s="146">
        <v>1712</v>
      </c>
      <c r="W1426" s="148"/>
      <c r="X1426" s="149">
        <v>45901</v>
      </c>
      <c r="Y1426" s="165" t="s">
        <v>2490</v>
      </c>
    </row>
    <row r="1427" spans="1:25">
      <c r="A1427" s="163" t="s">
        <v>7</v>
      </c>
      <c r="B1427" s="144" t="s">
        <v>2463</v>
      </c>
      <c r="C1427" s="164" t="s">
        <v>4905</v>
      </c>
      <c r="D1427" s="144" t="s">
        <v>4753</v>
      </c>
      <c r="E1427" s="150" t="s">
        <v>2466</v>
      </c>
      <c r="F1427" s="144" t="s">
        <v>2467</v>
      </c>
      <c r="G1427" s="166"/>
      <c r="H1427" s="151">
        <v>200</v>
      </c>
      <c r="I1427" s="160">
        <v>2</v>
      </c>
      <c r="J1427" s="159">
        <v>2</v>
      </c>
      <c r="K1427" s="161">
        <v>400</v>
      </c>
      <c r="L1427" s="159">
        <v>400</v>
      </c>
      <c r="M1427" s="160">
        <v>400</v>
      </c>
      <c r="N1427" s="145">
        <v>0</v>
      </c>
      <c r="O1427" s="156" t="s">
        <v>135</v>
      </c>
      <c r="P1427" s="144" t="s">
        <v>2468</v>
      </c>
      <c r="Q1427" s="147"/>
      <c r="R1427" s="146"/>
      <c r="S1427" s="157"/>
      <c r="T1427" s="144" t="s">
        <v>29</v>
      </c>
      <c r="U1427" s="150" t="s">
        <v>20</v>
      </c>
      <c r="V1427" s="146">
        <v>2928</v>
      </c>
      <c r="W1427" s="148" t="s">
        <v>4906</v>
      </c>
      <c r="X1427" s="149"/>
      <c r="Y1427" s="165"/>
    </row>
    <row r="1428" spans="1:25">
      <c r="A1428" s="163" t="s">
        <v>7</v>
      </c>
      <c r="B1428" s="144" t="s">
        <v>2463</v>
      </c>
      <c r="C1428" s="164" t="s">
        <v>4907</v>
      </c>
      <c r="D1428" s="144" t="s">
        <v>4908</v>
      </c>
      <c r="E1428" s="150" t="s">
        <v>2485</v>
      </c>
      <c r="F1428" s="144" t="s">
        <v>2486</v>
      </c>
      <c r="G1428" s="166"/>
      <c r="H1428" s="151">
        <v>38</v>
      </c>
      <c r="I1428" s="160">
        <v>5.7</v>
      </c>
      <c r="J1428" s="159">
        <v>5.7</v>
      </c>
      <c r="K1428" s="161">
        <v>216.6</v>
      </c>
      <c r="L1428" s="159">
        <v>216.6</v>
      </c>
      <c r="M1428" s="160">
        <v>216.6</v>
      </c>
      <c r="N1428" s="145"/>
      <c r="O1428" s="156" t="s">
        <v>135</v>
      </c>
      <c r="P1428" s="144" t="s">
        <v>2478</v>
      </c>
      <c r="Q1428" s="147"/>
      <c r="R1428" s="146"/>
      <c r="S1428" s="157"/>
      <c r="T1428" s="144" t="s">
        <v>29</v>
      </c>
      <c r="U1428" s="150" t="s">
        <v>17</v>
      </c>
      <c r="V1428" s="146">
        <v>3110</v>
      </c>
      <c r="W1428" s="148"/>
      <c r="X1428" s="149"/>
      <c r="Y1428" s="165"/>
    </row>
    <row r="1429" spans="1:25">
      <c r="A1429" s="163" t="s">
        <v>7</v>
      </c>
      <c r="B1429" s="144" t="s">
        <v>2463</v>
      </c>
      <c r="C1429" s="164" t="s">
        <v>4909</v>
      </c>
      <c r="D1429" s="144" t="s">
        <v>4910</v>
      </c>
      <c r="E1429" s="150" t="s">
        <v>2491</v>
      </c>
      <c r="F1429" s="144" t="s">
        <v>2477</v>
      </c>
      <c r="G1429" s="166"/>
      <c r="H1429" s="151">
        <v>36</v>
      </c>
      <c r="I1429" s="160">
        <v>0</v>
      </c>
      <c r="J1429" s="159">
        <v>3.4</v>
      </c>
      <c r="K1429" s="161">
        <v>0</v>
      </c>
      <c r="L1429" s="159">
        <v>122.4</v>
      </c>
      <c r="M1429" s="160">
        <v>122.4</v>
      </c>
      <c r="N1429" s="145">
        <v>0</v>
      </c>
      <c r="O1429" s="156" t="s">
        <v>135</v>
      </c>
      <c r="P1429" s="144" t="s">
        <v>2478</v>
      </c>
      <c r="Q1429" s="147"/>
      <c r="R1429" s="146"/>
      <c r="S1429" s="157"/>
      <c r="T1429" s="144" t="s">
        <v>29</v>
      </c>
      <c r="U1429" s="150" t="s">
        <v>2479</v>
      </c>
      <c r="V1429" s="146">
        <v>1861</v>
      </c>
      <c r="W1429" s="148" t="s">
        <v>4911</v>
      </c>
      <c r="X1429" s="149">
        <v>45901</v>
      </c>
      <c r="Y1429" s="165" t="s">
        <v>2722</v>
      </c>
    </row>
    <row r="1430" spans="1:25">
      <c r="A1430" s="163" t="s">
        <v>7</v>
      </c>
      <c r="B1430" s="144" t="s">
        <v>2463</v>
      </c>
      <c r="C1430" s="164" t="s">
        <v>4912</v>
      </c>
      <c r="D1430" s="144" t="s">
        <v>4913</v>
      </c>
      <c r="E1430" s="150" t="s">
        <v>2466</v>
      </c>
      <c r="F1430" s="144" t="s">
        <v>2467</v>
      </c>
      <c r="G1430" s="166"/>
      <c r="H1430" s="151">
        <v>1</v>
      </c>
      <c r="I1430" s="160">
        <v>1</v>
      </c>
      <c r="J1430" s="159">
        <v>300</v>
      </c>
      <c r="K1430" s="161">
        <v>1</v>
      </c>
      <c r="L1430" s="159">
        <v>300</v>
      </c>
      <c r="M1430" s="160" t="s">
        <v>4914</v>
      </c>
      <c r="N1430" s="145">
        <v>600</v>
      </c>
      <c r="O1430" s="156" t="s">
        <v>135</v>
      </c>
      <c r="P1430" s="144" t="s">
        <v>2468</v>
      </c>
      <c r="Q1430" s="147"/>
      <c r="R1430" s="146">
        <v>2050</v>
      </c>
      <c r="S1430" s="157"/>
      <c r="T1430" s="144" t="s">
        <v>29</v>
      </c>
      <c r="U1430" s="150" t="s">
        <v>20</v>
      </c>
      <c r="V1430" s="146">
        <v>1967</v>
      </c>
      <c r="W1430" s="148"/>
      <c r="X1430" s="149">
        <v>45689</v>
      </c>
      <c r="Y1430" s="165" t="s">
        <v>2520</v>
      </c>
    </row>
    <row r="1431" spans="1:25">
      <c r="A1431" s="163" t="s">
        <v>7</v>
      </c>
      <c r="B1431" s="144" t="s">
        <v>163</v>
      </c>
      <c r="C1431" s="164" t="s">
        <v>1423</v>
      </c>
      <c r="D1431" s="144" t="s">
        <v>1424</v>
      </c>
      <c r="E1431" s="150" t="s">
        <v>2466</v>
      </c>
      <c r="F1431" s="144" t="s">
        <v>2467</v>
      </c>
      <c r="G1431" s="166" t="s">
        <v>4915</v>
      </c>
      <c r="H1431" s="151">
        <v>1</v>
      </c>
      <c r="I1431" s="160">
        <v>50</v>
      </c>
      <c r="J1431" s="159">
        <v>50</v>
      </c>
      <c r="K1431" s="161">
        <v>50</v>
      </c>
      <c r="L1431" s="159">
        <v>50</v>
      </c>
      <c r="M1431" s="160">
        <v>50</v>
      </c>
      <c r="N1431" s="145">
        <v>75</v>
      </c>
      <c r="O1431" s="156" t="s">
        <v>166</v>
      </c>
      <c r="P1431" s="144" t="s">
        <v>2468</v>
      </c>
      <c r="Q1431" s="147">
        <v>44531</v>
      </c>
      <c r="R1431" s="146">
        <v>2036</v>
      </c>
      <c r="S1431" s="157"/>
      <c r="T1431" s="144" t="s">
        <v>25</v>
      </c>
      <c r="U1431" s="150" t="s">
        <v>20</v>
      </c>
      <c r="V1431" s="146">
        <v>1874</v>
      </c>
      <c r="W1431" s="148" t="s">
        <v>4916</v>
      </c>
      <c r="X1431" s="149">
        <v>45689</v>
      </c>
      <c r="Y1431" s="165" t="s">
        <v>2538</v>
      </c>
    </row>
    <row r="1432" spans="1:25">
      <c r="A1432" s="163" t="s">
        <v>309</v>
      </c>
      <c r="B1432" s="144" t="s">
        <v>2463</v>
      </c>
      <c r="C1432" s="164" t="s">
        <v>1319</v>
      </c>
      <c r="D1432" s="144" t="s">
        <v>1320</v>
      </c>
      <c r="E1432" s="150" t="s">
        <v>2485</v>
      </c>
      <c r="F1432" s="144" t="s">
        <v>2486</v>
      </c>
      <c r="G1432" s="166" t="s">
        <v>4917</v>
      </c>
      <c r="H1432" s="151">
        <v>1</v>
      </c>
      <c r="I1432" s="160">
        <v>252</v>
      </c>
      <c r="J1432" s="159">
        <v>252</v>
      </c>
      <c r="K1432" s="161">
        <v>252</v>
      </c>
      <c r="L1432" s="159">
        <v>252</v>
      </c>
      <c r="M1432" s="160">
        <v>252</v>
      </c>
      <c r="N1432" s="145"/>
      <c r="O1432" s="156" t="s">
        <v>27</v>
      </c>
      <c r="P1432" s="144" t="s">
        <v>2478</v>
      </c>
      <c r="Q1432" s="147">
        <v>45689</v>
      </c>
      <c r="R1432" s="146"/>
      <c r="S1432" s="157"/>
      <c r="T1432" s="144" t="s">
        <v>27</v>
      </c>
      <c r="U1432" s="150" t="s">
        <v>17</v>
      </c>
      <c r="V1432" s="146">
        <v>2287</v>
      </c>
      <c r="W1432" s="148" t="s">
        <v>4918</v>
      </c>
      <c r="X1432" s="149">
        <v>45901</v>
      </c>
      <c r="Y1432" s="165" t="s">
        <v>2780</v>
      </c>
    </row>
    <row r="1433" spans="1:25">
      <c r="A1433" s="163" t="s">
        <v>309</v>
      </c>
      <c r="B1433" s="144" t="s">
        <v>2463</v>
      </c>
      <c r="C1433" s="164" t="s">
        <v>1319</v>
      </c>
      <c r="D1433" s="144" t="s">
        <v>1320</v>
      </c>
      <c r="E1433" s="150" t="s">
        <v>2485</v>
      </c>
      <c r="F1433" s="144" t="s">
        <v>2486</v>
      </c>
      <c r="G1433" s="166"/>
      <c r="H1433" s="151">
        <v>1</v>
      </c>
      <c r="I1433" s="160">
        <v>248</v>
      </c>
      <c r="J1433" s="159">
        <v>248</v>
      </c>
      <c r="K1433" s="161">
        <v>248</v>
      </c>
      <c r="L1433" s="159">
        <v>248</v>
      </c>
      <c r="M1433" s="160">
        <v>248</v>
      </c>
      <c r="N1433" s="145"/>
      <c r="O1433" s="156" t="s">
        <v>135</v>
      </c>
      <c r="P1433" s="144" t="s">
        <v>2478</v>
      </c>
      <c r="Q1433" s="147"/>
      <c r="R1433" s="146"/>
      <c r="S1433" s="157"/>
      <c r="T1433" s="144" t="s">
        <v>29</v>
      </c>
      <c r="U1433" s="150" t="s">
        <v>17</v>
      </c>
      <c r="V1433" s="146">
        <v>2287</v>
      </c>
      <c r="W1433" s="148" t="s">
        <v>4918</v>
      </c>
      <c r="X1433" s="149">
        <v>45901</v>
      </c>
      <c r="Y1433" s="165" t="s">
        <v>2780</v>
      </c>
    </row>
    <row r="1434" spans="1:25">
      <c r="A1434" s="163" t="s">
        <v>309</v>
      </c>
      <c r="B1434" s="144" t="s">
        <v>2463</v>
      </c>
      <c r="C1434" s="164" t="s">
        <v>4919</v>
      </c>
      <c r="D1434" s="144" t="s">
        <v>4582</v>
      </c>
      <c r="E1434" s="150" t="s">
        <v>2466</v>
      </c>
      <c r="F1434" s="144" t="s">
        <v>2467</v>
      </c>
      <c r="G1434" s="166"/>
      <c r="H1434" s="151">
        <v>1</v>
      </c>
      <c r="I1434" s="160"/>
      <c r="J1434" s="159">
        <v>630</v>
      </c>
      <c r="K1434" s="161"/>
      <c r="L1434" s="159">
        <v>630</v>
      </c>
      <c r="M1434" s="160">
        <v>630</v>
      </c>
      <c r="N1434" s="145">
        <v>630</v>
      </c>
      <c r="O1434" s="156" t="s">
        <v>135</v>
      </c>
      <c r="P1434" s="144" t="s">
        <v>2468</v>
      </c>
      <c r="Q1434" s="147"/>
      <c r="R1434" s="146"/>
      <c r="S1434" s="157"/>
      <c r="T1434" s="144" t="s">
        <v>29</v>
      </c>
      <c r="U1434" s="150" t="s">
        <v>20</v>
      </c>
      <c r="V1434" s="146">
        <v>3000</v>
      </c>
      <c r="W1434" s="148" t="s">
        <v>4920</v>
      </c>
      <c r="X1434" s="149">
        <v>45901</v>
      </c>
      <c r="Y1434" s="165" t="s">
        <v>2800</v>
      </c>
    </row>
    <row r="1435" spans="1:25">
      <c r="A1435" s="163" t="s">
        <v>309</v>
      </c>
      <c r="B1435" s="144" t="s">
        <v>163</v>
      </c>
      <c r="C1435" s="164" t="s">
        <v>1440</v>
      </c>
      <c r="D1435" s="144" t="s">
        <v>979</v>
      </c>
      <c r="E1435" s="150" t="s">
        <v>2466</v>
      </c>
      <c r="F1435" s="144" t="s">
        <v>2467</v>
      </c>
      <c r="G1435" s="166" t="s">
        <v>4921</v>
      </c>
      <c r="H1435" s="151">
        <v>1</v>
      </c>
      <c r="I1435" s="160"/>
      <c r="J1435" s="159">
        <v>100</v>
      </c>
      <c r="K1435" s="161"/>
      <c r="L1435" s="159">
        <v>100</v>
      </c>
      <c r="M1435" s="160">
        <v>100</v>
      </c>
      <c r="N1435" s="145">
        <v>150</v>
      </c>
      <c r="O1435" s="156" t="s">
        <v>166</v>
      </c>
      <c r="P1435" s="144" t="s">
        <v>2468</v>
      </c>
      <c r="Q1435" s="147">
        <v>44743</v>
      </c>
      <c r="R1435" s="146">
        <v>2051</v>
      </c>
      <c r="S1435" s="157"/>
      <c r="T1435" s="144" t="s">
        <v>25</v>
      </c>
      <c r="U1435" s="150" t="s">
        <v>20</v>
      </c>
      <c r="V1435" s="146">
        <v>1762</v>
      </c>
      <c r="W1435" s="148"/>
      <c r="X1435" s="149">
        <v>45689</v>
      </c>
      <c r="Y1435" s="165" t="s">
        <v>2470</v>
      </c>
    </row>
    <row r="1436" spans="1:25">
      <c r="A1436" s="163" t="s">
        <v>309</v>
      </c>
      <c r="B1436" s="144" t="s">
        <v>163</v>
      </c>
      <c r="C1436" s="164" t="s">
        <v>978</v>
      </c>
      <c r="D1436" s="144" t="s">
        <v>979</v>
      </c>
      <c r="E1436" s="150" t="s">
        <v>2491</v>
      </c>
      <c r="F1436" s="144" t="s">
        <v>2477</v>
      </c>
      <c r="G1436" s="166" t="s">
        <v>980</v>
      </c>
      <c r="H1436" s="151">
        <v>1</v>
      </c>
      <c r="I1436" s="160">
        <v>160</v>
      </c>
      <c r="J1436" s="159">
        <v>160</v>
      </c>
      <c r="K1436" s="161">
        <v>160</v>
      </c>
      <c r="L1436" s="159">
        <v>160</v>
      </c>
      <c r="M1436" s="160">
        <v>160</v>
      </c>
      <c r="N1436" s="145"/>
      <c r="O1436" s="156" t="s">
        <v>164</v>
      </c>
      <c r="P1436" s="144" t="s">
        <v>2478</v>
      </c>
      <c r="Q1436" s="147">
        <v>45139</v>
      </c>
      <c r="R1436" s="146">
        <v>2053</v>
      </c>
      <c r="S1436" s="157"/>
      <c r="T1436" s="144" t="s">
        <v>25</v>
      </c>
      <c r="U1436" s="150" t="s">
        <v>2479</v>
      </c>
      <c r="V1436" s="146">
        <v>1455</v>
      </c>
      <c r="W1436" s="148" t="s">
        <v>4922</v>
      </c>
      <c r="X1436" s="149">
        <v>45901</v>
      </c>
      <c r="Y1436" s="165" t="s">
        <v>2858</v>
      </c>
    </row>
    <row r="1437" spans="1:25">
      <c r="A1437" s="163" t="s">
        <v>309</v>
      </c>
      <c r="B1437" s="144" t="s">
        <v>2463</v>
      </c>
      <c r="C1437" s="164" t="s">
        <v>4923</v>
      </c>
      <c r="D1437" s="144" t="s">
        <v>422</v>
      </c>
      <c r="E1437" s="150" t="s">
        <v>2491</v>
      </c>
      <c r="F1437" s="144" t="s">
        <v>2477</v>
      </c>
      <c r="G1437" s="166"/>
      <c r="H1437" s="151">
        <v>1</v>
      </c>
      <c r="I1437" s="160"/>
      <c r="J1437" s="159">
        <v>240</v>
      </c>
      <c r="K1437" s="161"/>
      <c r="L1437" s="159">
        <v>240</v>
      </c>
      <c r="M1437" s="160">
        <v>240</v>
      </c>
      <c r="N1437" s="145"/>
      <c r="O1437" s="156" t="s">
        <v>135</v>
      </c>
      <c r="P1437" s="144" t="s">
        <v>2478</v>
      </c>
      <c r="Q1437" s="147"/>
      <c r="R1437" s="146"/>
      <c r="S1437" s="157"/>
      <c r="T1437" s="144" t="s">
        <v>29</v>
      </c>
      <c r="U1437" s="150" t="s">
        <v>2479</v>
      </c>
      <c r="V1437" s="146">
        <v>2437</v>
      </c>
      <c r="W1437" s="148"/>
      <c r="X1437" s="149">
        <v>45689</v>
      </c>
      <c r="Y1437" s="165" t="s">
        <v>2470</v>
      </c>
    </row>
    <row r="1438" spans="1:25">
      <c r="A1438" s="163" t="s">
        <v>7</v>
      </c>
      <c r="B1438" s="144" t="s">
        <v>2463</v>
      </c>
      <c r="C1438" s="164" t="s">
        <v>260</v>
      </c>
      <c r="D1438" s="144" t="s">
        <v>261</v>
      </c>
      <c r="E1438" s="150" t="s">
        <v>2466</v>
      </c>
      <c r="F1438" s="144" t="s">
        <v>2467</v>
      </c>
      <c r="G1438" s="166" t="s">
        <v>262</v>
      </c>
      <c r="H1438" s="151">
        <v>288</v>
      </c>
      <c r="I1438" s="160">
        <v>0</v>
      </c>
      <c r="J1438" s="159">
        <v>2.95</v>
      </c>
      <c r="K1438" s="161">
        <v>0</v>
      </c>
      <c r="L1438" s="159">
        <v>850.18</v>
      </c>
      <c r="M1438" s="160">
        <v>850.18</v>
      </c>
      <c r="N1438" s="145">
        <v>1680</v>
      </c>
      <c r="O1438" s="156" t="s">
        <v>27</v>
      </c>
      <c r="P1438" s="144" t="s">
        <v>2468</v>
      </c>
      <c r="Q1438" s="147">
        <v>45962</v>
      </c>
      <c r="R1438" s="146">
        <v>2065</v>
      </c>
      <c r="S1438" s="157"/>
      <c r="T1438" s="144" t="s">
        <v>27</v>
      </c>
      <c r="U1438" s="150" t="s">
        <v>20</v>
      </c>
      <c r="V1438" s="146">
        <v>2220</v>
      </c>
      <c r="W1438" s="148" t="s">
        <v>4924</v>
      </c>
      <c r="X1438" s="149">
        <v>45901</v>
      </c>
      <c r="Y1438" s="165" t="s">
        <v>2840</v>
      </c>
    </row>
    <row r="1439" spans="1:25">
      <c r="A1439" s="163" t="s">
        <v>423</v>
      </c>
      <c r="B1439" s="144" t="s">
        <v>2463</v>
      </c>
      <c r="C1439" s="164" t="s">
        <v>4925</v>
      </c>
      <c r="D1439" s="144" t="s">
        <v>4926</v>
      </c>
      <c r="E1439" s="150" t="s">
        <v>2485</v>
      </c>
      <c r="F1439" s="144" t="s">
        <v>2486</v>
      </c>
      <c r="G1439" s="166"/>
      <c r="H1439" s="151">
        <v>200</v>
      </c>
      <c r="I1439" s="160">
        <v>6.2</v>
      </c>
      <c r="J1439" s="159">
        <v>7.5</v>
      </c>
      <c r="K1439" s="161">
        <v>1240</v>
      </c>
      <c r="L1439" s="159">
        <v>1500</v>
      </c>
      <c r="M1439" s="160" t="s">
        <v>4927</v>
      </c>
      <c r="N1439" s="145"/>
      <c r="O1439" s="156" t="s">
        <v>135</v>
      </c>
      <c r="P1439" s="144" t="s">
        <v>2478</v>
      </c>
      <c r="Q1439" s="147"/>
      <c r="R1439" s="146">
        <v>2058</v>
      </c>
      <c r="S1439" s="157"/>
      <c r="T1439" s="144" t="s">
        <v>29</v>
      </c>
      <c r="U1439" s="150" t="s">
        <v>17</v>
      </c>
      <c r="V1439" s="146">
        <v>1636</v>
      </c>
      <c r="W1439" s="148" t="s">
        <v>4928</v>
      </c>
      <c r="X1439" s="149">
        <v>45689</v>
      </c>
      <c r="Y1439" s="165" t="s">
        <v>2622</v>
      </c>
    </row>
    <row r="1440" spans="1:25">
      <c r="A1440" s="163" t="s">
        <v>423</v>
      </c>
      <c r="B1440" s="144" t="s">
        <v>2463</v>
      </c>
      <c r="C1440" s="164" t="s">
        <v>4929</v>
      </c>
      <c r="D1440" s="144" t="s">
        <v>4930</v>
      </c>
      <c r="E1440" s="150" t="s">
        <v>2466</v>
      </c>
      <c r="F1440" s="144" t="s">
        <v>2467</v>
      </c>
      <c r="G1440" s="166"/>
      <c r="H1440" s="151">
        <v>1</v>
      </c>
      <c r="I1440" s="160"/>
      <c r="J1440" s="159">
        <v>240</v>
      </c>
      <c r="K1440" s="161"/>
      <c r="L1440" s="159">
        <v>240</v>
      </c>
      <c r="M1440" s="160">
        <v>240</v>
      </c>
      <c r="N1440" s="145">
        <v>240</v>
      </c>
      <c r="O1440" s="156" t="s">
        <v>135</v>
      </c>
      <c r="P1440" s="144" t="s">
        <v>2478</v>
      </c>
      <c r="Q1440" s="147"/>
      <c r="R1440" s="146"/>
      <c r="S1440" s="157"/>
      <c r="T1440" s="144" t="s">
        <v>29</v>
      </c>
      <c r="U1440" s="150" t="s">
        <v>20</v>
      </c>
      <c r="V1440" s="146">
        <v>2998</v>
      </c>
      <c r="W1440" s="148" t="s">
        <v>4931</v>
      </c>
      <c r="X1440" s="149">
        <v>45901</v>
      </c>
      <c r="Y1440" s="165" t="s">
        <v>2942</v>
      </c>
    </row>
    <row r="1441" spans="1:25">
      <c r="A1441" s="163" t="s">
        <v>309</v>
      </c>
      <c r="B1441" s="144" t="s">
        <v>163</v>
      </c>
      <c r="C1441" s="164" t="s">
        <v>1322</v>
      </c>
      <c r="D1441" s="144" t="s">
        <v>1323</v>
      </c>
      <c r="E1441" s="150" t="s">
        <v>2491</v>
      </c>
      <c r="F1441" s="144" t="s">
        <v>2477</v>
      </c>
      <c r="G1441" s="166" t="s">
        <v>1376</v>
      </c>
      <c r="H1441" s="151">
        <v>8</v>
      </c>
      <c r="I1441" s="160">
        <v>4.01</v>
      </c>
      <c r="J1441" s="159">
        <v>4.01</v>
      </c>
      <c r="K1441" s="161">
        <v>32.1</v>
      </c>
      <c r="L1441" s="159">
        <v>32.1</v>
      </c>
      <c r="M1441" s="160">
        <v>32.1</v>
      </c>
      <c r="N1441" s="145"/>
      <c r="O1441" s="156" t="s">
        <v>166</v>
      </c>
      <c r="P1441" s="144" t="s">
        <v>2478</v>
      </c>
      <c r="Q1441" s="147">
        <v>45017</v>
      </c>
      <c r="R1441" s="146">
        <v>2046</v>
      </c>
      <c r="S1441" s="157"/>
      <c r="T1441" s="144" t="s">
        <v>25</v>
      </c>
      <c r="U1441" s="150" t="s">
        <v>2479</v>
      </c>
      <c r="V1441" s="146">
        <v>1530</v>
      </c>
      <c r="W1441" s="148"/>
      <c r="X1441" s="149">
        <v>45689</v>
      </c>
      <c r="Y1441" s="165" t="s">
        <v>3067</v>
      </c>
    </row>
    <row r="1442" spans="1:25">
      <c r="A1442" s="163" t="s">
        <v>309</v>
      </c>
      <c r="B1442" s="144" t="s">
        <v>163</v>
      </c>
      <c r="C1442" s="164" t="s">
        <v>1322</v>
      </c>
      <c r="D1442" s="144" t="s">
        <v>1323</v>
      </c>
      <c r="E1442" s="150" t="s">
        <v>2491</v>
      </c>
      <c r="F1442" s="144" t="s">
        <v>2477</v>
      </c>
      <c r="G1442" s="166" t="s">
        <v>1377</v>
      </c>
      <c r="H1442" s="151">
        <v>8</v>
      </c>
      <c r="I1442" s="160">
        <v>4.01</v>
      </c>
      <c r="J1442" s="159">
        <v>4.01</v>
      </c>
      <c r="K1442" s="161">
        <v>32.1</v>
      </c>
      <c r="L1442" s="159">
        <v>32.1</v>
      </c>
      <c r="M1442" s="160">
        <v>32.1</v>
      </c>
      <c r="N1442" s="145"/>
      <c r="O1442" s="156" t="s">
        <v>166</v>
      </c>
      <c r="P1442" s="144" t="s">
        <v>2478</v>
      </c>
      <c r="Q1442" s="147">
        <v>45017</v>
      </c>
      <c r="R1442" s="146">
        <v>2045</v>
      </c>
      <c r="S1442" s="157"/>
      <c r="T1442" s="144" t="s">
        <v>25</v>
      </c>
      <c r="U1442" s="150" t="s">
        <v>2479</v>
      </c>
      <c r="V1442" s="146">
        <v>1530</v>
      </c>
      <c r="W1442" s="148"/>
      <c r="X1442" s="149">
        <v>45689</v>
      </c>
      <c r="Y1442" s="165" t="s">
        <v>3067</v>
      </c>
    </row>
    <row r="1443" spans="1:25">
      <c r="A1443" s="163" t="s">
        <v>380</v>
      </c>
      <c r="B1443" s="144" t="s">
        <v>163</v>
      </c>
      <c r="C1443" s="164" t="s">
        <v>4932</v>
      </c>
      <c r="D1443" s="144" t="s">
        <v>4933</v>
      </c>
      <c r="E1443" s="150" t="s">
        <v>2485</v>
      </c>
      <c r="F1443" s="144" t="s">
        <v>2486</v>
      </c>
      <c r="G1443" s="166" t="s">
        <v>4934</v>
      </c>
      <c r="H1443" s="151">
        <v>6</v>
      </c>
      <c r="I1443" s="160"/>
      <c r="J1443" s="159">
        <v>3.3</v>
      </c>
      <c r="K1443" s="161"/>
      <c r="L1443" s="159">
        <v>19.8</v>
      </c>
      <c r="M1443" s="160">
        <v>19.8</v>
      </c>
      <c r="N1443" s="145"/>
      <c r="O1443" s="156" t="s">
        <v>166</v>
      </c>
      <c r="P1443" s="144" t="s">
        <v>2478</v>
      </c>
      <c r="Q1443" s="147"/>
      <c r="R1443" s="146">
        <v>2051</v>
      </c>
      <c r="S1443" s="157"/>
      <c r="T1443" s="144" t="s">
        <v>25</v>
      </c>
      <c r="U1443" s="150" t="s">
        <v>17</v>
      </c>
      <c r="V1443" s="146">
        <v>1223</v>
      </c>
      <c r="W1443" s="148"/>
      <c r="X1443" s="149">
        <v>45689</v>
      </c>
      <c r="Y1443" s="165" t="s">
        <v>2787</v>
      </c>
    </row>
    <row r="1444" spans="1:25">
      <c r="A1444" s="163" t="s">
        <v>380</v>
      </c>
      <c r="B1444" s="144" t="s">
        <v>163</v>
      </c>
      <c r="C1444" s="164" t="s">
        <v>4932</v>
      </c>
      <c r="D1444" s="144" t="s">
        <v>4933</v>
      </c>
      <c r="E1444" s="150" t="s">
        <v>2485</v>
      </c>
      <c r="F1444" s="144" t="s">
        <v>2486</v>
      </c>
      <c r="G1444" s="166" t="s">
        <v>4934</v>
      </c>
      <c r="H1444" s="151">
        <v>37</v>
      </c>
      <c r="I1444" s="160"/>
      <c r="J1444" s="159">
        <v>3</v>
      </c>
      <c r="K1444" s="161"/>
      <c r="L1444" s="159">
        <v>111</v>
      </c>
      <c r="M1444" s="160">
        <v>111</v>
      </c>
      <c r="N1444" s="145"/>
      <c r="O1444" s="156" t="s">
        <v>166</v>
      </c>
      <c r="P1444" s="144" t="s">
        <v>2478</v>
      </c>
      <c r="Q1444" s="147"/>
      <c r="R1444" s="146">
        <v>2045</v>
      </c>
      <c r="S1444" s="157"/>
      <c r="T1444" s="144" t="s">
        <v>25</v>
      </c>
      <c r="U1444" s="150" t="s">
        <v>17</v>
      </c>
      <c r="V1444" s="146">
        <v>1223</v>
      </c>
      <c r="W1444" s="148"/>
      <c r="X1444" s="149">
        <v>45689</v>
      </c>
      <c r="Y1444" s="165" t="s">
        <v>2787</v>
      </c>
    </row>
    <row r="1445" spans="1:25">
      <c r="A1445" s="163" t="s">
        <v>423</v>
      </c>
      <c r="B1445" s="144" t="s">
        <v>2463</v>
      </c>
      <c r="C1445" s="164" t="s">
        <v>4935</v>
      </c>
      <c r="D1445" s="144" t="s">
        <v>1217</v>
      </c>
      <c r="E1445" s="150" t="s">
        <v>2485</v>
      </c>
      <c r="F1445" s="144" t="s">
        <v>2486</v>
      </c>
      <c r="G1445" s="166"/>
      <c r="H1445" s="151">
        <v>45</v>
      </c>
      <c r="I1445" s="160"/>
      <c r="J1445" s="159">
        <v>6.8</v>
      </c>
      <c r="K1445" s="161"/>
      <c r="L1445" s="159">
        <v>306</v>
      </c>
      <c r="M1445" s="160">
        <v>306</v>
      </c>
      <c r="N1445" s="145"/>
      <c r="O1445" s="156" t="s">
        <v>135</v>
      </c>
      <c r="P1445" s="144" t="s">
        <v>2478</v>
      </c>
      <c r="Q1445" s="147">
        <v>47818</v>
      </c>
      <c r="R1445" s="146">
        <v>2060</v>
      </c>
      <c r="S1445" s="157"/>
      <c r="T1445" s="144" t="s">
        <v>29</v>
      </c>
      <c r="U1445" s="150" t="s">
        <v>17</v>
      </c>
      <c r="V1445" s="146">
        <v>2254</v>
      </c>
      <c r="W1445" s="148" t="s">
        <v>4936</v>
      </c>
      <c r="X1445" s="149"/>
      <c r="Y1445" s="165"/>
    </row>
    <row r="1446" spans="1:25">
      <c r="A1446" s="163" t="s">
        <v>7</v>
      </c>
      <c r="B1446" s="144" t="s">
        <v>2463</v>
      </c>
      <c r="C1446" s="164" t="s">
        <v>4937</v>
      </c>
      <c r="D1446" s="144" t="s">
        <v>4938</v>
      </c>
      <c r="E1446" s="150" t="s">
        <v>2466</v>
      </c>
      <c r="F1446" s="144" t="s">
        <v>2467</v>
      </c>
      <c r="G1446" s="166"/>
      <c r="H1446" s="151">
        <v>1</v>
      </c>
      <c r="I1446" s="160"/>
      <c r="J1446" s="159">
        <v>350</v>
      </c>
      <c r="K1446" s="161"/>
      <c r="L1446" s="159">
        <v>350</v>
      </c>
      <c r="M1446" s="160">
        <v>350</v>
      </c>
      <c r="N1446" s="145">
        <v>1400</v>
      </c>
      <c r="O1446" s="156" t="s">
        <v>135</v>
      </c>
      <c r="P1446" s="144" t="s">
        <v>2468</v>
      </c>
      <c r="Q1446" s="147">
        <v>47027</v>
      </c>
      <c r="R1446" s="146"/>
      <c r="S1446" s="157"/>
      <c r="T1446" s="144" t="s">
        <v>29</v>
      </c>
      <c r="U1446" s="150" t="s">
        <v>20</v>
      </c>
      <c r="V1446" s="146">
        <v>2634</v>
      </c>
      <c r="W1446" s="148" t="s">
        <v>4939</v>
      </c>
      <c r="X1446" s="149">
        <v>45689</v>
      </c>
      <c r="Y1446" s="165" t="s">
        <v>2574</v>
      </c>
    </row>
    <row r="1447" spans="1:25">
      <c r="A1447" s="163" t="s">
        <v>7</v>
      </c>
      <c r="B1447" s="144" t="s">
        <v>2463</v>
      </c>
      <c r="C1447" s="164" t="s">
        <v>4940</v>
      </c>
      <c r="D1447" s="144" t="s">
        <v>4938</v>
      </c>
      <c r="E1447" s="150" t="s">
        <v>2476</v>
      </c>
      <c r="F1447" s="144" t="s">
        <v>2477</v>
      </c>
      <c r="G1447" s="166"/>
      <c r="H1447" s="151">
        <v>1</v>
      </c>
      <c r="I1447" s="160">
        <v>265</v>
      </c>
      <c r="J1447" s="159">
        <v>265</v>
      </c>
      <c r="K1447" s="161">
        <v>265</v>
      </c>
      <c r="L1447" s="159">
        <v>265</v>
      </c>
      <c r="M1447" s="160">
        <v>265</v>
      </c>
      <c r="N1447" s="145"/>
      <c r="O1447" s="156" t="s">
        <v>135</v>
      </c>
      <c r="P1447" s="144" t="s">
        <v>2478</v>
      </c>
      <c r="Q1447" s="147">
        <v>47088</v>
      </c>
      <c r="R1447" s="146"/>
      <c r="S1447" s="157"/>
      <c r="T1447" s="144" t="s">
        <v>29</v>
      </c>
      <c r="U1447" s="150" t="s">
        <v>2479</v>
      </c>
      <c r="V1447" s="146">
        <v>2635</v>
      </c>
      <c r="W1447" s="148" t="s">
        <v>4939</v>
      </c>
      <c r="X1447" s="149">
        <v>45689</v>
      </c>
      <c r="Y1447" s="165" t="s">
        <v>2574</v>
      </c>
    </row>
    <row r="1448" spans="1:25">
      <c r="A1448" s="163" t="s">
        <v>7</v>
      </c>
      <c r="B1448" s="144" t="s">
        <v>2463</v>
      </c>
      <c r="C1448" s="164" t="s">
        <v>4940</v>
      </c>
      <c r="D1448" s="144" t="s">
        <v>4938</v>
      </c>
      <c r="E1448" s="150" t="s">
        <v>2466</v>
      </c>
      <c r="F1448" s="144" t="s">
        <v>2477</v>
      </c>
      <c r="G1448" s="166"/>
      <c r="H1448" s="151">
        <v>1</v>
      </c>
      <c r="I1448" s="160"/>
      <c r="J1448" s="159">
        <v>100</v>
      </c>
      <c r="K1448" s="161"/>
      <c r="L1448" s="159">
        <v>100</v>
      </c>
      <c r="M1448" s="160">
        <v>100</v>
      </c>
      <c r="N1448" s="145">
        <v>200</v>
      </c>
      <c r="O1448" s="156" t="s">
        <v>135</v>
      </c>
      <c r="P1448" s="144" t="s">
        <v>2478</v>
      </c>
      <c r="Q1448" s="147">
        <v>47088</v>
      </c>
      <c r="R1448" s="146"/>
      <c r="S1448" s="157"/>
      <c r="T1448" s="144" t="s">
        <v>29</v>
      </c>
      <c r="U1448" s="150" t="s">
        <v>20</v>
      </c>
      <c r="V1448" s="146">
        <v>2635</v>
      </c>
      <c r="W1448" s="148" t="s">
        <v>4939</v>
      </c>
      <c r="X1448" s="149">
        <v>45689</v>
      </c>
      <c r="Y1448" s="165" t="s">
        <v>2574</v>
      </c>
    </row>
    <row r="1449" spans="1:25">
      <c r="A1449" s="163" t="s">
        <v>380</v>
      </c>
      <c r="B1449" s="144" t="s">
        <v>163</v>
      </c>
      <c r="C1449" s="164" t="s">
        <v>4941</v>
      </c>
      <c r="D1449" s="144" t="s">
        <v>4942</v>
      </c>
      <c r="E1449" s="150" t="s">
        <v>2485</v>
      </c>
      <c r="F1449" s="144" t="s">
        <v>2486</v>
      </c>
      <c r="G1449" s="166" t="s">
        <v>4943</v>
      </c>
      <c r="H1449" s="151">
        <v>55</v>
      </c>
      <c r="I1449" s="160">
        <v>1.65</v>
      </c>
      <c r="J1449" s="159">
        <v>1.65</v>
      </c>
      <c r="K1449" s="161">
        <v>90.75</v>
      </c>
      <c r="L1449" s="159">
        <v>90.75</v>
      </c>
      <c r="M1449" s="160">
        <v>90.75</v>
      </c>
      <c r="N1449" s="145"/>
      <c r="O1449" s="156" t="s">
        <v>166</v>
      </c>
      <c r="P1449" s="144" t="s">
        <v>2480</v>
      </c>
      <c r="Q1449" s="147"/>
      <c r="R1449" s="146">
        <v>2031</v>
      </c>
      <c r="S1449" s="157"/>
      <c r="T1449" s="144" t="s">
        <v>25</v>
      </c>
      <c r="U1449" s="150" t="s">
        <v>17</v>
      </c>
      <c r="V1449" s="146">
        <v>1224</v>
      </c>
      <c r="W1449" s="148"/>
      <c r="X1449" s="149">
        <v>45901</v>
      </c>
      <c r="Y1449" s="165" t="s">
        <v>2660</v>
      </c>
    </row>
    <row r="1450" spans="1:25">
      <c r="A1450" s="163" t="s">
        <v>423</v>
      </c>
      <c r="B1450" s="144" t="s">
        <v>163</v>
      </c>
      <c r="C1450" s="164" t="s">
        <v>4944</v>
      </c>
      <c r="D1450" s="144" t="s">
        <v>4945</v>
      </c>
      <c r="E1450" s="150" t="s">
        <v>2485</v>
      </c>
      <c r="F1450" s="144" t="s">
        <v>2486</v>
      </c>
      <c r="G1450" s="166" t="s">
        <v>4946</v>
      </c>
      <c r="H1450" s="151">
        <v>15</v>
      </c>
      <c r="I1450" s="160"/>
      <c r="J1450" s="159">
        <v>1.5</v>
      </c>
      <c r="K1450" s="161"/>
      <c r="L1450" s="159">
        <v>22.5</v>
      </c>
      <c r="M1450" s="160">
        <v>22.5</v>
      </c>
      <c r="N1450" s="145"/>
      <c r="O1450" s="156" t="s">
        <v>166</v>
      </c>
      <c r="P1450" s="144" t="s">
        <v>2480</v>
      </c>
      <c r="Q1450" s="147"/>
      <c r="R1450" s="146">
        <v>2034</v>
      </c>
      <c r="S1450" s="157"/>
      <c r="T1450" s="144" t="s">
        <v>25</v>
      </c>
      <c r="U1450" s="150" t="s">
        <v>17</v>
      </c>
      <c r="V1450" s="146">
        <v>1225</v>
      </c>
      <c r="W1450" s="148"/>
      <c r="X1450" s="149">
        <v>45901</v>
      </c>
      <c r="Y1450" s="165" t="s">
        <v>2589</v>
      </c>
    </row>
    <row r="1451" spans="1:25">
      <c r="A1451" s="163" t="s">
        <v>423</v>
      </c>
      <c r="B1451" s="144" t="s">
        <v>163</v>
      </c>
      <c r="C1451" s="164" t="s">
        <v>4944</v>
      </c>
      <c r="D1451" s="144" t="s">
        <v>4945</v>
      </c>
      <c r="E1451" s="150" t="s">
        <v>2485</v>
      </c>
      <c r="F1451" s="144" t="s">
        <v>2486</v>
      </c>
      <c r="G1451" s="166" t="s">
        <v>4946</v>
      </c>
      <c r="H1451" s="151">
        <v>51</v>
      </c>
      <c r="I1451" s="160"/>
      <c r="J1451" s="159">
        <v>1.5</v>
      </c>
      <c r="K1451" s="161"/>
      <c r="L1451" s="159">
        <v>76.5</v>
      </c>
      <c r="M1451" s="160">
        <v>76.5</v>
      </c>
      <c r="N1451" s="145"/>
      <c r="O1451" s="156" t="s">
        <v>166</v>
      </c>
      <c r="P1451" s="144" t="s">
        <v>2480</v>
      </c>
      <c r="Q1451" s="147"/>
      <c r="R1451" s="146">
        <v>2034</v>
      </c>
      <c r="S1451" s="157"/>
      <c r="T1451" s="144" t="s">
        <v>25</v>
      </c>
      <c r="U1451" s="150" t="s">
        <v>17</v>
      </c>
      <c r="V1451" s="146">
        <v>1225</v>
      </c>
      <c r="W1451" s="148"/>
      <c r="X1451" s="149">
        <v>45901</v>
      </c>
      <c r="Y1451" s="165" t="s">
        <v>2589</v>
      </c>
    </row>
    <row r="1452" spans="1:25">
      <c r="A1452" s="163" t="s">
        <v>423</v>
      </c>
      <c r="B1452" s="144" t="s">
        <v>163</v>
      </c>
      <c r="C1452" s="164" t="s">
        <v>4944</v>
      </c>
      <c r="D1452" s="144" t="s">
        <v>4945</v>
      </c>
      <c r="E1452" s="150" t="s">
        <v>2485</v>
      </c>
      <c r="F1452" s="144" t="s">
        <v>2486</v>
      </c>
      <c r="G1452" s="166" t="s">
        <v>4946</v>
      </c>
      <c r="H1452" s="151">
        <v>62</v>
      </c>
      <c r="I1452" s="160"/>
      <c r="J1452" s="159">
        <v>1.5</v>
      </c>
      <c r="K1452" s="161"/>
      <c r="L1452" s="159">
        <v>93</v>
      </c>
      <c r="M1452" s="160">
        <v>93</v>
      </c>
      <c r="N1452" s="145"/>
      <c r="O1452" s="156" t="s">
        <v>166</v>
      </c>
      <c r="P1452" s="144" t="s">
        <v>2480</v>
      </c>
      <c r="Q1452" s="147"/>
      <c r="R1452" s="146">
        <v>2034</v>
      </c>
      <c r="S1452" s="157"/>
      <c r="T1452" s="144" t="s">
        <v>25</v>
      </c>
      <c r="U1452" s="150" t="s">
        <v>17</v>
      </c>
      <c r="V1452" s="146">
        <v>1225</v>
      </c>
      <c r="W1452" s="148"/>
      <c r="X1452" s="149">
        <v>45901</v>
      </c>
      <c r="Y1452" s="165" t="s">
        <v>2589</v>
      </c>
    </row>
    <row r="1453" spans="1:25">
      <c r="A1453" s="163" t="s">
        <v>423</v>
      </c>
      <c r="B1453" s="144" t="s">
        <v>2463</v>
      </c>
      <c r="C1453" s="164" t="s">
        <v>4947</v>
      </c>
      <c r="D1453" s="144" t="s">
        <v>324</v>
      </c>
      <c r="E1453" s="150" t="s">
        <v>2466</v>
      </c>
      <c r="F1453" s="144" t="s">
        <v>2467</v>
      </c>
      <c r="G1453" s="166"/>
      <c r="H1453" s="151">
        <v>1</v>
      </c>
      <c r="I1453" s="160"/>
      <c r="J1453" s="159">
        <v>200</v>
      </c>
      <c r="K1453" s="161"/>
      <c r="L1453" s="159">
        <v>200</v>
      </c>
      <c r="M1453" s="160">
        <v>200</v>
      </c>
      <c r="N1453" s="145">
        <v>200</v>
      </c>
      <c r="O1453" s="156" t="s">
        <v>135</v>
      </c>
      <c r="P1453" s="144" t="s">
        <v>2468</v>
      </c>
      <c r="Q1453" s="147"/>
      <c r="R1453" s="146"/>
      <c r="S1453" s="157"/>
      <c r="T1453" s="144" t="s">
        <v>29</v>
      </c>
      <c r="U1453" s="150" t="s">
        <v>20</v>
      </c>
      <c r="V1453" s="146">
        <v>2780</v>
      </c>
      <c r="W1453" s="148" t="s">
        <v>4948</v>
      </c>
      <c r="X1453" s="149">
        <v>45689</v>
      </c>
      <c r="Y1453" s="165" t="s">
        <v>2470</v>
      </c>
    </row>
    <row r="1454" spans="1:25">
      <c r="A1454" s="163" t="s">
        <v>565</v>
      </c>
      <c r="B1454" s="144" t="s">
        <v>2463</v>
      </c>
      <c r="C1454" s="164" t="s">
        <v>4949</v>
      </c>
      <c r="D1454" s="144" t="s">
        <v>4950</v>
      </c>
      <c r="E1454" s="150" t="s">
        <v>2476</v>
      </c>
      <c r="F1454" s="144" t="s">
        <v>2477</v>
      </c>
      <c r="G1454" s="166"/>
      <c r="H1454" s="151">
        <v>34</v>
      </c>
      <c r="I1454" s="160">
        <v>4.24</v>
      </c>
      <c r="J1454" s="159">
        <v>4.24</v>
      </c>
      <c r="K1454" s="161">
        <v>144.16</v>
      </c>
      <c r="L1454" s="159">
        <v>144.16</v>
      </c>
      <c r="M1454" s="160">
        <v>144.16</v>
      </c>
      <c r="N1454" s="145"/>
      <c r="O1454" s="156" t="s">
        <v>135</v>
      </c>
      <c r="P1454" s="144" t="s">
        <v>2478</v>
      </c>
      <c r="Q1454" s="147"/>
      <c r="R1454" s="146"/>
      <c r="S1454" s="157"/>
      <c r="T1454" s="144" t="s">
        <v>29</v>
      </c>
      <c r="U1454" s="150" t="s">
        <v>2479</v>
      </c>
      <c r="V1454" s="146">
        <v>2856</v>
      </c>
      <c r="W1454" s="148" t="s">
        <v>4951</v>
      </c>
      <c r="X1454" s="149">
        <v>45901</v>
      </c>
      <c r="Y1454" s="165" t="s">
        <v>2928</v>
      </c>
    </row>
    <row r="1455" spans="1:25">
      <c r="A1455" s="163" t="s">
        <v>565</v>
      </c>
      <c r="B1455" s="144" t="s">
        <v>2463</v>
      </c>
      <c r="C1455" s="164" t="s">
        <v>4949</v>
      </c>
      <c r="D1455" s="144" t="s">
        <v>4950</v>
      </c>
      <c r="E1455" s="150" t="s">
        <v>2466</v>
      </c>
      <c r="F1455" s="144" t="s">
        <v>2477</v>
      </c>
      <c r="G1455" s="166"/>
      <c r="H1455" s="151">
        <v>40</v>
      </c>
      <c r="I1455" s="160">
        <v>3.6</v>
      </c>
      <c r="J1455" s="159">
        <v>3.6</v>
      </c>
      <c r="K1455" s="161">
        <v>144</v>
      </c>
      <c r="L1455" s="159">
        <v>144</v>
      </c>
      <c r="M1455" s="160">
        <v>144</v>
      </c>
      <c r="N1455" s="145">
        <v>0</v>
      </c>
      <c r="O1455" s="156" t="s">
        <v>135</v>
      </c>
      <c r="P1455" s="144" t="s">
        <v>2468</v>
      </c>
      <c r="Q1455" s="147"/>
      <c r="R1455" s="146"/>
      <c r="S1455" s="157"/>
      <c r="T1455" s="144" t="s">
        <v>29</v>
      </c>
      <c r="U1455" s="150" t="s">
        <v>20</v>
      </c>
      <c r="V1455" s="146">
        <v>2856</v>
      </c>
      <c r="W1455" s="148" t="s">
        <v>4951</v>
      </c>
      <c r="X1455" s="149">
        <v>45901</v>
      </c>
      <c r="Y1455" s="165" t="s">
        <v>2928</v>
      </c>
    </row>
    <row r="1456" spans="1:25">
      <c r="A1456" s="163" t="s">
        <v>7</v>
      </c>
      <c r="B1456" s="144" t="s">
        <v>2463</v>
      </c>
      <c r="C1456" s="164" t="s">
        <v>4952</v>
      </c>
      <c r="D1456" s="144" t="s">
        <v>2997</v>
      </c>
      <c r="E1456" s="150" t="s">
        <v>2485</v>
      </c>
      <c r="F1456" s="144" t="s">
        <v>2486</v>
      </c>
      <c r="G1456" s="166"/>
      <c r="H1456" s="151">
        <v>1</v>
      </c>
      <c r="I1456" s="160"/>
      <c r="J1456" s="159">
        <v>350</v>
      </c>
      <c r="K1456" s="161"/>
      <c r="L1456" s="159">
        <v>350</v>
      </c>
      <c r="M1456" s="160">
        <v>350</v>
      </c>
      <c r="N1456" s="145"/>
      <c r="O1456" s="156" t="s">
        <v>135</v>
      </c>
      <c r="P1456" s="144" t="s">
        <v>2478</v>
      </c>
      <c r="Q1456" s="147"/>
      <c r="R1456" s="146"/>
      <c r="S1456" s="157"/>
      <c r="T1456" s="144" t="s">
        <v>29</v>
      </c>
      <c r="U1456" s="150" t="s">
        <v>17</v>
      </c>
      <c r="V1456" s="146">
        <v>2959</v>
      </c>
      <c r="W1456" s="148"/>
      <c r="X1456" s="149"/>
      <c r="Y1456" s="165" t="s">
        <v>2474</v>
      </c>
    </row>
    <row r="1457" spans="1:25">
      <c r="A1457" s="163" t="s">
        <v>7</v>
      </c>
      <c r="B1457" s="144" t="s">
        <v>2463</v>
      </c>
      <c r="C1457" s="164" t="s">
        <v>4953</v>
      </c>
      <c r="D1457" s="144" t="s">
        <v>4954</v>
      </c>
      <c r="E1457" s="150" t="s">
        <v>3009</v>
      </c>
      <c r="F1457" s="144" t="s">
        <v>2467</v>
      </c>
      <c r="G1457" s="166"/>
      <c r="H1457" s="151">
        <v>4</v>
      </c>
      <c r="I1457" s="160">
        <v>125</v>
      </c>
      <c r="J1457" s="159">
        <v>125</v>
      </c>
      <c r="K1457" s="161">
        <v>500</v>
      </c>
      <c r="L1457" s="159">
        <v>500</v>
      </c>
      <c r="M1457" s="160">
        <v>500</v>
      </c>
      <c r="N1457" s="145">
        <v>4000</v>
      </c>
      <c r="O1457" s="156" t="s">
        <v>135</v>
      </c>
      <c r="P1457" s="144" t="s">
        <v>2468</v>
      </c>
      <c r="Q1457" s="147"/>
      <c r="R1457" s="146"/>
      <c r="S1457" s="157"/>
      <c r="T1457" s="144" t="s">
        <v>29</v>
      </c>
      <c r="U1457" s="150" t="s">
        <v>20</v>
      </c>
      <c r="V1457" s="146">
        <v>2913</v>
      </c>
      <c r="W1457" s="148" t="s">
        <v>4955</v>
      </c>
      <c r="X1457" s="149"/>
      <c r="Y1457" s="165" t="s">
        <v>2474</v>
      </c>
    </row>
    <row r="1458" spans="1:25">
      <c r="A1458" s="163" t="s">
        <v>7</v>
      </c>
      <c r="B1458" s="144" t="s">
        <v>2463</v>
      </c>
      <c r="C1458" s="164" t="s">
        <v>4956</v>
      </c>
      <c r="D1458" s="144" t="s">
        <v>641</v>
      </c>
      <c r="E1458" s="150" t="s">
        <v>2466</v>
      </c>
      <c r="F1458" s="144" t="s">
        <v>2467</v>
      </c>
      <c r="G1458" s="166"/>
      <c r="H1458" s="151">
        <v>1</v>
      </c>
      <c r="I1458" s="160"/>
      <c r="J1458" s="159">
        <v>200</v>
      </c>
      <c r="K1458" s="161"/>
      <c r="L1458" s="159">
        <v>200</v>
      </c>
      <c r="M1458" s="160">
        <v>200</v>
      </c>
      <c r="N1458" s="145">
        <v>400</v>
      </c>
      <c r="O1458" s="156" t="s">
        <v>135</v>
      </c>
      <c r="P1458" s="144" t="s">
        <v>2468</v>
      </c>
      <c r="Q1458" s="147"/>
      <c r="R1458" s="146"/>
      <c r="S1458" s="157"/>
      <c r="T1458" s="144" t="s">
        <v>29</v>
      </c>
      <c r="U1458" s="150" t="s">
        <v>20</v>
      </c>
      <c r="V1458" s="146">
        <v>2699</v>
      </c>
      <c r="W1458" s="148" t="s">
        <v>4957</v>
      </c>
      <c r="X1458" s="149">
        <v>45901</v>
      </c>
      <c r="Y1458" s="165" t="s">
        <v>4958</v>
      </c>
    </row>
    <row r="1459" spans="1:25">
      <c r="A1459" s="163" t="s">
        <v>7</v>
      </c>
      <c r="B1459" s="144" t="s">
        <v>2463</v>
      </c>
      <c r="C1459" s="164" t="s">
        <v>4959</v>
      </c>
      <c r="D1459" s="144" t="s">
        <v>1511</v>
      </c>
      <c r="E1459" s="150" t="s">
        <v>2476</v>
      </c>
      <c r="F1459" s="144" t="s">
        <v>2477</v>
      </c>
      <c r="G1459" s="166"/>
      <c r="H1459" s="151">
        <v>300</v>
      </c>
      <c r="I1459" s="160">
        <v>0.66</v>
      </c>
      <c r="J1459" s="159">
        <v>1</v>
      </c>
      <c r="K1459" s="161">
        <v>198</v>
      </c>
      <c r="L1459" s="159">
        <v>300</v>
      </c>
      <c r="M1459" s="160" t="s">
        <v>4960</v>
      </c>
      <c r="N1459" s="145"/>
      <c r="O1459" s="156" t="s">
        <v>135</v>
      </c>
      <c r="P1459" s="144" t="s">
        <v>2478</v>
      </c>
      <c r="Q1459" s="147"/>
      <c r="R1459" s="146"/>
      <c r="S1459" s="157"/>
      <c r="T1459" s="144" t="s">
        <v>29</v>
      </c>
      <c r="U1459" s="150" t="s">
        <v>2479</v>
      </c>
      <c r="V1459" s="146">
        <v>1619</v>
      </c>
      <c r="W1459" s="148"/>
      <c r="X1459" s="149">
        <v>45689</v>
      </c>
      <c r="Y1459" s="165" t="s">
        <v>2558</v>
      </c>
    </row>
    <row r="1460" spans="1:25">
      <c r="A1460" s="163" t="s">
        <v>7</v>
      </c>
      <c r="B1460" s="144" t="s">
        <v>163</v>
      </c>
      <c r="C1460" s="164" t="s">
        <v>826</v>
      </c>
      <c r="D1460" s="144" t="s">
        <v>827</v>
      </c>
      <c r="E1460" s="150" t="s">
        <v>2491</v>
      </c>
      <c r="F1460" s="144" t="s">
        <v>2477</v>
      </c>
      <c r="G1460" s="166" t="s">
        <v>828</v>
      </c>
      <c r="H1460" s="151">
        <v>104</v>
      </c>
      <c r="I1460" s="160"/>
      <c r="J1460" s="159">
        <v>4.2</v>
      </c>
      <c r="K1460" s="161"/>
      <c r="L1460" s="159">
        <v>436.8</v>
      </c>
      <c r="M1460" s="160">
        <v>436.8</v>
      </c>
      <c r="N1460" s="145"/>
      <c r="O1460" s="156" t="s">
        <v>166</v>
      </c>
      <c r="P1460" s="144" t="s">
        <v>2478</v>
      </c>
      <c r="Q1460" s="147">
        <v>45566</v>
      </c>
      <c r="R1460" s="146">
        <v>2064</v>
      </c>
      <c r="S1460" s="157"/>
      <c r="T1460" s="144" t="s">
        <v>25</v>
      </c>
      <c r="U1460" s="150" t="s">
        <v>2479</v>
      </c>
      <c r="V1460" s="146">
        <v>1960</v>
      </c>
      <c r="W1460" s="148" t="s">
        <v>4961</v>
      </c>
      <c r="X1460" s="149">
        <v>45689</v>
      </c>
      <c r="Y1460" s="165" t="s">
        <v>4530</v>
      </c>
    </row>
    <row r="1461" spans="1:25">
      <c r="A1461" s="163" t="s">
        <v>7</v>
      </c>
      <c r="B1461" s="144" t="s">
        <v>163</v>
      </c>
      <c r="C1461" s="164" t="s">
        <v>1426</v>
      </c>
      <c r="D1461" s="144" t="s">
        <v>1427</v>
      </c>
      <c r="E1461" s="150" t="s">
        <v>2491</v>
      </c>
      <c r="F1461" s="144" t="s">
        <v>2477</v>
      </c>
      <c r="G1461" s="166" t="s">
        <v>1428</v>
      </c>
      <c r="H1461" s="151">
        <v>132</v>
      </c>
      <c r="I1461" s="160"/>
      <c r="J1461" s="159">
        <v>1.64</v>
      </c>
      <c r="K1461" s="161"/>
      <c r="L1461" s="159">
        <v>216.08</v>
      </c>
      <c r="M1461" s="160">
        <v>216.08</v>
      </c>
      <c r="N1461" s="145"/>
      <c r="O1461" s="156" t="s">
        <v>166</v>
      </c>
      <c r="P1461" s="144" t="s">
        <v>2478</v>
      </c>
      <c r="Q1461" s="147">
        <v>44896</v>
      </c>
      <c r="R1461" s="146">
        <v>2051</v>
      </c>
      <c r="S1461" s="157"/>
      <c r="T1461" s="144" t="s">
        <v>25</v>
      </c>
      <c r="U1461" s="150" t="s">
        <v>2479</v>
      </c>
      <c r="V1461" s="146">
        <v>1515</v>
      </c>
      <c r="W1461" s="148"/>
      <c r="X1461" s="149">
        <v>45689</v>
      </c>
      <c r="Y1461" s="165" t="s">
        <v>3352</v>
      </c>
    </row>
    <row r="1462" spans="1:25">
      <c r="A1462" s="163" t="s">
        <v>423</v>
      </c>
      <c r="B1462" s="144" t="s">
        <v>163</v>
      </c>
      <c r="C1462" s="164" t="s">
        <v>1908</v>
      </c>
      <c r="D1462" s="144" t="s">
        <v>1909</v>
      </c>
      <c r="E1462" s="150" t="s">
        <v>2491</v>
      </c>
      <c r="F1462" s="144" t="s">
        <v>2477</v>
      </c>
      <c r="G1462" s="166" t="s">
        <v>1910</v>
      </c>
      <c r="H1462" s="151">
        <v>39</v>
      </c>
      <c r="I1462" s="160">
        <v>2.0499999999999998</v>
      </c>
      <c r="J1462" s="159">
        <v>2.5</v>
      </c>
      <c r="K1462" s="161">
        <v>79.95</v>
      </c>
      <c r="L1462" s="159">
        <v>97.5</v>
      </c>
      <c r="M1462" s="160">
        <v>97.5</v>
      </c>
      <c r="N1462" s="145"/>
      <c r="O1462" s="156" t="s">
        <v>166</v>
      </c>
      <c r="P1462" s="144" t="s">
        <v>2478</v>
      </c>
      <c r="Q1462" s="147">
        <v>43525</v>
      </c>
      <c r="R1462" s="146">
        <v>2049</v>
      </c>
      <c r="S1462" s="157"/>
      <c r="T1462" s="144" t="s">
        <v>25</v>
      </c>
      <c r="U1462" s="150" t="s">
        <v>2479</v>
      </c>
      <c r="V1462" s="146">
        <v>1563</v>
      </c>
      <c r="W1462" s="148"/>
      <c r="X1462" s="149">
        <v>45689</v>
      </c>
      <c r="Y1462" s="165" t="s">
        <v>3051</v>
      </c>
    </row>
    <row r="1463" spans="1:25">
      <c r="A1463" s="163" t="s">
        <v>7</v>
      </c>
      <c r="B1463" s="144" t="s">
        <v>163</v>
      </c>
      <c r="C1463" s="164" t="s">
        <v>1588</v>
      </c>
      <c r="D1463" s="144" t="s">
        <v>1589</v>
      </c>
      <c r="E1463" s="150" t="s">
        <v>2501</v>
      </c>
      <c r="F1463" s="144" t="s">
        <v>2502</v>
      </c>
      <c r="G1463" s="166" t="s">
        <v>1590</v>
      </c>
      <c r="H1463" s="151">
        <v>2</v>
      </c>
      <c r="I1463" s="160">
        <v>0</v>
      </c>
      <c r="J1463" s="159">
        <v>0.72</v>
      </c>
      <c r="K1463" s="161">
        <v>0</v>
      </c>
      <c r="L1463" s="159">
        <v>1.43</v>
      </c>
      <c r="M1463" s="160">
        <v>1.43</v>
      </c>
      <c r="N1463" s="145"/>
      <c r="O1463" s="156" t="s">
        <v>166</v>
      </c>
      <c r="P1463" s="144" t="s">
        <v>2480</v>
      </c>
      <c r="Q1463" s="147"/>
      <c r="R1463" s="146">
        <v>2050</v>
      </c>
      <c r="S1463" s="157"/>
      <c r="T1463" s="144" t="s">
        <v>25</v>
      </c>
      <c r="U1463" s="150" t="s">
        <v>21</v>
      </c>
      <c r="V1463" s="146">
        <v>1226</v>
      </c>
      <c r="W1463" s="148"/>
      <c r="X1463" s="149">
        <v>45566</v>
      </c>
      <c r="Y1463" s="165" t="s">
        <v>3031</v>
      </c>
    </row>
    <row r="1464" spans="1:25">
      <c r="A1464" s="163" t="s">
        <v>423</v>
      </c>
      <c r="B1464" s="144" t="s">
        <v>163</v>
      </c>
      <c r="C1464" s="164" t="s">
        <v>1923</v>
      </c>
      <c r="D1464" s="144" t="s">
        <v>1511</v>
      </c>
      <c r="E1464" s="150" t="s">
        <v>2593</v>
      </c>
      <c r="F1464" s="144" t="s">
        <v>2482</v>
      </c>
      <c r="G1464" s="166" t="s">
        <v>4962</v>
      </c>
      <c r="H1464" s="151">
        <v>2</v>
      </c>
      <c r="I1464" s="160"/>
      <c r="J1464" s="159">
        <v>17</v>
      </c>
      <c r="K1464" s="161"/>
      <c r="L1464" s="159">
        <v>34</v>
      </c>
      <c r="M1464" s="160">
        <v>34</v>
      </c>
      <c r="N1464" s="145"/>
      <c r="O1464" s="156" t="s">
        <v>166</v>
      </c>
      <c r="P1464" s="144" t="s">
        <v>2468</v>
      </c>
      <c r="Q1464" s="147"/>
      <c r="R1464" s="146">
        <v>2057</v>
      </c>
      <c r="S1464" s="157"/>
      <c r="T1464" s="144" t="s">
        <v>25</v>
      </c>
      <c r="U1464" s="150" t="s">
        <v>18</v>
      </c>
      <c r="V1464" s="146">
        <v>1227</v>
      </c>
      <c r="W1464" s="148"/>
      <c r="X1464" s="149">
        <v>45689</v>
      </c>
      <c r="Y1464" s="165" t="s">
        <v>2558</v>
      </c>
    </row>
    <row r="1465" spans="1:25">
      <c r="A1465" s="163" t="s">
        <v>423</v>
      </c>
      <c r="B1465" s="144" t="s">
        <v>163</v>
      </c>
      <c r="C1465" s="164" t="s">
        <v>1923</v>
      </c>
      <c r="D1465" s="144" t="s">
        <v>1511</v>
      </c>
      <c r="E1465" s="150" t="s">
        <v>2593</v>
      </c>
      <c r="F1465" s="144" t="s">
        <v>2482</v>
      </c>
      <c r="G1465" s="166" t="s">
        <v>4963</v>
      </c>
      <c r="H1465" s="151">
        <v>2</v>
      </c>
      <c r="I1465" s="160"/>
      <c r="J1465" s="159">
        <v>17</v>
      </c>
      <c r="K1465" s="161"/>
      <c r="L1465" s="159">
        <v>34</v>
      </c>
      <c r="M1465" s="160">
        <v>34</v>
      </c>
      <c r="N1465" s="145"/>
      <c r="O1465" s="156" t="s">
        <v>166</v>
      </c>
      <c r="P1465" s="144" t="s">
        <v>2468</v>
      </c>
      <c r="Q1465" s="147"/>
      <c r="R1465" s="146">
        <v>2057</v>
      </c>
      <c r="S1465" s="157"/>
      <c r="T1465" s="144" t="s">
        <v>25</v>
      </c>
      <c r="U1465" s="150" t="s">
        <v>18</v>
      </c>
      <c r="V1465" s="146">
        <v>1227</v>
      </c>
      <c r="W1465" s="148"/>
      <c r="X1465" s="149">
        <v>45689</v>
      </c>
      <c r="Y1465" s="165" t="s">
        <v>2558</v>
      </c>
    </row>
    <row r="1466" spans="1:25">
      <c r="A1466" s="163" t="s">
        <v>423</v>
      </c>
      <c r="B1466" s="144" t="s">
        <v>2463</v>
      </c>
      <c r="C1466" s="164" t="s">
        <v>4964</v>
      </c>
      <c r="D1466" s="144" t="s">
        <v>4965</v>
      </c>
      <c r="E1466" s="150" t="s">
        <v>2491</v>
      </c>
      <c r="F1466" s="144" t="s">
        <v>2477</v>
      </c>
      <c r="G1466" s="166"/>
      <c r="H1466" s="151">
        <v>112</v>
      </c>
      <c r="I1466" s="160"/>
      <c r="J1466" s="159">
        <v>3.58</v>
      </c>
      <c r="K1466" s="161"/>
      <c r="L1466" s="159">
        <v>400.4</v>
      </c>
      <c r="M1466" s="160">
        <v>400.4</v>
      </c>
      <c r="N1466" s="145"/>
      <c r="O1466" s="156" t="s">
        <v>135</v>
      </c>
      <c r="P1466" s="144" t="s">
        <v>2478</v>
      </c>
      <c r="Q1466" s="147"/>
      <c r="R1466" s="146"/>
      <c r="S1466" s="157"/>
      <c r="T1466" s="144" t="s">
        <v>29</v>
      </c>
      <c r="U1466" s="150" t="s">
        <v>2479</v>
      </c>
      <c r="V1466" s="146">
        <v>2000</v>
      </c>
      <c r="W1466" s="148" t="s">
        <v>4966</v>
      </c>
      <c r="X1466" s="149">
        <v>45901</v>
      </c>
      <c r="Y1466" s="165" t="s">
        <v>2620</v>
      </c>
    </row>
    <row r="1467" spans="1:25">
      <c r="A1467" s="163" t="s">
        <v>423</v>
      </c>
      <c r="B1467" s="144" t="s">
        <v>2463</v>
      </c>
      <c r="C1467" s="164" t="s">
        <v>4964</v>
      </c>
      <c r="D1467" s="144" t="s">
        <v>4965</v>
      </c>
      <c r="E1467" s="150" t="s">
        <v>2466</v>
      </c>
      <c r="F1467" s="144" t="s">
        <v>2467</v>
      </c>
      <c r="G1467" s="166"/>
      <c r="H1467" s="151">
        <v>112</v>
      </c>
      <c r="I1467" s="160"/>
      <c r="J1467" s="159">
        <v>2.67</v>
      </c>
      <c r="K1467" s="161"/>
      <c r="L1467" s="159">
        <v>298.58999999999997</v>
      </c>
      <c r="M1467" s="160">
        <v>298.58999999999997</v>
      </c>
      <c r="N1467" s="145">
        <v>560</v>
      </c>
      <c r="O1467" s="156" t="s">
        <v>135</v>
      </c>
      <c r="P1467" s="144" t="s">
        <v>2468</v>
      </c>
      <c r="Q1467" s="147"/>
      <c r="R1467" s="146"/>
      <c r="S1467" s="157"/>
      <c r="T1467" s="144" t="s">
        <v>29</v>
      </c>
      <c r="U1467" s="150" t="s">
        <v>20</v>
      </c>
      <c r="V1467" s="146">
        <v>2000</v>
      </c>
      <c r="W1467" s="148" t="s">
        <v>4966</v>
      </c>
      <c r="X1467" s="149">
        <v>45901</v>
      </c>
      <c r="Y1467" s="165" t="s">
        <v>2620</v>
      </c>
    </row>
    <row r="1468" spans="1:25">
      <c r="A1468" s="163" t="s">
        <v>7</v>
      </c>
      <c r="B1468" s="144" t="s">
        <v>2463</v>
      </c>
      <c r="C1468" s="164" t="s">
        <v>4967</v>
      </c>
      <c r="D1468" s="144" t="s">
        <v>3193</v>
      </c>
      <c r="E1468" s="150" t="s">
        <v>2485</v>
      </c>
      <c r="F1468" s="144" t="s">
        <v>2486</v>
      </c>
      <c r="G1468" s="166"/>
      <c r="H1468" s="151">
        <v>65</v>
      </c>
      <c r="I1468" s="160">
        <v>7.2</v>
      </c>
      <c r="J1468" s="159">
        <v>7.2</v>
      </c>
      <c r="K1468" s="161">
        <v>468</v>
      </c>
      <c r="L1468" s="159">
        <v>468</v>
      </c>
      <c r="M1468" s="160">
        <v>468</v>
      </c>
      <c r="N1468" s="145"/>
      <c r="O1468" s="156" t="s">
        <v>135</v>
      </c>
      <c r="P1468" s="144" t="s">
        <v>2478</v>
      </c>
      <c r="Q1468" s="147"/>
      <c r="R1468" s="146"/>
      <c r="S1468" s="157"/>
      <c r="T1468" s="144" t="s">
        <v>29</v>
      </c>
      <c r="U1468" s="150" t="s">
        <v>17</v>
      </c>
      <c r="V1468" s="146">
        <v>2925</v>
      </c>
      <c r="W1468" s="148" t="s">
        <v>4968</v>
      </c>
      <c r="X1468" s="149">
        <v>45778</v>
      </c>
      <c r="Y1468" s="165"/>
    </row>
    <row r="1469" spans="1:25">
      <c r="A1469" s="163" t="s">
        <v>7</v>
      </c>
      <c r="B1469" s="144" t="s">
        <v>163</v>
      </c>
      <c r="C1469" s="164" t="s">
        <v>1315</v>
      </c>
      <c r="D1469" s="144" t="s">
        <v>4969</v>
      </c>
      <c r="E1469" s="150" t="s">
        <v>2491</v>
      </c>
      <c r="F1469" s="144" t="s">
        <v>2477</v>
      </c>
      <c r="G1469" s="166" t="s">
        <v>4970</v>
      </c>
      <c r="H1469" s="151">
        <v>29</v>
      </c>
      <c r="I1469" s="160"/>
      <c r="J1469" s="159">
        <v>3.63</v>
      </c>
      <c r="K1469" s="161"/>
      <c r="L1469" s="159">
        <v>105.27</v>
      </c>
      <c r="M1469" s="160">
        <v>105.27</v>
      </c>
      <c r="N1469" s="145"/>
      <c r="O1469" s="156" t="s">
        <v>166</v>
      </c>
      <c r="P1469" s="144" t="s">
        <v>2478</v>
      </c>
      <c r="Q1469" s="147">
        <v>44896</v>
      </c>
      <c r="R1469" s="146">
        <v>2058</v>
      </c>
      <c r="S1469" s="157"/>
      <c r="T1469" s="144" t="s">
        <v>25</v>
      </c>
      <c r="U1469" s="150" t="s">
        <v>2479</v>
      </c>
      <c r="V1469" s="146">
        <v>1904</v>
      </c>
      <c r="W1469" s="148"/>
      <c r="X1469" s="149">
        <v>45689</v>
      </c>
      <c r="Y1469" s="165" t="s">
        <v>4530</v>
      </c>
    </row>
    <row r="1470" spans="1:25">
      <c r="A1470" s="163" t="s">
        <v>309</v>
      </c>
      <c r="B1470" s="144" t="s">
        <v>163</v>
      </c>
      <c r="C1470" s="164" t="s">
        <v>360</v>
      </c>
      <c r="D1470" s="144" t="s">
        <v>361</v>
      </c>
      <c r="E1470" s="150" t="s">
        <v>2466</v>
      </c>
      <c r="F1470" s="144" t="s">
        <v>2467</v>
      </c>
      <c r="G1470" s="166" t="s">
        <v>4971</v>
      </c>
      <c r="H1470" s="151">
        <v>140</v>
      </c>
      <c r="I1470" s="160">
        <v>0</v>
      </c>
      <c r="J1470" s="159">
        <v>1.82</v>
      </c>
      <c r="K1470" s="161">
        <v>0</v>
      </c>
      <c r="L1470" s="159">
        <v>254.94</v>
      </c>
      <c r="M1470" s="160">
        <v>254.94</v>
      </c>
      <c r="N1470" s="145">
        <v>510</v>
      </c>
      <c r="O1470" s="156" t="s">
        <v>164</v>
      </c>
      <c r="P1470" s="144" t="s">
        <v>2468</v>
      </c>
      <c r="Q1470" s="147">
        <v>45627</v>
      </c>
      <c r="R1470" s="146">
        <v>2048</v>
      </c>
      <c r="S1470" s="157"/>
      <c r="T1470" s="144" t="s">
        <v>25</v>
      </c>
      <c r="U1470" s="150" t="s">
        <v>20</v>
      </c>
      <c r="V1470" s="146">
        <v>1966</v>
      </c>
      <c r="W1470" s="148"/>
      <c r="X1470" s="149">
        <v>45901</v>
      </c>
      <c r="Y1470" s="165" t="s">
        <v>2490</v>
      </c>
    </row>
    <row r="1471" spans="1:25">
      <c r="A1471" s="163" t="s">
        <v>309</v>
      </c>
      <c r="B1471" s="144" t="s">
        <v>163</v>
      </c>
      <c r="C1471" s="164" t="s">
        <v>360</v>
      </c>
      <c r="D1471" s="144" t="s">
        <v>361</v>
      </c>
      <c r="E1471" s="150" t="s">
        <v>2466</v>
      </c>
      <c r="F1471" s="144" t="s">
        <v>2467</v>
      </c>
      <c r="G1471" s="166" t="s">
        <v>362</v>
      </c>
      <c r="H1471" s="151">
        <v>140</v>
      </c>
      <c r="I1471" s="160">
        <v>0</v>
      </c>
      <c r="J1471" s="159">
        <v>1.82</v>
      </c>
      <c r="K1471" s="161">
        <v>0</v>
      </c>
      <c r="L1471" s="159">
        <v>254.94</v>
      </c>
      <c r="M1471" s="160">
        <v>254.94</v>
      </c>
      <c r="N1471" s="145">
        <v>510</v>
      </c>
      <c r="O1471" s="156" t="s">
        <v>164</v>
      </c>
      <c r="P1471" s="144" t="s">
        <v>2468</v>
      </c>
      <c r="Q1471" s="147">
        <v>46082</v>
      </c>
      <c r="R1471" s="146">
        <v>2048</v>
      </c>
      <c r="S1471" s="157"/>
      <c r="T1471" s="144" t="s">
        <v>25</v>
      </c>
      <c r="U1471" s="150" t="s">
        <v>20</v>
      </c>
      <c r="V1471" s="146">
        <v>1966</v>
      </c>
      <c r="W1471" s="148"/>
      <c r="X1471" s="149">
        <v>45901</v>
      </c>
      <c r="Y1471" s="165" t="s">
        <v>2490</v>
      </c>
    </row>
    <row r="1472" spans="1:25">
      <c r="A1472" s="163" t="s">
        <v>309</v>
      </c>
      <c r="B1472" s="144" t="s">
        <v>2463</v>
      </c>
      <c r="C1472" s="164" t="s">
        <v>4972</v>
      </c>
      <c r="D1472" s="144" t="s">
        <v>4973</v>
      </c>
      <c r="E1472" s="150" t="s">
        <v>3100</v>
      </c>
      <c r="F1472" s="144" t="s">
        <v>2467</v>
      </c>
      <c r="G1472" s="166"/>
      <c r="H1472" s="151">
        <v>1</v>
      </c>
      <c r="I1472" s="160">
        <v>207</v>
      </c>
      <c r="J1472" s="159">
        <v>207</v>
      </c>
      <c r="K1472" s="161">
        <v>207</v>
      </c>
      <c r="L1472" s="159">
        <v>207</v>
      </c>
      <c r="M1472" s="160">
        <v>207</v>
      </c>
      <c r="N1472" s="145"/>
      <c r="O1472" s="156" t="s">
        <v>135</v>
      </c>
      <c r="P1472" s="144" t="s">
        <v>2468</v>
      </c>
      <c r="Q1472" s="147"/>
      <c r="R1472" s="146"/>
      <c r="S1472" s="157"/>
      <c r="T1472" s="144" t="s">
        <v>29</v>
      </c>
      <c r="U1472" s="150" t="s">
        <v>13</v>
      </c>
      <c r="V1472" s="146">
        <v>2289</v>
      </c>
      <c r="W1472" s="148" t="s">
        <v>4974</v>
      </c>
      <c r="X1472" s="149">
        <v>45901</v>
      </c>
      <c r="Y1472" s="165" t="s">
        <v>4083</v>
      </c>
    </row>
    <row r="1473" spans="1:25">
      <c r="A1473" s="163" t="s">
        <v>309</v>
      </c>
      <c r="B1473" s="144" t="s">
        <v>163</v>
      </c>
      <c r="C1473" s="164" t="s">
        <v>1391</v>
      </c>
      <c r="D1473" s="144" t="s">
        <v>1392</v>
      </c>
      <c r="E1473" s="150" t="s">
        <v>2491</v>
      </c>
      <c r="F1473" s="144" t="s">
        <v>2477</v>
      </c>
      <c r="G1473" s="166" t="s">
        <v>1393</v>
      </c>
      <c r="H1473" s="151">
        <v>167</v>
      </c>
      <c r="I1473" s="160">
        <v>0.02</v>
      </c>
      <c r="J1473" s="159">
        <v>2.4</v>
      </c>
      <c r="K1473" s="161">
        <v>3.34</v>
      </c>
      <c r="L1473" s="159">
        <v>399.97</v>
      </c>
      <c r="M1473" s="160">
        <v>399.97</v>
      </c>
      <c r="N1473" s="145"/>
      <c r="O1473" s="156" t="s">
        <v>166</v>
      </c>
      <c r="P1473" s="144" t="s">
        <v>2478</v>
      </c>
      <c r="Q1473" s="147">
        <v>44927</v>
      </c>
      <c r="R1473" s="146">
        <v>2046</v>
      </c>
      <c r="S1473" s="157"/>
      <c r="T1473" s="144" t="s">
        <v>25</v>
      </c>
      <c r="U1473" s="150" t="s">
        <v>2479</v>
      </c>
      <c r="V1473" s="146">
        <v>2011</v>
      </c>
      <c r="W1473" s="148"/>
      <c r="X1473" s="149">
        <v>45689</v>
      </c>
      <c r="Y1473" s="165" t="s">
        <v>2787</v>
      </c>
    </row>
    <row r="1474" spans="1:25">
      <c r="A1474" s="163" t="s">
        <v>565</v>
      </c>
      <c r="B1474" s="144" t="s">
        <v>2463</v>
      </c>
      <c r="C1474" s="164" t="s">
        <v>4975</v>
      </c>
      <c r="D1474" s="144" t="s">
        <v>2756</v>
      </c>
      <c r="E1474" s="150" t="s">
        <v>2485</v>
      </c>
      <c r="F1474" s="144" t="s">
        <v>2486</v>
      </c>
      <c r="G1474" s="166"/>
      <c r="H1474" s="151">
        <v>12</v>
      </c>
      <c r="I1474" s="160">
        <v>3.08</v>
      </c>
      <c r="J1474" s="159">
        <v>4.2</v>
      </c>
      <c r="K1474" s="161">
        <v>36.92</v>
      </c>
      <c r="L1474" s="159">
        <v>50.4</v>
      </c>
      <c r="M1474" s="160" t="s">
        <v>4976</v>
      </c>
      <c r="N1474" s="145"/>
      <c r="O1474" s="156" t="s">
        <v>135</v>
      </c>
      <c r="P1474" s="144" t="s">
        <v>2478</v>
      </c>
      <c r="Q1474" s="147"/>
      <c r="R1474" s="146"/>
      <c r="S1474" s="157"/>
      <c r="T1474" s="144" t="s">
        <v>29</v>
      </c>
      <c r="U1474" s="150" t="s">
        <v>17</v>
      </c>
      <c r="V1474" s="146">
        <v>1501</v>
      </c>
      <c r="W1474" s="148" t="s">
        <v>4977</v>
      </c>
      <c r="X1474" s="149">
        <v>45689</v>
      </c>
      <c r="Y1474" s="165" t="s">
        <v>2520</v>
      </c>
    </row>
    <row r="1475" spans="1:25">
      <c r="A1475" s="163" t="s">
        <v>7</v>
      </c>
      <c r="B1475" s="144" t="s">
        <v>2463</v>
      </c>
      <c r="C1475" s="164" t="s">
        <v>4978</v>
      </c>
      <c r="D1475" s="144" t="s">
        <v>4979</v>
      </c>
      <c r="E1475" s="150" t="s">
        <v>2467</v>
      </c>
      <c r="F1475" s="144" t="s">
        <v>2467</v>
      </c>
      <c r="G1475" s="166"/>
      <c r="H1475" s="151">
        <v>1</v>
      </c>
      <c r="I1475" s="160">
        <v>58</v>
      </c>
      <c r="J1475" s="159">
        <v>58</v>
      </c>
      <c r="K1475" s="161">
        <v>58</v>
      </c>
      <c r="L1475" s="159">
        <v>58</v>
      </c>
      <c r="M1475" s="160">
        <v>58</v>
      </c>
      <c r="N1475" s="145"/>
      <c r="O1475" s="156" t="s">
        <v>135</v>
      </c>
      <c r="P1475" s="144" t="s">
        <v>2468</v>
      </c>
      <c r="Q1475" s="147"/>
      <c r="R1475" s="146"/>
      <c r="S1475" s="157"/>
      <c r="T1475" s="144" t="s">
        <v>29</v>
      </c>
      <c r="U1475" s="150" t="s">
        <v>21</v>
      </c>
      <c r="V1475" s="146">
        <v>2185</v>
      </c>
      <c r="W1475" s="148" t="s">
        <v>4980</v>
      </c>
      <c r="X1475" s="149">
        <v>45901</v>
      </c>
      <c r="Y1475" s="165" t="s">
        <v>4083</v>
      </c>
    </row>
    <row r="1476" spans="1:25">
      <c r="A1476" s="163" t="s">
        <v>7</v>
      </c>
      <c r="B1476" s="144" t="s">
        <v>2463</v>
      </c>
      <c r="C1476" s="164" t="s">
        <v>4981</v>
      </c>
      <c r="D1476" s="144" t="s">
        <v>418</v>
      </c>
      <c r="E1476" s="150" t="s">
        <v>2636</v>
      </c>
      <c r="F1476" s="144" t="s">
        <v>2482</v>
      </c>
      <c r="G1476" s="166"/>
      <c r="H1476" s="151">
        <v>1</v>
      </c>
      <c r="I1476" s="160">
        <v>1000</v>
      </c>
      <c r="J1476" s="159">
        <v>1000</v>
      </c>
      <c r="K1476" s="161">
        <v>1000</v>
      </c>
      <c r="L1476" s="159">
        <v>1000</v>
      </c>
      <c r="M1476" s="160">
        <v>1000</v>
      </c>
      <c r="N1476" s="145">
        <v>8000</v>
      </c>
      <c r="O1476" s="156" t="s">
        <v>135</v>
      </c>
      <c r="P1476" s="144" t="s">
        <v>2468</v>
      </c>
      <c r="Q1476" s="147"/>
      <c r="R1476" s="146"/>
      <c r="S1476" s="157"/>
      <c r="T1476" s="144" t="s">
        <v>29</v>
      </c>
      <c r="U1476" s="150" t="s">
        <v>18</v>
      </c>
      <c r="V1476" s="146">
        <v>2742</v>
      </c>
      <c r="W1476" s="148"/>
      <c r="X1476" s="149"/>
      <c r="Y1476" s="165" t="s">
        <v>2612</v>
      </c>
    </row>
    <row r="1477" spans="1:25">
      <c r="A1477" s="163" t="s">
        <v>565</v>
      </c>
      <c r="B1477" s="144" t="s">
        <v>2463</v>
      </c>
      <c r="C1477" s="164" t="s">
        <v>4982</v>
      </c>
      <c r="D1477" s="144" t="s">
        <v>4983</v>
      </c>
      <c r="E1477" s="150" t="s">
        <v>2485</v>
      </c>
      <c r="F1477" s="144" t="s">
        <v>2486</v>
      </c>
      <c r="G1477" s="166"/>
      <c r="H1477" s="151">
        <v>40</v>
      </c>
      <c r="I1477" s="160">
        <v>7.2</v>
      </c>
      <c r="J1477" s="159">
        <v>7.2</v>
      </c>
      <c r="K1477" s="161">
        <v>288</v>
      </c>
      <c r="L1477" s="159">
        <v>288</v>
      </c>
      <c r="M1477" s="160">
        <v>288</v>
      </c>
      <c r="N1477" s="145"/>
      <c r="O1477" s="156" t="s">
        <v>135</v>
      </c>
      <c r="P1477" s="144" t="s">
        <v>2478</v>
      </c>
      <c r="Q1477" s="147"/>
      <c r="R1477" s="146"/>
      <c r="S1477" s="157"/>
      <c r="T1477" s="144" t="s">
        <v>29</v>
      </c>
      <c r="U1477" s="150" t="s">
        <v>17</v>
      </c>
      <c r="V1477" s="146">
        <v>2391</v>
      </c>
      <c r="W1477" s="148" t="s">
        <v>4984</v>
      </c>
      <c r="X1477" s="149">
        <v>45901</v>
      </c>
      <c r="Y1477" s="165" t="s">
        <v>3472</v>
      </c>
    </row>
    <row r="1478" spans="1:25">
      <c r="A1478" s="163" t="s">
        <v>7</v>
      </c>
      <c r="B1478" s="144" t="s">
        <v>163</v>
      </c>
      <c r="C1478" s="164" t="s">
        <v>2065</v>
      </c>
      <c r="D1478" s="144" t="s">
        <v>4985</v>
      </c>
      <c r="E1478" s="150" t="s">
        <v>2476</v>
      </c>
      <c r="F1478" s="144" t="s">
        <v>2477</v>
      </c>
      <c r="G1478" s="166" t="s">
        <v>4986</v>
      </c>
      <c r="H1478" s="151">
        <v>8</v>
      </c>
      <c r="I1478" s="160">
        <v>2.5</v>
      </c>
      <c r="J1478" s="159">
        <v>2.5</v>
      </c>
      <c r="K1478" s="161">
        <v>20</v>
      </c>
      <c r="L1478" s="159">
        <v>20</v>
      </c>
      <c r="M1478" s="160">
        <v>20</v>
      </c>
      <c r="N1478" s="145"/>
      <c r="O1478" s="156" t="s">
        <v>166</v>
      </c>
      <c r="P1478" s="144" t="s">
        <v>2478</v>
      </c>
      <c r="Q1478" s="147"/>
      <c r="R1478" s="146">
        <v>2043</v>
      </c>
      <c r="S1478" s="157"/>
      <c r="T1478" s="144" t="s">
        <v>25</v>
      </c>
      <c r="U1478" s="150" t="s">
        <v>2479</v>
      </c>
      <c r="V1478" s="146">
        <v>1662</v>
      </c>
      <c r="W1478" s="148"/>
      <c r="X1478" s="149">
        <v>45689</v>
      </c>
      <c r="Y1478" s="165" t="s">
        <v>4987</v>
      </c>
    </row>
    <row r="1479" spans="1:25">
      <c r="A1479" s="163" t="s">
        <v>7</v>
      </c>
      <c r="B1479" s="144" t="s">
        <v>163</v>
      </c>
      <c r="C1479" s="164" t="s">
        <v>4988</v>
      </c>
      <c r="D1479" s="144" t="s">
        <v>4989</v>
      </c>
      <c r="E1479" s="150" t="s">
        <v>2485</v>
      </c>
      <c r="F1479" s="144" t="s">
        <v>2486</v>
      </c>
      <c r="G1479" s="166" t="s">
        <v>4990</v>
      </c>
      <c r="H1479" s="151">
        <v>70</v>
      </c>
      <c r="I1479" s="160"/>
      <c r="J1479" s="159">
        <v>2.5</v>
      </c>
      <c r="K1479" s="161"/>
      <c r="L1479" s="159">
        <v>175</v>
      </c>
      <c r="M1479" s="160">
        <v>175</v>
      </c>
      <c r="N1479" s="145"/>
      <c r="O1479" s="156" t="s">
        <v>166</v>
      </c>
      <c r="P1479" s="144" t="s">
        <v>2478</v>
      </c>
      <c r="Q1479" s="147"/>
      <c r="R1479" s="146">
        <v>2038</v>
      </c>
      <c r="S1479" s="157"/>
      <c r="T1479" s="144" t="s">
        <v>25</v>
      </c>
      <c r="U1479" s="150" t="s">
        <v>17</v>
      </c>
      <c r="V1479" s="146">
        <v>1277</v>
      </c>
      <c r="W1479" s="148"/>
      <c r="X1479" s="149">
        <v>45689</v>
      </c>
      <c r="Y1479" s="165" t="s">
        <v>4567</v>
      </c>
    </row>
    <row r="1480" spans="1:25">
      <c r="A1480" s="163" t="s">
        <v>7</v>
      </c>
      <c r="B1480" s="144" t="s">
        <v>2463</v>
      </c>
      <c r="C1480" s="164" t="s">
        <v>4991</v>
      </c>
      <c r="D1480" s="144" t="s">
        <v>4985</v>
      </c>
      <c r="E1480" s="150" t="s">
        <v>2485</v>
      </c>
      <c r="F1480" s="144" t="s">
        <v>2486</v>
      </c>
      <c r="G1480" s="166"/>
      <c r="H1480" s="151">
        <v>47</v>
      </c>
      <c r="I1480" s="160">
        <v>4.5</v>
      </c>
      <c r="J1480" s="159">
        <v>7.5</v>
      </c>
      <c r="K1480" s="161">
        <v>211.5</v>
      </c>
      <c r="L1480" s="159">
        <v>352.5</v>
      </c>
      <c r="M1480" s="160" t="s">
        <v>4992</v>
      </c>
      <c r="N1480" s="145"/>
      <c r="O1480" s="156" t="s">
        <v>135</v>
      </c>
      <c r="P1480" s="144" t="s">
        <v>2478</v>
      </c>
      <c r="Q1480" s="147">
        <v>46447</v>
      </c>
      <c r="R1480" s="146"/>
      <c r="S1480" s="157"/>
      <c r="T1480" s="144" t="s">
        <v>29</v>
      </c>
      <c r="U1480" s="150" t="s">
        <v>17</v>
      </c>
      <c r="V1480" s="146">
        <v>1661</v>
      </c>
      <c r="W1480" s="148" t="s">
        <v>4993</v>
      </c>
      <c r="X1480" s="149">
        <v>45778</v>
      </c>
      <c r="Y1480" s="165" t="s">
        <v>4994</v>
      </c>
    </row>
    <row r="1481" spans="1:25">
      <c r="A1481" s="163" t="s">
        <v>309</v>
      </c>
      <c r="B1481" s="144" t="s">
        <v>163</v>
      </c>
      <c r="C1481" s="164" t="s">
        <v>2141</v>
      </c>
      <c r="D1481" s="144" t="s">
        <v>4995</v>
      </c>
      <c r="E1481" s="150" t="s">
        <v>2491</v>
      </c>
      <c r="F1481" s="144" t="s">
        <v>2477</v>
      </c>
      <c r="G1481" s="166" t="s">
        <v>4996</v>
      </c>
      <c r="H1481" s="151">
        <v>23</v>
      </c>
      <c r="I1481" s="160"/>
      <c r="J1481" s="159">
        <v>2.5</v>
      </c>
      <c r="K1481" s="161"/>
      <c r="L1481" s="159">
        <v>57.5</v>
      </c>
      <c r="M1481" s="160">
        <v>57.5</v>
      </c>
      <c r="N1481" s="145"/>
      <c r="O1481" s="156" t="s">
        <v>166</v>
      </c>
      <c r="P1481" s="144" t="s">
        <v>2478</v>
      </c>
      <c r="Q1481" s="147"/>
      <c r="R1481" s="146">
        <v>2048</v>
      </c>
      <c r="S1481" s="157"/>
      <c r="T1481" s="144" t="s">
        <v>25</v>
      </c>
      <c r="U1481" s="150" t="s">
        <v>2479</v>
      </c>
      <c r="V1481" s="146">
        <v>1407</v>
      </c>
      <c r="W1481" s="148"/>
      <c r="X1481" s="149">
        <v>45689</v>
      </c>
      <c r="Y1481" s="165" t="s">
        <v>2470</v>
      </c>
    </row>
    <row r="1482" spans="1:25">
      <c r="A1482" s="163" t="s">
        <v>309</v>
      </c>
      <c r="B1482" s="144" t="s">
        <v>163</v>
      </c>
      <c r="C1482" s="164" t="s">
        <v>4997</v>
      </c>
      <c r="D1482" s="144" t="s">
        <v>1017</v>
      </c>
      <c r="E1482" s="150" t="s">
        <v>2506</v>
      </c>
      <c r="F1482" s="144" t="s">
        <v>3046</v>
      </c>
      <c r="G1482" s="166" t="s">
        <v>4998</v>
      </c>
      <c r="H1482" s="151">
        <v>1</v>
      </c>
      <c r="I1482" s="160">
        <v>0.3</v>
      </c>
      <c r="J1482" s="159">
        <v>0.5</v>
      </c>
      <c r="K1482" s="161">
        <v>0.3</v>
      </c>
      <c r="L1482" s="159">
        <v>0.5</v>
      </c>
      <c r="M1482" s="160">
        <v>0.5</v>
      </c>
      <c r="N1482" s="145"/>
      <c r="O1482" s="156" t="s">
        <v>166</v>
      </c>
      <c r="P1482" s="144" t="s">
        <v>2480</v>
      </c>
      <c r="Q1482" s="147"/>
      <c r="R1482" s="146">
        <v>2032</v>
      </c>
      <c r="S1482" s="157"/>
      <c r="T1482" s="144" t="s">
        <v>25</v>
      </c>
      <c r="U1482" s="150" t="s">
        <v>19</v>
      </c>
      <c r="V1482" s="146">
        <v>1229</v>
      </c>
      <c r="W1482" s="148"/>
      <c r="X1482" s="149">
        <v>45566</v>
      </c>
      <c r="Y1482" s="165" t="s">
        <v>3156</v>
      </c>
    </row>
    <row r="1483" spans="1:25">
      <c r="A1483" s="163" t="s">
        <v>380</v>
      </c>
      <c r="B1483" s="144" t="s">
        <v>2463</v>
      </c>
      <c r="C1483" s="164" t="s">
        <v>4999</v>
      </c>
      <c r="D1483" s="144" t="s">
        <v>5000</v>
      </c>
      <c r="E1483" s="150" t="s">
        <v>2476</v>
      </c>
      <c r="F1483" s="144" t="s">
        <v>2477</v>
      </c>
      <c r="G1483" s="166"/>
      <c r="H1483" s="151">
        <v>1</v>
      </c>
      <c r="I1483" s="160">
        <v>140</v>
      </c>
      <c r="J1483" s="159">
        <v>140</v>
      </c>
      <c r="K1483" s="161">
        <v>140</v>
      </c>
      <c r="L1483" s="159">
        <v>140</v>
      </c>
      <c r="M1483" s="160">
        <v>140</v>
      </c>
      <c r="N1483" s="145"/>
      <c r="O1483" s="156" t="s">
        <v>135</v>
      </c>
      <c r="P1483" s="144" t="s">
        <v>2478</v>
      </c>
      <c r="Q1483" s="147"/>
      <c r="R1483" s="146"/>
      <c r="S1483" s="157"/>
      <c r="T1483" s="144" t="s">
        <v>29</v>
      </c>
      <c r="U1483" s="150" t="s">
        <v>2479</v>
      </c>
      <c r="V1483" s="146">
        <v>1460</v>
      </c>
      <c r="W1483" s="148"/>
      <c r="X1483" s="149">
        <v>45901</v>
      </c>
      <c r="Y1483" s="165" t="s">
        <v>5001</v>
      </c>
    </row>
    <row r="1484" spans="1:25">
      <c r="A1484" s="163" t="s">
        <v>380</v>
      </c>
      <c r="B1484" s="144" t="s">
        <v>2463</v>
      </c>
      <c r="C1484" s="164" t="s">
        <v>5002</v>
      </c>
      <c r="D1484" s="144" t="s">
        <v>5003</v>
      </c>
      <c r="E1484" s="150" t="s">
        <v>2466</v>
      </c>
      <c r="F1484" s="144" t="s">
        <v>2467</v>
      </c>
      <c r="G1484" s="166"/>
      <c r="H1484" s="151">
        <v>1</v>
      </c>
      <c r="I1484" s="160">
        <v>100</v>
      </c>
      <c r="J1484" s="159">
        <v>100</v>
      </c>
      <c r="K1484" s="161">
        <v>100</v>
      </c>
      <c r="L1484" s="159">
        <v>100</v>
      </c>
      <c r="M1484" s="160">
        <v>100</v>
      </c>
      <c r="N1484" s="145">
        <v>0</v>
      </c>
      <c r="O1484" s="156" t="s">
        <v>135</v>
      </c>
      <c r="P1484" s="144" t="s">
        <v>2468</v>
      </c>
      <c r="Q1484" s="147"/>
      <c r="R1484" s="146"/>
      <c r="S1484" s="157"/>
      <c r="T1484" s="144" t="s">
        <v>29</v>
      </c>
      <c r="U1484" s="150" t="s">
        <v>20</v>
      </c>
      <c r="V1484" s="146">
        <v>2314</v>
      </c>
      <c r="W1484" s="148" t="s">
        <v>5004</v>
      </c>
      <c r="X1484" s="149">
        <v>45901</v>
      </c>
      <c r="Y1484" s="165" t="s">
        <v>3028</v>
      </c>
    </row>
    <row r="1485" spans="1:25">
      <c r="A1485" s="163" t="s">
        <v>7</v>
      </c>
      <c r="B1485" s="144" t="s">
        <v>163</v>
      </c>
      <c r="C1485" s="164" t="s">
        <v>5005</v>
      </c>
      <c r="D1485" s="144" t="s">
        <v>5006</v>
      </c>
      <c r="E1485" s="150" t="s">
        <v>2506</v>
      </c>
      <c r="F1485" s="144" t="s">
        <v>2786</v>
      </c>
      <c r="G1485" s="166" t="s">
        <v>5007</v>
      </c>
      <c r="H1485" s="151">
        <v>2</v>
      </c>
      <c r="I1485" s="160"/>
      <c r="J1485" s="159">
        <v>3</v>
      </c>
      <c r="K1485" s="161"/>
      <c r="L1485" s="159">
        <v>6</v>
      </c>
      <c r="M1485" s="160">
        <v>6</v>
      </c>
      <c r="N1485" s="145"/>
      <c r="O1485" s="156" t="s">
        <v>166</v>
      </c>
      <c r="P1485" s="144" t="s">
        <v>2480</v>
      </c>
      <c r="Q1485" s="147"/>
      <c r="R1485" s="146"/>
      <c r="S1485" s="157"/>
      <c r="T1485" s="144" t="s">
        <v>25</v>
      </c>
      <c r="U1485" s="150" t="s">
        <v>15</v>
      </c>
      <c r="V1485" s="146">
        <v>1320</v>
      </c>
      <c r="W1485" s="148"/>
      <c r="X1485" s="149">
        <v>44621</v>
      </c>
      <c r="Y1485" s="165"/>
    </row>
    <row r="1486" spans="1:25">
      <c r="A1486" s="163" t="s">
        <v>7</v>
      </c>
      <c r="B1486" s="144" t="s">
        <v>163</v>
      </c>
      <c r="C1486" s="164" t="s">
        <v>5005</v>
      </c>
      <c r="D1486" s="144" t="s">
        <v>5006</v>
      </c>
      <c r="E1486" s="150" t="s">
        <v>2506</v>
      </c>
      <c r="F1486" s="144" t="s">
        <v>2786</v>
      </c>
      <c r="G1486" s="166" t="s">
        <v>5007</v>
      </c>
      <c r="H1486" s="151">
        <v>4</v>
      </c>
      <c r="I1486" s="160"/>
      <c r="J1486" s="159">
        <v>1</v>
      </c>
      <c r="K1486" s="161"/>
      <c r="L1486" s="159">
        <v>4</v>
      </c>
      <c r="M1486" s="160">
        <v>4</v>
      </c>
      <c r="N1486" s="145"/>
      <c r="O1486" s="156" t="s">
        <v>166</v>
      </c>
      <c r="P1486" s="144" t="s">
        <v>2480</v>
      </c>
      <c r="Q1486" s="147"/>
      <c r="R1486" s="146"/>
      <c r="S1486" s="157"/>
      <c r="T1486" s="144" t="s">
        <v>25</v>
      </c>
      <c r="U1486" s="150" t="s">
        <v>15</v>
      </c>
      <c r="V1486" s="146">
        <v>1320</v>
      </c>
      <c r="W1486" s="148"/>
      <c r="X1486" s="149">
        <v>44621</v>
      </c>
      <c r="Y1486" s="165"/>
    </row>
    <row r="1487" spans="1:25">
      <c r="A1487" s="163" t="s">
        <v>7</v>
      </c>
      <c r="B1487" s="144" t="s">
        <v>163</v>
      </c>
      <c r="C1487" s="164" t="s">
        <v>2302</v>
      </c>
      <c r="D1487" s="144" t="s">
        <v>5006</v>
      </c>
      <c r="E1487" s="150" t="s">
        <v>2506</v>
      </c>
      <c r="F1487" s="144" t="s">
        <v>2786</v>
      </c>
      <c r="G1487" s="166" t="s">
        <v>5008</v>
      </c>
      <c r="H1487" s="151">
        <v>2</v>
      </c>
      <c r="I1487" s="160"/>
      <c r="J1487" s="159">
        <v>3</v>
      </c>
      <c r="K1487" s="161"/>
      <c r="L1487" s="159">
        <v>6</v>
      </c>
      <c r="M1487" s="160">
        <v>6</v>
      </c>
      <c r="N1487" s="145"/>
      <c r="O1487" s="156" t="s">
        <v>166</v>
      </c>
      <c r="P1487" s="144" t="s">
        <v>2480</v>
      </c>
      <c r="Q1487" s="147"/>
      <c r="R1487" s="146"/>
      <c r="S1487" s="157"/>
      <c r="T1487" s="144" t="s">
        <v>25</v>
      </c>
      <c r="U1487" s="150" t="s">
        <v>15</v>
      </c>
      <c r="V1487" s="146">
        <v>1346</v>
      </c>
      <c r="W1487" s="148"/>
      <c r="X1487" s="149">
        <v>44621</v>
      </c>
      <c r="Y1487" s="165"/>
    </row>
    <row r="1488" spans="1:25">
      <c r="A1488" s="163" t="s">
        <v>423</v>
      </c>
      <c r="B1488" s="144" t="s">
        <v>2463</v>
      </c>
      <c r="C1488" s="164" t="s">
        <v>5009</v>
      </c>
      <c r="D1488" s="144" t="s">
        <v>3608</v>
      </c>
      <c r="E1488" s="150" t="s">
        <v>2485</v>
      </c>
      <c r="F1488" s="144" t="s">
        <v>2486</v>
      </c>
      <c r="G1488" s="166"/>
      <c r="H1488" s="151">
        <v>59</v>
      </c>
      <c r="I1488" s="160">
        <v>6</v>
      </c>
      <c r="J1488" s="159">
        <v>6</v>
      </c>
      <c r="K1488" s="161">
        <v>354</v>
      </c>
      <c r="L1488" s="159">
        <v>354</v>
      </c>
      <c r="M1488" s="160">
        <v>354</v>
      </c>
      <c r="N1488" s="145"/>
      <c r="O1488" s="156" t="s">
        <v>135</v>
      </c>
      <c r="P1488" s="144" t="s">
        <v>2478</v>
      </c>
      <c r="Q1488" s="147"/>
      <c r="R1488" s="146"/>
      <c r="S1488" s="157"/>
      <c r="T1488" s="144" t="s">
        <v>29</v>
      </c>
      <c r="U1488" s="150" t="s">
        <v>17</v>
      </c>
      <c r="V1488" s="146">
        <v>1286</v>
      </c>
      <c r="W1488" s="148" t="s">
        <v>5010</v>
      </c>
      <c r="X1488" s="149">
        <v>45689</v>
      </c>
      <c r="Y1488" s="165" t="s">
        <v>3609</v>
      </c>
    </row>
    <row r="1489" spans="1:25">
      <c r="A1489" s="163" t="s">
        <v>7</v>
      </c>
      <c r="B1489" s="144" t="s">
        <v>2463</v>
      </c>
      <c r="C1489" s="164" t="s">
        <v>5011</v>
      </c>
      <c r="D1489" s="144" t="s">
        <v>5012</v>
      </c>
      <c r="E1489" s="150" t="s">
        <v>2466</v>
      </c>
      <c r="F1489" s="144" t="s">
        <v>2467</v>
      </c>
      <c r="G1489" s="166"/>
      <c r="H1489" s="151">
        <v>1</v>
      </c>
      <c r="I1489" s="160">
        <v>300</v>
      </c>
      <c r="J1489" s="159">
        <v>300</v>
      </c>
      <c r="K1489" s="161">
        <v>300</v>
      </c>
      <c r="L1489" s="159">
        <v>300</v>
      </c>
      <c r="M1489" s="160">
        <v>300</v>
      </c>
      <c r="N1489" s="145">
        <v>600</v>
      </c>
      <c r="O1489" s="156" t="s">
        <v>135</v>
      </c>
      <c r="P1489" s="144" t="s">
        <v>2468</v>
      </c>
      <c r="Q1489" s="147"/>
      <c r="R1489" s="146"/>
      <c r="S1489" s="157"/>
      <c r="T1489" s="144" t="s">
        <v>29</v>
      </c>
      <c r="U1489" s="150" t="s">
        <v>20</v>
      </c>
      <c r="V1489" s="146">
        <v>2428</v>
      </c>
      <c r="W1489" s="148"/>
      <c r="X1489" s="149">
        <v>45689</v>
      </c>
      <c r="Y1489" s="165" t="s">
        <v>2474</v>
      </c>
    </row>
    <row r="1490" spans="1:25">
      <c r="A1490" s="163" t="s">
        <v>7</v>
      </c>
      <c r="B1490" s="144" t="s">
        <v>2463</v>
      </c>
      <c r="C1490" s="164" t="s">
        <v>5013</v>
      </c>
      <c r="D1490" s="144" t="s">
        <v>616</v>
      </c>
      <c r="E1490" s="150" t="s">
        <v>2476</v>
      </c>
      <c r="F1490" s="144" t="s">
        <v>2477</v>
      </c>
      <c r="G1490" s="166"/>
      <c r="H1490" s="151">
        <v>1</v>
      </c>
      <c r="I1490" s="160">
        <v>50</v>
      </c>
      <c r="J1490" s="159">
        <v>50</v>
      </c>
      <c r="K1490" s="161">
        <v>50</v>
      </c>
      <c r="L1490" s="159">
        <v>50</v>
      </c>
      <c r="M1490" s="160">
        <v>50</v>
      </c>
      <c r="N1490" s="145"/>
      <c r="O1490" s="156" t="s">
        <v>135</v>
      </c>
      <c r="P1490" s="144" t="s">
        <v>2478</v>
      </c>
      <c r="Q1490" s="147"/>
      <c r="R1490" s="146"/>
      <c r="S1490" s="157"/>
      <c r="T1490" s="144" t="s">
        <v>29</v>
      </c>
      <c r="U1490" s="150" t="s">
        <v>2479</v>
      </c>
      <c r="V1490" s="146">
        <v>2427</v>
      </c>
      <c r="W1490" s="148" t="s">
        <v>5014</v>
      </c>
      <c r="X1490" s="149">
        <v>45689</v>
      </c>
      <c r="Y1490" s="165" t="s">
        <v>2612</v>
      </c>
    </row>
    <row r="1491" spans="1:25">
      <c r="A1491" s="163" t="s">
        <v>423</v>
      </c>
      <c r="B1491" s="144" t="s">
        <v>163</v>
      </c>
      <c r="C1491" s="164" t="s">
        <v>579</v>
      </c>
      <c r="D1491" s="144" t="s">
        <v>523</v>
      </c>
      <c r="E1491" s="150" t="s">
        <v>2481</v>
      </c>
      <c r="F1491" s="144" t="s">
        <v>2482</v>
      </c>
      <c r="G1491" s="166" t="s">
        <v>580</v>
      </c>
      <c r="H1491" s="151">
        <v>1</v>
      </c>
      <c r="I1491" s="160">
        <v>1.8</v>
      </c>
      <c r="J1491" s="159">
        <v>1.8</v>
      </c>
      <c r="K1491" s="161">
        <v>1.8</v>
      </c>
      <c r="L1491" s="159">
        <v>1.8</v>
      </c>
      <c r="M1491" s="160">
        <v>1.8</v>
      </c>
      <c r="N1491" s="145"/>
      <c r="O1491" s="156" t="s">
        <v>166</v>
      </c>
      <c r="P1491" s="144" t="s">
        <v>2480</v>
      </c>
      <c r="Q1491" s="147"/>
      <c r="R1491" s="146">
        <v>2044</v>
      </c>
      <c r="S1491" s="157"/>
      <c r="T1491" s="144" t="s">
        <v>25</v>
      </c>
      <c r="U1491" s="150" t="s">
        <v>18</v>
      </c>
      <c r="V1491" s="146">
        <v>1230</v>
      </c>
      <c r="W1491" s="148"/>
      <c r="X1491" s="149">
        <v>45566</v>
      </c>
      <c r="Y1491" s="165" t="s">
        <v>2730</v>
      </c>
    </row>
    <row r="1492" spans="1:25">
      <c r="A1492" s="163" t="s">
        <v>7</v>
      </c>
      <c r="B1492" s="144" t="s">
        <v>2463</v>
      </c>
      <c r="C1492" s="164" t="s">
        <v>301</v>
      </c>
      <c r="D1492" s="144" t="s">
        <v>302</v>
      </c>
      <c r="E1492" s="150" t="s">
        <v>2466</v>
      </c>
      <c r="F1492" s="144" t="s">
        <v>2467</v>
      </c>
      <c r="G1492" s="166"/>
      <c r="H1492" s="151">
        <v>1</v>
      </c>
      <c r="I1492" s="160">
        <v>250</v>
      </c>
      <c r="J1492" s="159">
        <v>250</v>
      </c>
      <c r="K1492" s="161">
        <v>250</v>
      </c>
      <c r="L1492" s="159">
        <v>250</v>
      </c>
      <c r="M1492" s="160">
        <v>250</v>
      </c>
      <c r="N1492" s="145">
        <v>500</v>
      </c>
      <c r="O1492" s="156" t="s">
        <v>134</v>
      </c>
      <c r="P1492" s="144" t="s">
        <v>2468</v>
      </c>
      <c r="Q1492" s="147">
        <v>46235</v>
      </c>
      <c r="R1492" s="146"/>
      <c r="S1492" s="157"/>
      <c r="T1492" s="144" t="s">
        <v>27</v>
      </c>
      <c r="U1492" s="150" t="s">
        <v>20</v>
      </c>
      <c r="V1492" s="146">
        <v>2525</v>
      </c>
      <c r="W1492" s="148"/>
      <c r="X1492" s="149">
        <v>45170</v>
      </c>
      <c r="Y1492" s="165" t="s">
        <v>2470</v>
      </c>
    </row>
    <row r="1493" spans="1:25">
      <c r="A1493" s="163" t="s">
        <v>380</v>
      </c>
      <c r="B1493" s="144" t="s">
        <v>163</v>
      </c>
      <c r="C1493" s="164" t="s">
        <v>1802</v>
      </c>
      <c r="D1493" s="144" t="s">
        <v>1803</v>
      </c>
      <c r="E1493" s="150" t="s">
        <v>2485</v>
      </c>
      <c r="F1493" s="144" t="s">
        <v>2486</v>
      </c>
      <c r="G1493" s="166" t="s">
        <v>1804</v>
      </c>
      <c r="H1493" s="151">
        <v>7</v>
      </c>
      <c r="I1493" s="160"/>
      <c r="J1493" s="159">
        <v>3.43</v>
      </c>
      <c r="K1493" s="161"/>
      <c r="L1493" s="159">
        <v>24.01</v>
      </c>
      <c r="M1493" s="160">
        <v>24.01</v>
      </c>
      <c r="N1493" s="145"/>
      <c r="O1493" s="156" t="s">
        <v>166</v>
      </c>
      <c r="P1493" s="144" t="s">
        <v>2478</v>
      </c>
      <c r="Q1493" s="147">
        <v>43739</v>
      </c>
      <c r="R1493" s="146">
        <v>2043</v>
      </c>
      <c r="S1493" s="157"/>
      <c r="T1493" s="144" t="s">
        <v>25</v>
      </c>
      <c r="U1493" s="150" t="s">
        <v>17</v>
      </c>
      <c r="V1493" s="146">
        <v>1231</v>
      </c>
      <c r="W1493" s="148"/>
      <c r="X1493" s="149">
        <v>45689</v>
      </c>
      <c r="Y1493" s="165" t="s">
        <v>2740</v>
      </c>
    </row>
    <row r="1494" spans="1:25">
      <c r="A1494" s="163" t="s">
        <v>380</v>
      </c>
      <c r="B1494" s="144" t="s">
        <v>163</v>
      </c>
      <c r="C1494" s="164" t="s">
        <v>1802</v>
      </c>
      <c r="D1494" s="144" t="s">
        <v>1803</v>
      </c>
      <c r="E1494" s="150" t="s">
        <v>2485</v>
      </c>
      <c r="F1494" s="144" t="s">
        <v>2486</v>
      </c>
      <c r="G1494" s="166" t="s">
        <v>1804</v>
      </c>
      <c r="H1494" s="151">
        <v>25</v>
      </c>
      <c r="I1494" s="160"/>
      <c r="J1494" s="159">
        <v>3.83</v>
      </c>
      <c r="K1494" s="161"/>
      <c r="L1494" s="159">
        <v>95.75</v>
      </c>
      <c r="M1494" s="160">
        <v>95.75</v>
      </c>
      <c r="N1494" s="145"/>
      <c r="O1494" s="156" t="s">
        <v>166</v>
      </c>
      <c r="P1494" s="144" t="s">
        <v>2478</v>
      </c>
      <c r="Q1494" s="147">
        <v>43739</v>
      </c>
      <c r="R1494" s="146">
        <v>2043</v>
      </c>
      <c r="S1494" s="157"/>
      <c r="T1494" s="144" t="s">
        <v>25</v>
      </c>
      <c r="U1494" s="150" t="s">
        <v>17</v>
      </c>
      <c r="V1494" s="146">
        <v>1231</v>
      </c>
      <c r="W1494" s="148"/>
      <c r="X1494" s="149">
        <v>45689</v>
      </c>
      <c r="Y1494" s="165" t="s">
        <v>2740</v>
      </c>
    </row>
    <row r="1495" spans="1:25">
      <c r="A1495" s="163" t="s">
        <v>423</v>
      </c>
      <c r="B1495" s="144" t="s">
        <v>2463</v>
      </c>
      <c r="C1495" s="164" t="s">
        <v>5015</v>
      </c>
      <c r="D1495" s="144" t="s">
        <v>538</v>
      </c>
      <c r="E1495" s="150" t="s">
        <v>2466</v>
      </c>
      <c r="F1495" s="144" t="s">
        <v>2467</v>
      </c>
      <c r="G1495" s="166"/>
      <c r="H1495" s="151">
        <v>1</v>
      </c>
      <c r="I1495" s="160">
        <v>100</v>
      </c>
      <c r="J1495" s="159">
        <v>100</v>
      </c>
      <c r="K1495" s="161">
        <v>100</v>
      </c>
      <c r="L1495" s="159">
        <v>100</v>
      </c>
      <c r="M1495" s="160">
        <v>100</v>
      </c>
      <c r="N1495" s="145">
        <v>400</v>
      </c>
      <c r="O1495" s="156" t="s">
        <v>135</v>
      </c>
      <c r="P1495" s="144" t="s">
        <v>2468</v>
      </c>
      <c r="Q1495" s="147"/>
      <c r="R1495" s="146"/>
      <c r="S1495" s="157"/>
      <c r="T1495" s="144" t="s">
        <v>29</v>
      </c>
      <c r="U1495" s="150" t="s">
        <v>20</v>
      </c>
      <c r="V1495" s="146">
        <v>2803</v>
      </c>
      <c r="W1495" s="148"/>
      <c r="X1495" s="149">
        <v>45901</v>
      </c>
      <c r="Y1495" s="165" t="s">
        <v>5016</v>
      </c>
    </row>
    <row r="1496" spans="1:25">
      <c r="A1496" s="163" t="s">
        <v>423</v>
      </c>
      <c r="B1496" s="144" t="s">
        <v>2463</v>
      </c>
      <c r="C1496" s="164" t="s">
        <v>5017</v>
      </c>
      <c r="D1496" s="144" t="s">
        <v>538</v>
      </c>
      <c r="E1496" s="150" t="s">
        <v>2485</v>
      </c>
      <c r="F1496" s="144" t="s">
        <v>2486</v>
      </c>
      <c r="G1496" s="166"/>
      <c r="H1496" s="151">
        <v>32</v>
      </c>
      <c r="I1496" s="160">
        <v>5.56</v>
      </c>
      <c r="J1496" s="159">
        <v>5.56</v>
      </c>
      <c r="K1496" s="161">
        <v>177.92</v>
      </c>
      <c r="L1496" s="159">
        <v>177.92</v>
      </c>
      <c r="M1496" s="160">
        <v>177.92</v>
      </c>
      <c r="N1496" s="145"/>
      <c r="O1496" s="156" t="s">
        <v>135</v>
      </c>
      <c r="P1496" s="144" t="s">
        <v>2478</v>
      </c>
      <c r="Q1496" s="147"/>
      <c r="R1496" s="146"/>
      <c r="S1496" s="157"/>
      <c r="T1496" s="144" t="s">
        <v>29</v>
      </c>
      <c r="U1496" s="150" t="s">
        <v>17</v>
      </c>
      <c r="V1496" s="146">
        <v>3089</v>
      </c>
      <c r="W1496" s="148"/>
      <c r="X1496" s="149">
        <v>45901</v>
      </c>
      <c r="Y1496" s="165" t="s">
        <v>5018</v>
      </c>
    </row>
    <row r="1497" spans="1:25">
      <c r="A1497" s="163" t="s">
        <v>423</v>
      </c>
      <c r="B1497" s="144" t="s">
        <v>2463</v>
      </c>
      <c r="C1497" s="164" t="s">
        <v>5019</v>
      </c>
      <c r="D1497" s="144" t="s">
        <v>5020</v>
      </c>
      <c r="E1497" s="150" t="s">
        <v>2485</v>
      </c>
      <c r="F1497" s="144" t="s">
        <v>2486</v>
      </c>
      <c r="G1497" s="166"/>
      <c r="H1497" s="151">
        <v>52</v>
      </c>
      <c r="I1497" s="160">
        <v>6</v>
      </c>
      <c r="J1497" s="159">
        <v>6</v>
      </c>
      <c r="K1497" s="161">
        <v>312</v>
      </c>
      <c r="L1497" s="159">
        <v>312</v>
      </c>
      <c r="M1497" s="160">
        <v>312</v>
      </c>
      <c r="N1497" s="145"/>
      <c r="O1497" s="156" t="s">
        <v>135</v>
      </c>
      <c r="P1497" s="144" t="s">
        <v>2478</v>
      </c>
      <c r="Q1497" s="147"/>
      <c r="R1497" s="146">
        <v>2057</v>
      </c>
      <c r="S1497" s="157"/>
      <c r="T1497" s="144" t="s">
        <v>29</v>
      </c>
      <c r="U1497" s="150" t="s">
        <v>17</v>
      </c>
      <c r="V1497" s="146">
        <v>2355</v>
      </c>
      <c r="W1497" s="148"/>
      <c r="X1497" s="149">
        <v>45689</v>
      </c>
      <c r="Y1497" s="165" t="s">
        <v>5021</v>
      </c>
    </row>
    <row r="1498" spans="1:25">
      <c r="A1498" s="163" t="s">
        <v>423</v>
      </c>
      <c r="B1498" s="144" t="s">
        <v>2463</v>
      </c>
      <c r="C1498" s="164" t="s">
        <v>5022</v>
      </c>
      <c r="D1498" s="144" t="s">
        <v>4631</v>
      </c>
      <c r="E1498" s="150" t="s">
        <v>2555</v>
      </c>
      <c r="F1498" s="144" t="s">
        <v>2467</v>
      </c>
      <c r="G1498" s="166"/>
      <c r="H1498" s="151">
        <v>1</v>
      </c>
      <c r="I1498" s="160">
        <v>220</v>
      </c>
      <c r="J1498" s="159">
        <v>220</v>
      </c>
      <c r="K1498" s="161">
        <v>220</v>
      </c>
      <c r="L1498" s="159">
        <v>220</v>
      </c>
      <c r="M1498" s="160">
        <v>220</v>
      </c>
      <c r="N1498" s="145"/>
      <c r="O1498" s="156" t="s">
        <v>135</v>
      </c>
      <c r="P1498" s="144" t="s">
        <v>2468</v>
      </c>
      <c r="Q1498" s="147"/>
      <c r="R1498" s="146"/>
      <c r="S1498" s="157"/>
      <c r="T1498" s="144" t="s">
        <v>29</v>
      </c>
      <c r="U1498" s="150" t="s">
        <v>14</v>
      </c>
      <c r="V1498" s="146">
        <v>2357</v>
      </c>
      <c r="W1498" s="148" t="s">
        <v>5023</v>
      </c>
      <c r="X1498" s="149">
        <v>45901</v>
      </c>
      <c r="Y1498" s="165" t="s">
        <v>2578</v>
      </c>
    </row>
    <row r="1499" spans="1:25">
      <c r="A1499" s="163" t="s">
        <v>309</v>
      </c>
      <c r="B1499" s="144" t="s">
        <v>163</v>
      </c>
      <c r="C1499" s="164" t="s">
        <v>5024</v>
      </c>
      <c r="D1499" s="144" t="s">
        <v>1100</v>
      </c>
      <c r="E1499" s="150" t="s">
        <v>2485</v>
      </c>
      <c r="F1499" s="144" t="s">
        <v>2486</v>
      </c>
      <c r="G1499" s="166" t="s">
        <v>5025</v>
      </c>
      <c r="H1499" s="151">
        <v>20</v>
      </c>
      <c r="I1499" s="160">
        <v>0.6</v>
      </c>
      <c r="J1499" s="159">
        <v>0.6</v>
      </c>
      <c r="K1499" s="161">
        <v>12</v>
      </c>
      <c r="L1499" s="159">
        <v>12</v>
      </c>
      <c r="M1499" s="160">
        <v>12</v>
      </c>
      <c r="N1499" s="145"/>
      <c r="O1499" s="156" t="s">
        <v>166</v>
      </c>
      <c r="P1499" s="144" t="s">
        <v>2480</v>
      </c>
      <c r="Q1499" s="147"/>
      <c r="R1499" s="146">
        <v>2030</v>
      </c>
      <c r="S1499" s="157"/>
      <c r="T1499" s="144" t="s">
        <v>25</v>
      </c>
      <c r="U1499" s="150" t="s">
        <v>17</v>
      </c>
      <c r="V1499" s="146">
        <v>1232</v>
      </c>
      <c r="W1499" s="148"/>
      <c r="X1499" s="149">
        <v>45566</v>
      </c>
      <c r="Y1499" s="165" t="s">
        <v>2558</v>
      </c>
    </row>
    <row r="1500" spans="1:25">
      <c r="A1500" s="163" t="s">
        <v>380</v>
      </c>
      <c r="B1500" s="144" t="s">
        <v>163</v>
      </c>
      <c r="C1500" s="164" t="s">
        <v>5026</v>
      </c>
      <c r="D1500" s="144" t="s">
        <v>5027</v>
      </c>
      <c r="E1500" s="150" t="s">
        <v>2506</v>
      </c>
      <c r="F1500" s="144" t="s">
        <v>3046</v>
      </c>
      <c r="G1500" s="166" t="s">
        <v>5028</v>
      </c>
      <c r="H1500" s="151">
        <v>4</v>
      </c>
      <c r="I1500" s="160"/>
      <c r="J1500" s="159">
        <v>1.03</v>
      </c>
      <c r="K1500" s="161"/>
      <c r="L1500" s="159">
        <v>4.0999999999999996</v>
      </c>
      <c r="M1500" s="160">
        <v>4.0999999999999996</v>
      </c>
      <c r="N1500" s="145"/>
      <c r="O1500" s="156" t="s">
        <v>166</v>
      </c>
      <c r="P1500" s="144" t="s">
        <v>2480</v>
      </c>
      <c r="Q1500" s="147"/>
      <c r="R1500" s="146">
        <v>2035</v>
      </c>
      <c r="S1500" s="157"/>
      <c r="T1500" s="144" t="s">
        <v>25</v>
      </c>
      <c r="U1500" s="150" t="s">
        <v>19</v>
      </c>
      <c r="V1500" s="146">
        <v>1234</v>
      </c>
      <c r="W1500" s="148"/>
      <c r="X1500" s="149">
        <v>45566</v>
      </c>
      <c r="Y1500" s="165" t="s">
        <v>2836</v>
      </c>
    </row>
    <row r="1501" spans="1:25">
      <c r="A1501" s="163" t="s">
        <v>380</v>
      </c>
      <c r="B1501" s="144" t="s">
        <v>163</v>
      </c>
      <c r="C1501" s="164" t="s">
        <v>5029</v>
      </c>
      <c r="D1501" s="144" t="s">
        <v>5027</v>
      </c>
      <c r="E1501" s="150" t="s">
        <v>2506</v>
      </c>
      <c r="F1501" s="144" t="s">
        <v>3046</v>
      </c>
      <c r="G1501" s="166" t="s">
        <v>5030</v>
      </c>
      <c r="H1501" s="151">
        <v>4</v>
      </c>
      <c r="I1501" s="160"/>
      <c r="J1501" s="159">
        <v>1.03</v>
      </c>
      <c r="K1501" s="161"/>
      <c r="L1501" s="159">
        <v>4.0999999999999996</v>
      </c>
      <c r="M1501" s="160">
        <v>4.0999999999999996</v>
      </c>
      <c r="N1501" s="145"/>
      <c r="O1501" s="156" t="s">
        <v>166</v>
      </c>
      <c r="P1501" s="144" t="s">
        <v>2480</v>
      </c>
      <c r="Q1501" s="147"/>
      <c r="R1501" s="146">
        <v>2030</v>
      </c>
      <c r="S1501" s="157"/>
      <c r="T1501" s="144" t="s">
        <v>25</v>
      </c>
      <c r="U1501" s="150" t="s">
        <v>19</v>
      </c>
      <c r="V1501" s="146">
        <v>1324</v>
      </c>
      <c r="W1501" s="148"/>
      <c r="X1501" s="149">
        <v>45566</v>
      </c>
      <c r="Y1501" s="165" t="s">
        <v>2836</v>
      </c>
    </row>
    <row r="1502" spans="1:25">
      <c r="A1502" s="163" t="s">
        <v>7</v>
      </c>
      <c r="B1502" s="144" t="s">
        <v>2463</v>
      </c>
      <c r="C1502" s="164" t="s">
        <v>5031</v>
      </c>
      <c r="D1502" s="144" t="s">
        <v>5032</v>
      </c>
      <c r="E1502" s="150" t="s">
        <v>2485</v>
      </c>
      <c r="F1502" s="144" t="s">
        <v>2486</v>
      </c>
      <c r="G1502" s="166"/>
      <c r="H1502" s="151">
        <v>118</v>
      </c>
      <c r="I1502" s="160">
        <v>6.2</v>
      </c>
      <c r="J1502" s="159">
        <v>6.2</v>
      </c>
      <c r="K1502" s="161">
        <v>731.6</v>
      </c>
      <c r="L1502" s="159">
        <v>731.6</v>
      </c>
      <c r="M1502" s="160">
        <v>731.6</v>
      </c>
      <c r="N1502" s="145"/>
      <c r="O1502" s="156" t="s">
        <v>135</v>
      </c>
      <c r="P1502" s="144" t="s">
        <v>2478</v>
      </c>
      <c r="Q1502" s="147"/>
      <c r="R1502" s="146">
        <v>2060</v>
      </c>
      <c r="S1502" s="157"/>
      <c r="T1502" s="144" t="s">
        <v>29</v>
      </c>
      <c r="U1502" s="150" t="s">
        <v>17</v>
      </c>
      <c r="V1502" s="146">
        <v>1868</v>
      </c>
      <c r="W1502" s="148"/>
      <c r="X1502" s="149">
        <v>45689</v>
      </c>
      <c r="Y1502" s="165" t="s">
        <v>3037</v>
      </c>
    </row>
    <row r="1503" spans="1:25">
      <c r="A1503" s="163" t="s">
        <v>423</v>
      </c>
      <c r="B1503" s="144" t="s">
        <v>2463</v>
      </c>
      <c r="C1503" s="164" t="s">
        <v>5033</v>
      </c>
      <c r="D1503" s="144" t="s">
        <v>5034</v>
      </c>
      <c r="E1503" s="150" t="s">
        <v>2466</v>
      </c>
      <c r="F1503" s="144" t="s">
        <v>2467</v>
      </c>
      <c r="G1503" s="166"/>
      <c r="H1503" s="151">
        <v>1</v>
      </c>
      <c r="I1503" s="160"/>
      <c r="J1503" s="159">
        <v>120</v>
      </c>
      <c r="K1503" s="161"/>
      <c r="L1503" s="159">
        <v>120</v>
      </c>
      <c r="M1503" s="160">
        <v>120</v>
      </c>
      <c r="N1503" s="145">
        <v>480</v>
      </c>
      <c r="O1503" s="156" t="s">
        <v>135</v>
      </c>
      <c r="P1503" s="144" t="s">
        <v>2468</v>
      </c>
      <c r="Q1503" s="147"/>
      <c r="R1503" s="146"/>
      <c r="S1503" s="157"/>
      <c r="T1503" s="144" t="s">
        <v>29</v>
      </c>
      <c r="U1503" s="150" t="s">
        <v>20</v>
      </c>
      <c r="V1503" s="146">
        <v>2781</v>
      </c>
      <c r="W1503" s="148" t="s">
        <v>5035</v>
      </c>
      <c r="X1503" s="149">
        <v>45689</v>
      </c>
      <c r="Y1503" s="165" t="s">
        <v>2474</v>
      </c>
    </row>
    <row r="1504" spans="1:25">
      <c r="A1504" s="163" t="s">
        <v>423</v>
      </c>
      <c r="B1504" s="144" t="s">
        <v>2463</v>
      </c>
      <c r="C1504" s="164" t="s">
        <v>5036</v>
      </c>
      <c r="D1504" s="144" t="s">
        <v>5037</v>
      </c>
      <c r="E1504" s="150" t="s">
        <v>2466</v>
      </c>
      <c r="F1504" s="144" t="s">
        <v>2467</v>
      </c>
      <c r="G1504" s="166"/>
      <c r="H1504" s="151">
        <v>1</v>
      </c>
      <c r="I1504" s="160">
        <v>200</v>
      </c>
      <c r="J1504" s="159">
        <v>200</v>
      </c>
      <c r="K1504" s="161">
        <v>200</v>
      </c>
      <c r="L1504" s="159">
        <v>200</v>
      </c>
      <c r="M1504" s="160">
        <v>200</v>
      </c>
      <c r="N1504" s="145">
        <v>400</v>
      </c>
      <c r="O1504" s="156" t="s">
        <v>135</v>
      </c>
      <c r="P1504" s="144" t="s">
        <v>2468</v>
      </c>
      <c r="Q1504" s="147"/>
      <c r="R1504" s="146"/>
      <c r="S1504" s="157"/>
      <c r="T1504" s="144" t="s">
        <v>29</v>
      </c>
      <c r="U1504" s="150" t="s">
        <v>20</v>
      </c>
      <c r="V1504" s="146">
        <v>1984</v>
      </c>
      <c r="W1504" s="148" t="s">
        <v>5038</v>
      </c>
      <c r="X1504" s="149">
        <v>45689</v>
      </c>
      <c r="Y1504" s="165" t="s">
        <v>2865</v>
      </c>
    </row>
    <row r="1505" spans="1:25">
      <c r="A1505" s="163" t="s">
        <v>423</v>
      </c>
      <c r="B1505" s="144" t="s">
        <v>2463</v>
      </c>
      <c r="C1505" s="164" t="s">
        <v>5036</v>
      </c>
      <c r="D1505" s="144" t="s">
        <v>5037</v>
      </c>
      <c r="E1505" s="150" t="s">
        <v>2506</v>
      </c>
      <c r="F1505" s="144" t="s">
        <v>2814</v>
      </c>
      <c r="G1505" s="166"/>
      <c r="H1505" s="151">
        <v>1</v>
      </c>
      <c r="I1505" s="160">
        <v>0</v>
      </c>
      <c r="J1505" s="159">
        <v>200</v>
      </c>
      <c r="K1505" s="161">
        <v>0</v>
      </c>
      <c r="L1505" s="159">
        <v>200</v>
      </c>
      <c r="M1505" s="160">
        <v>200</v>
      </c>
      <c r="N1505" s="145">
        <v>0</v>
      </c>
      <c r="O1505" s="156" t="s">
        <v>135</v>
      </c>
      <c r="P1505" s="144" t="s">
        <v>2468</v>
      </c>
      <c r="Q1505" s="147"/>
      <c r="R1505" s="146">
        <v>2050</v>
      </c>
      <c r="S1505" s="157"/>
      <c r="T1505" s="144" t="s">
        <v>29</v>
      </c>
      <c r="U1505" s="150" t="s">
        <v>15</v>
      </c>
      <c r="V1505" s="146">
        <v>1984</v>
      </c>
      <c r="W1505" s="148" t="s">
        <v>5038</v>
      </c>
      <c r="X1505" s="149">
        <v>45689</v>
      </c>
      <c r="Y1505" s="165" t="s">
        <v>2865</v>
      </c>
    </row>
    <row r="1506" spans="1:25">
      <c r="A1506" s="163" t="s">
        <v>423</v>
      </c>
      <c r="B1506" s="144" t="s">
        <v>2463</v>
      </c>
      <c r="C1506" s="164" t="s">
        <v>489</v>
      </c>
      <c r="D1506" s="144" t="s">
        <v>490</v>
      </c>
      <c r="E1506" s="150" t="s">
        <v>2476</v>
      </c>
      <c r="F1506" s="144" t="s">
        <v>2477</v>
      </c>
      <c r="G1506" s="166"/>
      <c r="H1506" s="151">
        <v>1</v>
      </c>
      <c r="I1506" s="160">
        <v>100</v>
      </c>
      <c r="J1506" s="159">
        <v>100</v>
      </c>
      <c r="K1506" s="161">
        <v>100</v>
      </c>
      <c r="L1506" s="159">
        <v>100</v>
      </c>
      <c r="M1506" s="160">
        <v>100</v>
      </c>
      <c r="N1506" s="145"/>
      <c r="O1506" s="156" t="s">
        <v>28</v>
      </c>
      <c r="P1506" s="144" t="s">
        <v>2478</v>
      </c>
      <c r="Q1506" s="147">
        <v>46478</v>
      </c>
      <c r="R1506" s="146">
        <v>2057</v>
      </c>
      <c r="S1506" s="157"/>
      <c r="T1506" s="144" t="s">
        <v>28</v>
      </c>
      <c r="U1506" s="150" t="s">
        <v>2479</v>
      </c>
      <c r="V1506" s="146">
        <v>3038</v>
      </c>
      <c r="W1506" s="148"/>
      <c r="X1506" s="149">
        <v>45901</v>
      </c>
      <c r="Y1506" s="165" t="s">
        <v>2840</v>
      </c>
    </row>
    <row r="1507" spans="1:25">
      <c r="A1507" s="163" t="s">
        <v>423</v>
      </c>
      <c r="B1507" s="144" t="s">
        <v>163</v>
      </c>
      <c r="C1507" s="164" t="s">
        <v>1557</v>
      </c>
      <c r="D1507" s="144" t="s">
        <v>1558</v>
      </c>
      <c r="E1507" s="150" t="s">
        <v>2491</v>
      </c>
      <c r="F1507" s="144" t="s">
        <v>2477</v>
      </c>
      <c r="G1507" s="166" t="s">
        <v>1559</v>
      </c>
      <c r="H1507" s="151">
        <v>1</v>
      </c>
      <c r="I1507" s="160"/>
      <c r="J1507" s="159">
        <v>85</v>
      </c>
      <c r="K1507" s="161"/>
      <c r="L1507" s="159">
        <v>85</v>
      </c>
      <c r="M1507" s="160">
        <v>85</v>
      </c>
      <c r="N1507" s="145"/>
      <c r="O1507" s="156" t="s">
        <v>166</v>
      </c>
      <c r="P1507" s="144" t="s">
        <v>2478</v>
      </c>
      <c r="Q1507" s="147"/>
      <c r="R1507" s="146">
        <v>2051</v>
      </c>
      <c r="S1507" s="157"/>
      <c r="T1507" s="144" t="s">
        <v>25</v>
      </c>
      <c r="U1507" s="150" t="s">
        <v>2479</v>
      </c>
      <c r="V1507" s="146">
        <v>1674</v>
      </c>
      <c r="W1507" s="148"/>
      <c r="X1507" s="149">
        <v>45689</v>
      </c>
      <c r="Y1507" s="165" t="s">
        <v>3037</v>
      </c>
    </row>
    <row r="1508" spans="1:25">
      <c r="A1508" s="163" t="s">
        <v>309</v>
      </c>
      <c r="B1508" s="144" t="s">
        <v>163</v>
      </c>
      <c r="C1508" s="164" t="s">
        <v>5039</v>
      </c>
      <c r="D1508" s="144" t="s">
        <v>936</v>
      </c>
      <c r="E1508" s="150" t="s">
        <v>2636</v>
      </c>
      <c r="F1508" s="144" t="s">
        <v>2482</v>
      </c>
      <c r="G1508" s="166" t="s">
        <v>5040</v>
      </c>
      <c r="H1508" s="151">
        <v>1</v>
      </c>
      <c r="I1508" s="160"/>
      <c r="J1508" s="159">
        <v>285</v>
      </c>
      <c r="K1508" s="161"/>
      <c r="L1508" s="159">
        <v>285</v>
      </c>
      <c r="M1508" s="160">
        <v>285</v>
      </c>
      <c r="N1508" s="145">
        <v>3000</v>
      </c>
      <c r="O1508" s="156" t="s">
        <v>166</v>
      </c>
      <c r="P1508" s="144" t="s">
        <v>2468</v>
      </c>
      <c r="Q1508" s="147"/>
      <c r="R1508" s="146">
        <v>2084</v>
      </c>
      <c r="S1508" s="157"/>
      <c r="T1508" s="144" t="s">
        <v>25</v>
      </c>
      <c r="U1508" s="150" t="s">
        <v>18</v>
      </c>
      <c r="V1508" s="146">
        <v>1235</v>
      </c>
      <c r="W1508" s="148"/>
      <c r="X1508" s="149">
        <v>45689</v>
      </c>
      <c r="Y1508" s="165" t="s">
        <v>2623</v>
      </c>
    </row>
    <row r="1509" spans="1:25">
      <c r="A1509" s="163" t="s">
        <v>309</v>
      </c>
      <c r="B1509" s="144" t="s">
        <v>163</v>
      </c>
      <c r="C1509" s="164" t="s">
        <v>5039</v>
      </c>
      <c r="D1509" s="144" t="s">
        <v>936</v>
      </c>
      <c r="E1509" s="150" t="s">
        <v>2636</v>
      </c>
      <c r="F1509" s="144" t="s">
        <v>2482</v>
      </c>
      <c r="G1509" s="166" t="s">
        <v>5041</v>
      </c>
      <c r="H1509" s="151">
        <v>1</v>
      </c>
      <c r="I1509" s="160"/>
      <c r="J1509" s="159">
        <v>285</v>
      </c>
      <c r="K1509" s="161"/>
      <c r="L1509" s="159">
        <v>285</v>
      </c>
      <c r="M1509" s="160">
        <v>285</v>
      </c>
      <c r="N1509" s="145">
        <v>3000</v>
      </c>
      <c r="O1509" s="156" t="s">
        <v>166</v>
      </c>
      <c r="P1509" s="144" t="s">
        <v>2468</v>
      </c>
      <c r="Q1509" s="147"/>
      <c r="R1509" s="146">
        <v>2084</v>
      </c>
      <c r="S1509" s="157"/>
      <c r="T1509" s="144" t="s">
        <v>25</v>
      </c>
      <c r="U1509" s="150" t="s">
        <v>18</v>
      </c>
      <c r="V1509" s="146">
        <v>1235</v>
      </c>
      <c r="W1509" s="148"/>
      <c r="X1509" s="149">
        <v>45689</v>
      </c>
      <c r="Y1509" s="165" t="s">
        <v>2623</v>
      </c>
    </row>
    <row r="1510" spans="1:25">
      <c r="A1510" s="163" t="s">
        <v>423</v>
      </c>
      <c r="B1510" s="144" t="s">
        <v>2463</v>
      </c>
      <c r="C1510" s="164" t="s">
        <v>5042</v>
      </c>
      <c r="D1510" s="144" t="s">
        <v>3543</v>
      </c>
      <c r="E1510" s="150" t="s">
        <v>2466</v>
      </c>
      <c r="F1510" s="144" t="s">
        <v>2467</v>
      </c>
      <c r="G1510" s="166"/>
      <c r="H1510" s="151">
        <v>1</v>
      </c>
      <c r="I1510" s="160"/>
      <c r="J1510" s="159">
        <v>250</v>
      </c>
      <c r="K1510" s="161"/>
      <c r="L1510" s="159">
        <v>250</v>
      </c>
      <c r="M1510" s="160">
        <v>250</v>
      </c>
      <c r="N1510" s="145">
        <v>500</v>
      </c>
      <c r="O1510" s="156" t="s">
        <v>135</v>
      </c>
      <c r="P1510" s="144" t="s">
        <v>2468</v>
      </c>
      <c r="Q1510" s="147"/>
      <c r="R1510" s="146"/>
      <c r="S1510" s="157"/>
      <c r="T1510" s="144" t="s">
        <v>29</v>
      </c>
      <c r="U1510" s="150" t="s">
        <v>20</v>
      </c>
      <c r="V1510" s="146">
        <v>2709</v>
      </c>
      <c r="W1510" s="148" t="s">
        <v>5043</v>
      </c>
      <c r="X1510" s="149">
        <v>45689</v>
      </c>
      <c r="Y1510" s="165" t="s">
        <v>2538</v>
      </c>
    </row>
    <row r="1511" spans="1:25">
      <c r="A1511" s="163" t="s">
        <v>423</v>
      </c>
      <c r="B1511" s="144" t="s">
        <v>2463</v>
      </c>
      <c r="C1511" s="164" t="s">
        <v>5044</v>
      </c>
      <c r="D1511" s="144" t="s">
        <v>5045</v>
      </c>
      <c r="E1511" s="150" t="s">
        <v>2491</v>
      </c>
      <c r="F1511" s="144" t="s">
        <v>2477</v>
      </c>
      <c r="G1511" s="166"/>
      <c r="H1511" s="151">
        <v>19</v>
      </c>
      <c r="I1511" s="160"/>
      <c r="J1511" s="159">
        <v>4</v>
      </c>
      <c r="K1511" s="161"/>
      <c r="L1511" s="159">
        <v>76</v>
      </c>
      <c r="M1511" s="160">
        <v>76</v>
      </c>
      <c r="N1511" s="145"/>
      <c r="O1511" s="156" t="s">
        <v>135</v>
      </c>
      <c r="P1511" s="144" t="s">
        <v>2478</v>
      </c>
      <c r="Q1511" s="147"/>
      <c r="R1511" s="146"/>
      <c r="S1511" s="157"/>
      <c r="T1511" s="144" t="s">
        <v>29</v>
      </c>
      <c r="U1511" s="150" t="s">
        <v>2479</v>
      </c>
      <c r="V1511" s="146">
        <v>1996</v>
      </c>
      <c r="W1511" s="148"/>
      <c r="X1511" s="149">
        <v>45689</v>
      </c>
      <c r="Y1511" s="165" t="s">
        <v>5046</v>
      </c>
    </row>
    <row r="1512" spans="1:25">
      <c r="A1512" s="163" t="s">
        <v>7</v>
      </c>
      <c r="B1512" s="144" t="s">
        <v>2463</v>
      </c>
      <c r="C1512" s="164" t="s">
        <v>5047</v>
      </c>
      <c r="D1512" s="144" t="s">
        <v>5048</v>
      </c>
      <c r="E1512" s="150" t="s">
        <v>2466</v>
      </c>
      <c r="F1512" s="144" t="s">
        <v>2467</v>
      </c>
      <c r="G1512" s="166"/>
      <c r="H1512" s="151">
        <v>150</v>
      </c>
      <c r="I1512" s="160">
        <v>2</v>
      </c>
      <c r="J1512" s="159">
        <v>2</v>
      </c>
      <c r="K1512" s="161">
        <v>300</v>
      </c>
      <c r="L1512" s="159">
        <v>300</v>
      </c>
      <c r="M1512" s="160">
        <v>300</v>
      </c>
      <c r="N1512" s="145">
        <v>0</v>
      </c>
      <c r="O1512" s="156" t="s">
        <v>135</v>
      </c>
      <c r="P1512" s="144" t="s">
        <v>2468</v>
      </c>
      <c r="Q1512" s="147"/>
      <c r="R1512" s="146"/>
      <c r="S1512" s="157"/>
      <c r="T1512" s="144" t="s">
        <v>29</v>
      </c>
      <c r="U1512" s="150" t="s">
        <v>20</v>
      </c>
      <c r="V1512" s="146">
        <v>2769</v>
      </c>
      <c r="W1512" s="148" t="s">
        <v>5049</v>
      </c>
      <c r="X1512" s="149">
        <v>45901</v>
      </c>
      <c r="Y1512" s="165" t="s">
        <v>3739</v>
      </c>
    </row>
    <row r="1513" spans="1:25">
      <c r="A1513" s="163" t="s">
        <v>7</v>
      </c>
      <c r="B1513" s="144" t="s">
        <v>163</v>
      </c>
      <c r="C1513" s="164" t="s">
        <v>304</v>
      </c>
      <c r="D1513" s="144" t="s">
        <v>305</v>
      </c>
      <c r="E1513" s="150" t="s">
        <v>2491</v>
      </c>
      <c r="F1513" s="144" t="s">
        <v>2477</v>
      </c>
      <c r="G1513" s="166" t="s">
        <v>306</v>
      </c>
      <c r="H1513" s="151">
        <v>1</v>
      </c>
      <c r="I1513" s="160">
        <v>0</v>
      </c>
      <c r="J1513" s="159">
        <v>280</v>
      </c>
      <c r="K1513" s="161">
        <v>0</v>
      </c>
      <c r="L1513" s="159">
        <v>280</v>
      </c>
      <c r="M1513" s="160">
        <v>280</v>
      </c>
      <c r="N1513" s="145"/>
      <c r="O1513" s="156" t="s">
        <v>164</v>
      </c>
      <c r="P1513" s="144" t="s">
        <v>2478</v>
      </c>
      <c r="Q1513" s="147">
        <v>45931</v>
      </c>
      <c r="R1513" s="146">
        <v>2054</v>
      </c>
      <c r="S1513" s="157"/>
      <c r="T1513" s="144" t="s">
        <v>25</v>
      </c>
      <c r="U1513" s="150" t="s">
        <v>2479</v>
      </c>
      <c r="V1513" s="146">
        <v>1716</v>
      </c>
      <c r="W1513" s="148"/>
      <c r="X1513" s="149">
        <v>45901</v>
      </c>
      <c r="Y1513" s="165" t="s">
        <v>2596</v>
      </c>
    </row>
    <row r="1514" spans="1:25">
      <c r="A1514" s="163" t="s">
        <v>423</v>
      </c>
      <c r="B1514" s="144" t="s">
        <v>163</v>
      </c>
      <c r="C1514" s="164" t="s">
        <v>1016</v>
      </c>
      <c r="D1514" s="144" t="s">
        <v>1017</v>
      </c>
      <c r="E1514" s="150" t="s">
        <v>2506</v>
      </c>
      <c r="F1514" s="144" t="s">
        <v>3046</v>
      </c>
      <c r="G1514" s="166" t="s">
        <v>1018</v>
      </c>
      <c r="H1514" s="151">
        <v>7</v>
      </c>
      <c r="I1514" s="160"/>
      <c r="J1514" s="159">
        <v>1.1200000000000001</v>
      </c>
      <c r="K1514" s="161"/>
      <c r="L1514" s="159">
        <v>7.86</v>
      </c>
      <c r="M1514" s="160">
        <v>7.86</v>
      </c>
      <c r="N1514" s="145"/>
      <c r="O1514" s="156" t="s">
        <v>166</v>
      </c>
      <c r="P1514" s="144" t="s">
        <v>2480</v>
      </c>
      <c r="Q1514" s="147"/>
      <c r="R1514" s="146">
        <v>2044</v>
      </c>
      <c r="S1514" s="157"/>
      <c r="T1514" s="144" t="s">
        <v>25</v>
      </c>
      <c r="U1514" s="150" t="s">
        <v>19</v>
      </c>
      <c r="V1514" s="146">
        <v>1238</v>
      </c>
      <c r="W1514" s="148"/>
      <c r="X1514" s="149">
        <v>45566</v>
      </c>
      <c r="Y1514" s="165" t="s">
        <v>3156</v>
      </c>
    </row>
    <row r="1515" spans="1:25">
      <c r="A1515" s="163" t="s">
        <v>423</v>
      </c>
      <c r="B1515" s="144" t="s">
        <v>2463</v>
      </c>
      <c r="C1515" s="164" t="s">
        <v>5050</v>
      </c>
      <c r="D1515" s="144" t="s">
        <v>4631</v>
      </c>
      <c r="E1515" s="150" t="s">
        <v>2555</v>
      </c>
      <c r="F1515" s="144" t="s">
        <v>2467</v>
      </c>
      <c r="G1515" s="166"/>
      <c r="H1515" s="151">
        <v>1</v>
      </c>
      <c r="I1515" s="160">
        <v>600</v>
      </c>
      <c r="J1515" s="159">
        <v>600</v>
      </c>
      <c r="K1515" s="161">
        <v>600</v>
      </c>
      <c r="L1515" s="159">
        <v>600</v>
      </c>
      <c r="M1515" s="160">
        <v>600</v>
      </c>
      <c r="N1515" s="145"/>
      <c r="O1515" s="156" t="s">
        <v>135</v>
      </c>
      <c r="P1515" s="144" t="s">
        <v>2468</v>
      </c>
      <c r="Q1515" s="147"/>
      <c r="R1515" s="146"/>
      <c r="S1515" s="157"/>
      <c r="T1515" s="144" t="s">
        <v>29</v>
      </c>
      <c r="U1515" s="150" t="s">
        <v>14</v>
      </c>
      <c r="V1515" s="146">
        <v>2358</v>
      </c>
      <c r="W1515" s="148" t="s">
        <v>5051</v>
      </c>
      <c r="X1515" s="149">
        <v>45901</v>
      </c>
      <c r="Y1515" s="165" t="s">
        <v>2578</v>
      </c>
    </row>
    <row r="1516" spans="1:25">
      <c r="A1516" s="163" t="s">
        <v>423</v>
      </c>
      <c r="B1516" s="144" t="s">
        <v>2463</v>
      </c>
      <c r="C1516" s="164" t="s">
        <v>5052</v>
      </c>
      <c r="D1516" s="144" t="s">
        <v>5053</v>
      </c>
      <c r="E1516" s="150" t="s">
        <v>2485</v>
      </c>
      <c r="F1516" s="144" t="s">
        <v>2486</v>
      </c>
      <c r="G1516" s="166"/>
      <c r="H1516" s="151">
        <v>3</v>
      </c>
      <c r="I1516" s="160"/>
      <c r="J1516" s="159">
        <v>8</v>
      </c>
      <c r="K1516" s="161"/>
      <c r="L1516" s="159">
        <v>24</v>
      </c>
      <c r="M1516" s="160">
        <v>24</v>
      </c>
      <c r="N1516" s="145"/>
      <c r="O1516" s="156" t="s">
        <v>135</v>
      </c>
      <c r="P1516" s="144" t="s">
        <v>2478</v>
      </c>
      <c r="Q1516" s="147"/>
      <c r="R1516" s="146"/>
      <c r="S1516" s="157"/>
      <c r="T1516" s="144" t="s">
        <v>29</v>
      </c>
      <c r="U1516" s="150" t="s">
        <v>17</v>
      </c>
      <c r="V1516" s="146">
        <v>2810</v>
      </c>
      <c r="W1516" s="148"/>
      <c r="X1516" s="149">
        <v>45778</v>
      </c>
      <c r="Y1516" s="165" t="s">
        <v>2538</v>
      </c>
    </row>
    <row r="1517" spans="1:25">
      <c r="A1517" s="163" t="s">
        <v>7</v>
      </c>
      <c r="B1517" s="144" t="s">
        <v>2463</v>
      </c>
      <c r="C1517" s="164" t="s">
        <v>5054</v>
      </c>
      <c r="D1517" s="144" t="s">
        <v>5055</v>
      </c>
      <c r="E1517" s="150" t="s">
        <v>2466</v>
      </c>
      <c r="F1517" s="144" t="s">
        <v>2467</v>
      </c>
      <c r="G1517" s="166"/>
      <c r="H1517" s="151">
        <v>1</v>
      </c>
      <c r="I1517" s="160"/>
      <c r="J1517" s="159">
        <v>300</v>
      </c>
      <c r="K1517" s="161"/>
      <c r="L1517" s="159">
        <v>300</v>
      </c>
      <c r="M1517" s="160">
        <v>300</v>
      </c>
      <c r="N1517" s="145">
        <v>1200</v>
      </c>
      <c r="O1517" s="156" t="s">
        <v>135</v>
      </c>
      <c r="P1517" s="144" t="s">
        <v>2468</v>
      </c>
      <c r="Q1517" s="147"/>
      <c r="R1517" s="146"/>
      <c r="S1517" s="157"/>
      <c r="T1517" s="144" t="s">
        <v>29</v>
      </c>
      <c r="U1517" s="150" t="s">
        <v>20</v>
      </c>
      <c r="V1517" s="146">
        <v>2818</v>
      </c>
      <c r="W1517" s="148" t="s">
        <v>5056</v>
      </c>
      <c r="X1517" s="149"/>
      <c r="Y1517" s="165" t="s">
        <v>2470</v>
      </c>
    </row>
    <row r="1518" spans="1:25">
      <c r="A1518" s="163" t="s">
        <v>423</v>
      </c>
      <c r="B1518" s="144" t="s">
        <v>163</v>
      </c>
      <c r="C1518" s="164" t="s">
        <v>5057</v>
      </c>
      <c r="D1518" s="144" t="s">
        <v>5058</v>
      </c>
      <c r="E1518" s="150" t="s">
        <v>2485</v>
      </c>
      <c r="F1518" s="144" t="s">
        <v>2486</v>
      </c>
      <c r="G1518" s="166" t="s">
        <v>5059</v>
      </c>
      <c r="H1518" s="151">
        <v>6</v>
      </c>
      <c r="I1518" s="160">
        <v>2</v>
      </c>
      <c r="J1518" s="159">
        <v>2</v>
      </c>
      <c r="K1518" s="161">
        <v>12</v>
      </c>
      <c r="L1518" s="159">
        <v>12</v>
      </c>
      <c r="M1518" s="160">
        <v>12</v>
      </c>
      <c r="N1518" s="145"/>
      <c r="O1518" s="156" t="s">
        <v>166</v>
      </c>
      <c r="P1518" s="144" t="s">
        <v>2480</v>
      </c>
      <c r="Q1518" s="147"/>
      <c r="R1518" s="146"/>
      <c r="S1518" s="157"/>
      <c r="T1518" s="144" t="s">
        <v>25</v>
      </c>
      <c r="U1518" s="150" t="s">
        <v>17</v>
      </c>
      <c r="V1518" s="146">
        <v>1239</v>
      </c>
      <c r="W1518" s="148"/>
      <c r="X1518" s="149">
        <v>45566</v>
      </c>
      <c r="Y1518" s="165"/>
    </row>
    <row r="1519" spans="1:25">
      <c r="A1519" s="163" t="s">
        <v>309</v>
      </c>
      <c r="B1519" s="144" t="s">
        <v>2463</v>
      </c>
      <c r="C1519" s="164" t="s">
        <v>5060</v>
      </c>
      <c r="D1519" s="144" t="s">
        <v>5061</v>
      </c>
      <c r="E1519" s="150" t="s">
        <v>2491</v>
      </c>
      <c r="F1519" s="144" t="s">
        <v>2477</v>
      </c>
      <c r="G1519" s="166"/>
      <c r="H1519" s="151">
        <v>82</v>
      </c>
      <c r="I1519" s="160"/>
      <c r="J1519" s="159">
        <v>5.49</v>
      </c>
      <c r="K1519" s="161"/>
      <c r="L1519" s="159">
        <v>450.18</v>
      </c>
      <c r="M1519" s="160">
        <v>450.18</v>
      </c>
      <c r="N1519" s="145"/>
      <c r="O1519" s="156" t="s">
        <v>135</v>
      </c>
      <c r="P1519" s="144" t="s">
        <v>2478</v>
      </c>
      <c r="Q1519" s="147">
        <v>47604</v>
      </c>
      <c r="R1519" s="146"/>
      <c r="S1519" s="157"/>
      <c r="T1519" s="144" t="s">
        <v>29</v>
      </c>
      <c r="U1519" s="150" t="s">
        <v>2479</v>
      </c>
      <c r="V1519" s="146">
        <v>2561</v>
      </c>
      <c r="W1519" s="148" t="s">
        <v>5062</v>
      </c>
      <c r="X1519" s="149">
        <v>45689</v>
      </c>
      <c r="Y1519" s="165" t="s">
        <v>2500</v>
      </c>
    </row>
    <row r="1520" spans="1:25">
      <c r="A1520" s="163" t="s">
        <v>7</v>
      </c>
      <c r="B1520" s="144" t="s">
        <v>2463</v>
      </c>
      <c r="C1520" s="164" t="s">
        <v>5063</v>
      </c>
      <c r="D1520" s="144" t="s">
        <v>5064</v>
      </c>
      <c r="E1520" s="150" t="s">
        <v>2466</v>
      </c>
      <c r="F1520" s="144" t="s">
        <v>2467</v>
      </c>
      <c r="G1520" s="166"/>
      <c r="H1520" s="151">
        <v>1</v>
      </c>
      <c r="I1520" s="160"/>
      <c r="J1520" s="159">
        <v>250</v>
      </c>
      <c r="K1520" s="161"/>
      <c r="L1520" s="159">
        <v>250</v>
      </c>
      <c r="M1520" s="160">
        <v>250</v>
      </c>
      <c r="N1520" s="145">
        <v>1000</v>
      </c>
      <c r="O1520" s="156" t="s">
        <v>135</v>
      </c>
      <c r="P1520" s="144" t="s">
        <v>2468</v>
      </c>
      <c r="Q1520" s="147"/>
      <c r="R1520" s="146"/>
      <c r="S1520" s="157"/>
      <c r="T1520" s="144" t="s">
        <v>29</v>
      </c>
      <c r="U1520" s="150" t="s">
        <v>20</v>
      </c>
      <c r="V1520" s="146">
        <v>1941</v>
      </c>
      <c r="W1520" s="148" t="s">
        <v>5065</v>
      </c>
      <c r="X1520" s="149">
        <v>45689</v>
      </c>
      <c r="Y1520" s="165" t="s">
        <v>3067</v>
      </c>
    </row>
    <row r="1521" spans="1:25">
      <c r="A1521" s="163" t="s">
        <v>7</v>
      </c>
      <c r="B1521" s="144" t="s">
        <v>163</v>
      </c>
      <c r="C1521" s="164" t="s">
        <v>5066</v>
      </c>
      <c r="D1521" s="144" t="s">
        <v>5067</v>
      </c>
      <c r="E1521" s="150" t="s">
        <v>2506</v>
      </c>
      <c r="F1521" s="144" t="s">
        <v>2741</v>
      </c>
      <c r="G1521" s="166" t="s">
        <v>5068</v>
      </c>
      <c r="H1521" s="151">
        <v>7</v>
      </c>
      <c r="I1521" s="160"/>
      <c r="J1521" s="159">
        <v>1.07</v>
      </c>
      <c r="K1521" s="161"/>
      <c r="L1521" s="159">
        <v>7.46</v>
      </c>
      <c r="M1521" s="160">
        <v>7.46</v>
      </c>
      <c r="N1521" s="145"/>
      <c r="O1521" s="156" t="s">
        <v>166</v>
      </c>
      <c r="P1521" s="144" t="s">
        <v>2480</v>
      </c>
      <c r="Q1521" s="147"/>
      <c r="R1521" s="146">
        <v>2100</v>
      </c>
      <c r="S1521" s="157"/>
      <c r="T1521" s="144" t="s">
        <v>25</v>
      </c>
      <c r="U1521" s="150" t="s">
        <v>19</v>
      </c>
      <c r="V1521" s="146">
        <v>1241</v>
      </c>
      <c r="W1521" s="148"/>
      <c r="X1521" s="149">
        <v>45566</v>
      </c>
      <c r="Y1521" s="165" t="s">
        <v>2962</v>
      </c>
    </row>
    <row r="1522" spans="1:25">
      <c r="A1522" s="163" t="s">
        <v>7</v>
      </c>
      <c r="B1522" s="144" t="s">
        <v>163</v>
      </c>
      <c r="C1522" s="164" t="s">
        <v>5069</v>
      </c>
      <c r="D1522" s="144" t="s">
        <v>5070</v>
      </c>
      <c r="E1522" s="150" t="s">
        <v>2485</v>
      </c>
      <c r="F1522" s="144" t="s">
        <v>2486</v>
      </c>
      <c r="G1522" s="166" t="s">
        <v>5071</v>
      </c>
      <c r="H1522" s="151">
        <v>23</v>
      </c>
      <c r="I1522" s="160">
        <v>2.1</v>
      </c>
      <c r="J1522" s="159">
        <v>2.1</v>
      </c>
      <c r="K1522" s="161">
        <v>48.3</v>
      </c>
      <c r="L1522" s="159">
        <v>48.3</v>
      </c>
      <c r="M1522" s="160">
        <v>48.3</v>
      </c>
      <c r="N1522" s="145"/>
      <c r="O1522" s="156" t="s">
        <v>166</v>
      </c>
      <c r="P1522" s="144" t="s">
        <v>2478</v>
      </c>
      <c r="Q1522" s="147"/>
      <c r="R1522" s="146">
        <v>2041</v>
      </c>
      <c r="S1522" s="157"/>
      <c r="T1522" s="144" t="s">
        <v>25</v>
      </c>
      <c r="U1522" s="150" t="s">
        <v>17</v>
      </c>
      <c r="V1522" s="146">
        <v>1240</v>
      </c>
      <c r="W1522" s="148"/>
      <c r="X1522" s="149">
        <v>45689</v>
      </c>
      <c r="Y1522" s="165" t="s">
        <v>2730</v>
      </c>
    </row>
    <row r="1523" spans="1:25">
      <c r="A1523" s="163" t="s">
        <v>309</v>
      </c>
      <c r="B1523" s="144" t="s">
        <v>2463</v>
      </c>
      <c r="C1523" s="164" t="s">
        <v>5072</v>
      </c>
      <c r="D1523" s="144" t="s">
        <v>1215</v>
      </c>
      <c r="E1523" s="150" t="s">
        <v>2466</v>
      </c>
      <c r="F1523" s="144" t="s">
        <v>2467</v>
      </c>
      <c r="G1523" s="166"/>
      <c r="H1523" s="151">
        <v>1</v>
      </c>
      <c r="I1523" s="160">
        <v>500</v>
      </c>
      <c r="J1523" s="159">
        <v>500</v>
      </c>
      <c r="K1523" s="161">
        <v>500</v>
      </c>
      <c r="L1523" s="159">
        <v>500</v>
      </c>
      <c r="M1523" s="160">
        <v>500</v>
      </c>
      <c r="N1523" s="145">
        <v>0</v>
      </c>
      <c r="O1523" s="156" t="s">
        <v>135</v>
      </c>
      <c r="P1523" s="144" t="s">
        <v>2468</v>
      </c>
      <c r="Q1523" s="147"/>
      <c r="R1523" s="146"/>
      <c r="S1523" s="157"/>
      <c r="T1523" s="144" t="s">
        <v>29</v>
      </c>
      <c r="U1523" s="150" t="s">
        <v>20</v>
      </c>
      <c r="V1523" s="146">
        <v>2558</v>
      </c>
      <c r="W1523" s="148" t="s">
        <v>5073</v>
      </c>
      <c r="X1523" s="149">
        <v>45689</v>
      </c>
      <c r="Y1523" s="165" t="s">
        <v>5074</v>
      </c>
    </row>
    <row r="1524" spans="1:25">
      <c r="A1524" s="163" t="s">
        <v>309</v>
      </c>
      <c r="B1524" s="144" t="s">
        <v>2463</v>
      </c>
      <c r="C1524" s="164" t="s">
        <v>5075</v>
      </c>
      <c r="D1524" s="144" t="s">
        <v>3334</v>
      </c>
      <c r="E1524" s="150" t="s">
        <v>2466</v>
      </c>
      <c r="F1524" s="144" t="s">
        <v>2467</v>
      </c>
      <c r="G1524" s="166"/>
      <c r="H1524" s="151">
        <v>1</v>
      </c>
      <c r="I1524" s="160">
        <v>250</v>
      </c>
      <c r="J1524" s="159">
        <v>250</v>
      </c>
      <c r="K1524" s="161">
        <v>250</v>
      </c>
      <c r="L1524" s="159">
        <v>250</v>
      </c>
      <c r="M1524" s="160">
        <v>250</v>
      </c>
      <c r="N1524" s="145">
        <v>250</v>
      </c>
      <c r="O1524" s="156" t="s">
        <v>135</v>
      </c>
      <c r="P1524" s="144" t="s">
        <v>2468</v>
      </c>
      <c r="Q1524" s="147"/>
      <c r="R1524" s="146"/>
      <c r="S1524" s="157"/>
      <c r="T1524" s="144" t="s">
        <v>29</v>
      </c>
      <c r="U1524" s="150" t="s">
        <v>20</v>
      </c>
      <c r="V1524" s="146">
        <v>2683</v>
      </c>
      <c r="W1524" s="148" t="s">
        <v>5076</v>
      </c>
      <c r="X1524" s="149">
        <v>45778</v>
      </c>
      <c r="Y1524" s="165"/>
    </row>
    <row r="1525" spans="1:25">
      <c r="A1525" s="163" t="s">
        <v>309</v>
      </c>
      <c r="B1525" s="144" t="s">
        <v>2463</v>
      </c>
      <c r="C1525" s="164" t="s">
        <v>5077</v>
      </c>
      <c r="D1525" s="144" t="s">
        <v>3334</v>
      </c>
      <c r="E1525" s="150" t="s">
        <v>2491</v>
      </c>
      <c r="F1525" s="144" t="s">
        <v>2477</v>
      </c>
      <c r="G1525" s="166"/>
      <c r="H1525" s="151">
        <v>1</v>
      </c>
      <c r="I1525" s="160">
        <v>400</v>
      </c>
      <c r="J1525" s="159">
        <v>400</v>
      </c>
      <c r="K1525" s="161">
        <v>400</v>
      </c>
      <c r="L1525" s="159">
        <v>400</v>
      </c>
      <c r="M1525" s="160">
        <v>400</v>
      </c>
      <c r="N1525" s="145"/>
      <c r="O1525" s="156" t="s">
        <v>135</v>
      </c>
      <c r="P1525" s="144" t="s">
        <v>2478</v>
      </c>
      <c r="Q1525" s="147"/>
      <c r="R1525" s="146"/>
      <c r="S1525" s="157"/>
      <c r="T1525" s="144" t="s">
        <v>29</v>
      </c>
      <c r="U1525" s="150" t="s">
        <v>2479</v>
      </c>
      <c r="V1525" s="146">
        <v>2682</v>
      </c>
      <c r="W1525" s="148" t="s">
        <v>5076</v>
      </c>
      <c r="X1525" s="149">
        <v>45778</v>
      </c>
      <c r="Y1525" s="165"/>
    </row>
    <row r="1526" spans="1:25">
      <c r="A1526" s="163" t="s">
        <v>565</v>
      </c>
      <c r="B1526" s="144" t="s">
        <v>163</v>
      </c>
      <c r="C1526" s="164" t="s">
        <v>5078</v>
      </c>
      <c r="D1526" s="144" t="s">
        <v>5079</v>
      </c>
      <c r="E1526" s="150" t="s">
        <v>2485</v>
      </c>
      <c r="F1526" s="144" t="s">
        <v>2486</v>
      </c>
      <c r="G1526" s="166" t="s">
        <v>5080</v>
      </c>
      <c r="H1526" s="151">
        <v>6</v>
      </c>
      <c r="I1526" s="160">
        <v>0</v>
      </c>
      <c r="J1526" s="159">
        <v>1.75</v>
      </c>
      <c r="K1526" s="161">
        <v>0</v>
      </c>
      <c r="L1526" s="159">
        <v>10.5</v>
      </c>
      <c r="M1526" s="160">
        <v>10.5</v>
      </c>
      <c r="N1526" s="145"/>
      <c r="O1526" s="156" t="s">
        <v>166</v>
      </c>
      <c r="P1526" s="144" t="s">
        <v>2480</v>
      </c>
      <c r="Q1526" s="147"/>
      <c r="R1526" s="146">
        <v>2050</v>
      </c>
      <c r="S1526" s="157"/>
      <c r="T1526" s="144" t="s">
        <v>25</v>
      </c>
      <c r="U1526" s="150" t="s">
        <v>17</v>
      </c>
      <c r="V1526" s="146">
        <v>1242</v>
      </c>
      <c r="W1526" s="148"/>
      <c r="X1526" s="149">
        <v>45901</v>
      </c>
      <c r="Y1526" s="165" t="s">
        <v>2596</v>
      </c>
    </row>
    <row r="1527" spans="1:25">
      <c r="A1527" s="163" t="s">
        <v>565</v>
      </c>
      <c r="B1527" s="144" t="s">
        <v>163</v>
      </c>
      <c r="C1527" s="164" t="s">
        <v>5078</v>
      </c>
      <c r="D1527" s="144" t="s">
        <v>5079</v>
      </c>
      <c r="E1527" s="150" t="s">
        <v>2485</v>
      </c>
      <c r="F1527" s="144" t="s">
        <v>2486</v>
      </c>
      <c r="G1527" s="166" t="s">
        <v>5080</v>
      </c>
      <c r="H1527" s="151">
        <v>25</v>
      </c>
      <c r="I1527" s="160">
        <v>0</v>
      </c>
      <c r="J1527" s="159">
        <v>3</v>
      </c>
      <c r="K1527" s="161">
        <v>0</v>
      </c>
      <c r="L1527" s="159">
        <v>75</v>
      </c>
      <c r="M1527" s="160">
        <v>75</v>
      </c>
      <c r="N1527" s="145"/>
      <c r="O1527" s="156" t="s">
        <v>166</v>
      </c>
      <c r="P1527" s="144" t="s">
        <v>2480</v>
      </c>
      <c r="Q1527" s="147"/>
      <c r="R1527" s="146">
        <v>2050</v>
      </c>
      <c r="S1527" s="157"/>
      <c r="T1527" s="144" t="s">
        <v>25</v>
      </c>
      <c r="U1527" s="150" t="s">
        <v>17</v>
      </c>
      <c r="V1527" s="146">
        <v>1242</v>
      </c>
      <c r="W1527" s="148"/>
      <c r="X1527" s="149">
        <v>45901</v>
      </c>
      <c r="Y1527" s="165" t="s">
        <v>2596</v>
      </c>
    </row>
    <row r="1528" spans="1:25">
      <c r="A1528" s="163" t="s">
        <v>565</v>
      </c>
      <c r="B1528" s="144" t="s">
        <v>163</v>
      </c>
      <c r="C1528" s="164" t="s">
        <v>5078</v>
      </c>
      <c r="D1528" s="144" t="s">
        <v>5079</v>
      </c>
      <c r="E1528" s="150" t="s">
        <v>2485</v>
      </c>
      <c r="F1528" s="144" t="s">
        <v>2486</v>
      </c>
      <c r="G1528" s="166" t="s">
        <v>5080</v>
      </c>
      <c r="H1528" s="151">
        <v>30</v>
      </c>
      <c r="I1528" s="160"/>
      <c r="J1528" s="159">
        <v>1.75</v>
      </c>
      <c r="K1528" s="161"/>
      <c r="L1528" s="159">
        <v>52.5</v>
      </c>
      <c r="M1528" s="160">
        <v>52.5</v>
      </c>
      <c r="N1528" s="145"/>
      <c r="O1528" s="156" t="s">
        <v>166</v>
      </c>
      <c r="P1528" s="144" t="s">
        <v>2480</v>
      </c>
      <c r="Q1528" s="147"/>
      <c r="R1528" s="146">
        <v>2050</v>
      </c>
      <c r="S1528" s="157"/>
      <c r="T1528" s="144" t="s">
        <v>25</v>
      </c>
      <c r="U1528" s="150" t="s">
        <v>17</v>
      </c>
      <c r="V1528" s="146">
        <v>1242</v>
      </c>
      <c r="W1528" s="148"/>
      <c r="X1528" s="149">
        <v>45901</v>
      </c>
      <c r="Y1528" s="165" t="s">
        <v>2596</v>
      </c>
    </row>
    <row r="1529" spans="1:25">
      <c r="A1529" s="163" t="s">
        <v>309</v>
      </c>
      <c r="B1529" s="144" t="s">
        <v>2463</v>
      </c>
      <c r="C1529" s="164" t="s">
        <v>364</v>
      </c>
      <c r="D1529" s="144" t="s">
        <v>365</v>
      </c>
      <c r="E1529" s="150" t="s">
        <v>2466</v>
      </c>
      <c r="F1529" s="144" t="s">
        <v>2467</v>
      </c>
      <c r="G1529" s="166"/>
      <c r="H1529" s="151">
        <v>64</v>
      </c>
      <c r="I1529" s="160"/>
      <c r="J1529" s="159">
        <v>4.3899999999999997</v>
      </c>
      <c r="K1529" s="161"/>
      <c r="L1529" s="159">
        <v>280.95999999999998</v>
      </c>
      <c r="M1529" s="160">
        <v>280.95999999999998</v>
      </c>
      <c r="N1529" s="145">
        <v>593</v>
      </c>
      <c r="O1529" s="156" t="s">
        <v>27</v>
      </c>
      <c r="P1529" s="144" t="s">
        <v>2468</v>
      </c>
      <c r="Q1529" s="147">
        <v>46266</v>
      </c>
      <c r="R1529" s="146">
        <v>2051</v>
      </c>
      <c r="S1529" s="157"/>
      <c r="T1529" s="144" t="s">
        <v>27</v>
      </c>
      <c r="U1529" s="150" t="s">
        <v>20</v>
      </c>
      <c r="V1529" s="146">
        <v>1961</v>
      </c>
      <c r="W1529" s="148" t="s">
        <v>5081</v>
      </c>
      <c r="X1529" s="149">
        <v>45901</v>
      </c>
      <c r="Y1529" s="165" t="s">
        <v>2620</v>
      </c>
    </row>
    <row r="1530" spans="1:25">
      <c r="A1530" s="163" t="s">
        <v>309</v>
      </c>
      <c r="B1530" s="144" t="s">
        <v>2463</v>
      </c>
      <c r="C1530" s="164" t="s">
        <v>5082</v>
      </c>
      <c r="D1530" s="144" t="s">
        <v>3551</v>
      </c>
      <c r="E1530" s="150" t="s">
        <v>2466</v>
      </c>
      <c r="F1530" s="144" t="s">
        <v>2467</v>
      </c>
      <c r="G1530" s="166"/>
      <c r="H1530" s="151">
        <v>1</v>
      </c>
      <c r="I1530" s="160">
        <v>400</v>
      </c>
      <c r="J1530" s="159">
        <v>400</v>
      </c>
      <c r="K1530" s="161">
        <v>400</v>
      </c>
      <c r="L1530" s="159">
        <v>400</v>
      </c>
      <c r="M1530" s="160">
        <v>400</v>
      </c>
      <c r="N1530" s="145">
        <v>0</v>
      </c>
      <c r="O1530" s="156" t="s">
        <v>135</v>
      </c>
      <c r="P1530" s="144" t="s">
        <v>2468</v>
      </c>
      <c r="Q1530" s="147"/>
      <c r="R1530" s="146"/>
      <c r="S1530" s="157"/>
      <c r="T1530" s="144" t="s">
        <v>29</v>
      </c>
      <c r="U1530" s="150" t="s">
        <v>20</v>
      </c>
      <c r="V1530" s="146">
        <v>2872</v>
      </c>
      <c r="W1530" s="148" t="s">
        <v>5083</v>
      </c>
      <c r="X1530" s="149">
        <v>45901</v>
      </c>
      <c r="Y1530" s="165" t="s">
        <v>2924</v>
      </c>
    </row>
    <row r="1531" spans="1:25">
      <c r="A1531" s="163" t="s">
        <v>309</v>
      </c>
      <c r="B1531" s="144" t="s">
        <v>163</v>
      </c>
      <c r="C1531" s="164" t="s">
        <v>1111</v>
      </c>
      <c r="D1531" s="144" t="s">
        <v>1112</v>
      </c>
      <c r="E1531" s="150" t="s">
        <v>2491</v>
      </c>
      <c r="F1531" s="144" t="s">
        <v>2477</v>
      </c>
      <c r="G1531" s="166" t="s">
        <v>1113</v>
      </c>
      <c r="H1531" s="151">
        <v>89</v>
      </c>
      <c r="I1531" s="160"/>
      <c r="J1531" s="159">
        <v>2.5</v>
      </c>
      <c r="K1531" s="161"/>
      <c r="L1531" s="159">
        <v>222.5</v>
      </c>
      <c r="M1531" s="160">
        <v>222.5</v>
      </c>
      <c r="N1531" s="145"/>
      <c r="O1531" s="156" t="s">
        <v>166</v>
      </c>
      <c r="P1531" s="144" t="s">
        <v>2478</v>
      </c>
      <c r="Q1531" s="147">
        <v>44805</v>
      </c>
      <c r="R1531" s="146">
        <v>2058</v>
      </c>
      <c r="S1531" s="157"/>
      <c r="T1531" s="144" t="s">
        <v>25</v>
      </c>
      <c r="U1531" s="150" t="s">
        <v>2479</v>
      </c>
      <c r="V1531" s="146">
        <v>1672</v>
      </c>
      <c r="W1531" s="148"/>
      <c r="X1531" s="149">
        <v>45689</v>
      </c>
      <c r="Y1531" s="165" t="s">
        <v>3352</v>
      </c>
    </row>
    <row r="1532" spans="1:25">
      <c r="A1532" s="163" t="s">
        <v>423</v>
      </c>
      <c r="B1532" s="144" t="s">
        <v>2463</v>
      </c>
      <c r="C1532" s="164" t="s">
        <v>453</v>
      </c>
      <c r="D1532" s="144" t="s">
        <v>454</v>
      </c>
      <c r="E1532" s="150" t="s">
        <v>2485</v>
      </c>
      <c r="F1532" s="144" t="s">
        <v>2486</v>
      </c>
      <c r="G1532" s="166"/>
      <c r="H1532" s="151">
        <v>12</v>
      </c>
      <c r="I1532" s="160">
        <v>6</v>
      </c>
      <c r="J1532" s="159">
        <v>6</v>
      </c>
      <c r="K1532" s="161">
        <v>72</v>
      </c>
      <c r="L1532" s="159">
        <v>72</v>
      </c>
      <c r="M1532" s="160">
        <v>72</v>
      </c>
      <c r="N1532" s="145"/>
      <c r="O1532" s="156" t="s">
        <v>135</v>
      </c>
      <c r="P1532" s="144" t="s">
        <v>2478</v>
      </c>
      <c r="Q1532" s="147">
        <v>46388</v>
      </c>
      <c r="R1532" s="146">
        <v>2061</v>
      </c>
      <c r="S1532" s="157"/>
      <c r="T1532" s="144" t="s">
        <v>29</v>
      </c>
      <c r="U1532" s="150" t="s">
        <v>17</v>
      </c>
      <c r="V1532" s="146">
        <v>1243</v>
      </c>
      <c r="W1532" s="148"/>
      <c r="X1532" s="149">
        <v>45778</v>
      </c>
      <c r="Y1532" s="165" t="s">
        <v>5084</v>
      </c>
    </row>
    <row r="1533" spans="1:25">
      <c r="A1533" s="163" t="s">
        <v>309</v>
      </c>
      <c r="B1533" s="144" t="s">
        <v>2463</v>
      </c>
      <c r="C1533" s="164" t="s">
        <v>5085</v>
      </c>
      <c r="D1533" s="144" t="s">
        <v>266</v>
      </c>
      <c r="E1533" s="150" t="s">
        <v>2466</v>
      </c>
      <c r="F1533" s="144" t="s">
        <v>2467</v>
      </c>
      <c r="G1533" s="166"/>
      <c r="H1533" s="151">
        <v>1</v>
      </c>
      <c r="I1533" s="160">
        <v>0</v>
      </c>
      <c r="J1533" s="159">
        <v>350</v>
      </c>
      <c r="K1533" s="161">
        <v>0</v>
      </c>
      <c r="L1533" s="159">
        <v>350</v>
      </c>
      <c r="M1533" s="160">
        <v>350</v>
      </c>
      <c r="N1533" s="145">
        <v>700</v>
      </c>
      <c r="O1533" s="156" t="s">
        <v>135</v>
      </c>
      <c r="P1533" s="144" t="s">
        <v>2468</v>
      </c>
      <c r="Q1533" s="147"/>
      <c r="R1533" s="146"/>
      <c r="S1533" s="157"/>
      <c r="T1533" s="144" t="s">
        <v>29</v>
      </c>
      <c r="U1533" s="150" t="s">
        <v>20</v>
      </c>
      <c r="V1533" s="146">
        <v>2873</v>
      </c>
      <c r="W1533" s="148" t="s">
        <v>5086</v>
      </c>
      <c r="X1533" s="149">
        <v>45901</v>
      </c>
      <c r="Y1533" s="165" t="s">
        <v>2620</v>
      </c>
    </row>
    <row r="1534" spans="1:25">
      <c r="A1534" s="163" t="s">
        <v>423</v>
      </c>
      <c r="B1534" s="144" t="s">
        <v>2463</v>
      </c>
      <c r="C1534" s="164" t="s">
        <v>585</v>
      </c>
      <c r="D1534" s="144" t="s">
        <v>586</v>
      </c>
      <c r="E1534" s="150" t="s">
        <v>2466</v>
      </c>
      <c r="F1534" s="144" t="s">
        <v>2467</v>
      </c>
      <c r="G1534" s="166"/>
      <c r="H1534" s="151">
        <v>1</v>
      </c>
      <c r="I1534" s="160"/>
      <c r="J1534" s="159">
        <v>350</v>
      </c>
      <c r="K1534" s="161"/>
      <c r="L1534" s="159">
        <v>350</v>
      </c>
      <c r="M1534" s="160">
        <v>350</v>
      </c>
      <c r="N1534" s="145">
        <v>1400</v>
      </c>
      <c r="O1534" s="156" t="s">
        <v>134</v>
      </c>
      <c r="P1534" s="144" t="s">
        <v>2468</v>
      </c>
      <c r="Q1534" s="147">
        <v>46722</v>
      </c>
      <c r="R1534" s="146"/>
      <c r="S1534" s="157"/>
      <c r="T1534" s="144" t="s">
        <v>27</v>
      </c>
      <c r="U1534" s="150" t="s">
        <v>20</v>
      </c>
      <c r="V1534" s="146">
        <v>1876</v>
      </c>
      <c r="W1534" s="148" t="s">
        <v>5087</v>
      </c>
      <c r="X1534" s="149">
        <v>45901</v>
      </c>
      <c r="Y1534" s="165" t="s">
        <v>2596</v>
      </c>
    </row>
    <row r="1535" spans="1:25">
      <c r="A1535" s="163" t="s">
        <v>309</v>
      </c>
      <c r="B1535" s="144" t="s">
        <v>2463</v>
      </c>
      <c r="C1535" s="164" t="s">
        <v>5088</v>
      </c>
      <c r="D1535" s="144" t="s">
        <v>2756</v>
      </c>
      <c r="E1535" s="150" t="s">
        <v>2485</v>
      </c>
      <c r="F1535" s="144" t="s">
        <v>2486</v>
      </c>
      <c r="G1535" s="166"/>
      <c r="H1535" s="151">
        <v>52</v>
      </c>
      <c r="I1535" s="160"/>
      <c r="J1535" s="159">
        <v>6.2</v>
      </c>
      <c r="K1535" s="161"/>
      <c r="L1535" s="159">
        <v>322.39999999999998</v>
      </c>
      <c r="M1535" s="160">
        <v>322.39999999999998</v>
      </c>
      <c r="N1535" s="145"/>
      <c r="O1535" s="156" t="s">
        <v>135</v>
      </c>
      <c r="P1535" s="144" t="s">
        <v>2478</v>
      </c>
      <c r="Q1535" s="147"/>
      <c r="R1535" s="146"/>
      <c r="S1535" s="157"/>
      <c r="T1535" s="144" t="s">
        <v>29</v>
      </c>
      <c r="U1535" s="150" t="s">
        <v>17</v>
      </c>
      <c r="V1535" s="146">
        <v>2001</v>
      </c>
      <c r="W1535" s="148" t="s">
        <v>5089</v>
      </c>
      <c r="X1535" s="149">
        <v>45689</v>
      </c>
      <c r="Y1535" s="165" t="s">
        <v>2520</v>
      </c>
    </row>
    <row r="1536" spans="1:25">
      <c r="A1536" s="163" t="s">
        <v>423</v>
      </c>
      <c r="B1536" s="144" t="s">
        <v>163</v>
      </c>
      <c r="C1536" s="164" t="s">
        <v>813</v>
      </c>
      <c r="D1536" s="144" t="s">
        <v>814</v>
      </c>
      <c r="E1536" s="150" t="s">
        <v>2491</v>
      </c>
      <c r="F1536" s="144" t="s">
        <v>2477</v>
      </c>
      <c r="G1536" s="166" t="s">
        <v>815</v>
      </c>
      <c r="H1536" s="151">
        <v>34</v>
      </c>
      <c r="I1536" s="160">
        <v>0</v>
      </c>
      <c r="J1536" s="159">
        <v>2.75</v>
      </c>
      <c r="K1536" s="161">
        <v>0</v>
      </c>
      <c r="L1536" s="159">
        <v>93.5</v>
      </c>
      <c r="M1536" s="160">
        <v>93.5</v>
      </c>
      <c r="N1536" s="145"/>
      <c r="O1536" s="156" t="s">
        <v>164</v>
      </c>
      <c r="P1536" s="144" t="s">
        <v>2478</v>
      </c>
      <c r="Q1536" s="147">
        <v>45717</v>
      </c>
      <c r="R1536" s="146">
        <v>2065</v>
      </c>
      <c r="S1536" s="157"/>
      <c r="T1536" s="144" t="s">
        <v>25</v>
      </c>
      <c r="U1536" s="150" t="s">
        <v>2479</v>
      </c>
      <c r="V1536" s="146">
        <v>1929</v>
      </c>
      <c r="W1536" s="148"/>
      <c r="X1536" s="149">
        <v>45901</v>
      </c>
      <c r="Y1536" s="165" t="s">
        <v>4530</v>
      </c>
    </row>
    <row r="1537" spans="1:25">
      <c r="A1537" s="163" t="s">
        <v>309</v>
      </c>
      <c r="B1537" s="144" t="s">
        <v>2463</v>
      </c>
      <c r="C1537" s="164" t="s">
        <v>5090</v>
      </c>
      <c r="D1537" s="144" t="s">
        <v>5091</v>
      </c>
      <c r="E1537" s="150" t="s">
        <v>2466</v>
      </c>
      <c r="F1537" s="144" t="s">
        <v>2467</v>
      </c>
      <c r="G1537" s="166"/>
      <c r="H1537" s="151">
        <v>108</v>
      </c>
      <c r="I1537" s="160">
        <v>0</v>
      </c>
      <c r="J1537" s="159">
        <v>3.75</v>
      </c>
      <c r="K1537" s="161">
        <v>0</v>
      </c>
      <c r="L1537" s="159">
        <v>405</v>
      </c>
      <c r="M1537" s="160">
        <v>405</v>
      </c>
      <c r="N1537" s="145">
        <v>1740</v>
      </c>
      <c r="O1537" s="156" t="s">
        <v>135</v>
      </c>
      <c r="P1537" s="144" t="s">
        <v>2468</v>
      </c>
      <c r="Q1537" s="147"/>
      <c r="R1537" s="146"/>
      <c r="S1537" s="157"/>
      <c r="T1537" s="144" t="s">
        <v>29</v>
      </c>
      <c r="U1537" s="150" t="s">
        <v>20</v>
      </c>
      <c r="V1537" s="146">
        <v>2560</v>
      </c>
      <c r="W1537" s="148" t="s">
        <v>5092</v>
      </c>
      <c r="X1537" s="149">
        <v>45689</v>
      </c>
      <c r="Y1537" s="165" t="s">
        <v>2474</v>
      </c>
    </row>
    <row r="1538" spans="1:25">
      <c r="A1538" s="163" t="s">
        <v>309</v>
      </c>
      <c r="B1538" s="144" t="s">
        <v>2463</v>
      </c>
      <c r="C1538" s="164" t="s">
        <v>5093</v>
      </c>
      <c r="D1538" s="144" t="s">
        <v>3376</v>
      </c>
      <c r="E1538" s="150" t="s">
        <v>2476</v>
      </c>
      <c r="F1538" s="144" t="s">
        <v>2477</v>
      </c>
      <c r="G1538" s="166"/>
      <c r="H1538" s="151">
        <v>1</v>
      </c>
      <c r="I1538" s="160">
        <v>500</v>
      </c>
      <c r="J1538" s="159">
        <v>500</v>
      </c>
      <c r="K1538" s="161">
        <v>500</v>
      </c>
      <c r="L1538" s="159">
        <v>500</v>
      </c>
      <c r="M1538" s="160">
        <v>500</v>
      </c>
      <c r="N1538" s="145"/>
      <c r="O1538" s="156" t="s">
        <v>135</v>
      </c>
      <c r="P1538" s="144" t="s">
        <v>2478</v>
      </c>
      <c r="Q1538" s="147"/>
      <c r="R1538" s="146"/>
      <c r="S1538" s="157"/>
      <c r="T1538" s="144" t="s">
        <v>29</v>
      </c>
      <c r="U1538" s="150" t="s">
        <v>2479</v>
      </c>
      <c r="V1538" s="146">
        <v>3117</v>
      </c>
      <c r="W1538" s="148"/>
      <c r="X1538" s="149"/>
      <c r="Y1538" s="165"/>
    </row>
    <row r="1539" spans="1:25">
      <c r="A1539" s="163" t="s">
        <v>309</v>
      </c>
      <c r="B1539" s="144" t="s">
        <v>2463</v>
      </c>
      <c r="C1539" s="164" t="s">
        <v>5093</v>
      </c>
      <c r="D1539" s="144" t="s">
        <v>3376</v>
      </c>
      <c r="E1539" s="150" t="s">
        <v>2466</v>
      </c>
      <c r="F1539" s="144" t="s">
        <v>2477</v>
      </c>
      <c r="G1539" s="166"/>
      <c r="H1539" s="151">
        <v>1</v>
      </c>
      <c r="I1539" s="160">
        <v>500</v>
      </c>
      <c r="J1539" s="159">
        <v>500</v>
      </c>
      <c r="K1539" s="161">
        <v>500</v>
      </c>
      <c r="L1539" s="159">
        <v>500</v>
      </c>
      <c r="M1539" s="160">
        <v>500</v>
      </c>
      <c r="N1539" s="145">
        <v>2000</v>
      </c>
      <c r="O1539" s="156" t="s">
        <v>135</v>
      </c>
      <c r="P1539" s="144" t="s">
        <v>2468</v>
      </c>
      <c r="Q1539" s="147"/>
      <c r="R1539" s="146"/>
      <c r="S1539" s="157"/>
      <c r="T1539" s="144" t="s">
        <v>29</v>
      </c>
      <c r="U1539" s="150" t="s">
        <v>20</v>
      </c>
      <c r="V1539" s="146">
        <v>3117</v>
      </c>
      <c r="W1539" s="148"/>
      <c r="X1539" s="149"/>
      <c r="Y1539" s="165"/>
    </row>
    <row r="1540" spans="1:25">
      <c r="A1540" s="163" t="s">
        <v>7</v>
      </c>
      <c r="B1540" s="144" t="s">
        <v>163</v>
      </c>
      <c r="C1540" s="164" t="s">
        <v>656</v>
      </c>
      <c r="D1540" s="144" t="s">
        <v>657</v>
      </c>
      <c r="E1540" s="150" t="s">
        <v>2491</v>
      </c>
      <c r="F1540" s="144" t="s">
        <v>2477</v>
      </c>
      <c r="G1540" s="166" t="s">
        <v>658</v>
      </c>
      <c r="H1540" s="151">
        <v>38</v>
      </c>
      <c r="I1540" s="160"/>
      <c r="J1540" s="159">
        <v>1.64</v>
      </c>
      <c r="K1540" s="161"/>
      <c r="L1540" s="159">
        <v>62.32</v>
      </c>
      <c r="M1540" s="160">
        <v>62.32</v>
      </c>
      <c r="N1540" s="145"/>
      <c r="O1540" s="156" t="s">
        <v>166</v>
      </c>
      <c r="P1540" s="144" t="s">
        <v>2478</v>
      </c>
      <c r="Q1540" s="147">
        <v>45078</v>
      </c>
      <c r="R1540" s="146">
        <v>2053</v>
      </c>
      <c r="S1540" s="157"/>
      <c r="T1540" s="144" t="s">
        <v>25</v>
      </c>
      <c r="U1540" s="150" t="s">
        <v>2479</v>
      </c>
      <c r="V1540" s="146">
        <v>1865</v>
      </c>
      <c r="W1540" s="148"/>
      <c r="X1540" s="149">
        <v>45689</v>
      </c>
      <c r="Y1540" s="165" t="s">
        <v>2590</v>
      </c>
    </row>
    <row r="1541" spans="1:25">
      <c r="A1541" s="163" t="s">
        <v>7</v>
      </c>
      <c r="B1541" s="144" t="s">
        <v>163</v>
      </c>
      <c r="C1541" s="164" t="s">
        <v>5094</v>
      </c>
      <c r="D1541" s="144" t="s">
        <v>5095</v>
      </c>
      <c r="E1541" s="150" t="s">
        <v>2593</v>
      </c>
      <c r="F1541" s="144" t="s">
        <v>2482</v>
      </c>
      <c r="G1541" s="166" t="s">
        <v>5096</v>
      </c>
      <c r="H1541" s="151">
        <v>1</v>
      </c>
      <c r="I1541" s="160">
        <v>20</v>
      </c>
      <c r="J1541" s="159">
        <v>20</v>
      </c>
      <c r="K1541" s="161">
        <v>20</v>
      </c>
      <c r="L1541" s="159">
        <v>20</v>
      </c>
      <c r="M1541" s="160">
        <v>20</v>
      </c>
      <c r="N1541" s="145"/>
      <c r="O1541" s="156" t="s">
        <v>166</v>
      </c>
      <c r="P1541" s="144" t="s">
        <v>2480</v>
      </c>
      <c r="Q1541" s="147"/>
      <c r="R1541" s="146"/>
      <c r="S1541" s="157"/>
      <c r="T1541" s="144" t="s">
        <v>25</v>
      </c>
      <c r="U1541" s="150" t="s">
        <v>18</v>
      </c>
      <c r="V1541" s="146">
        <v>1254</v>
      </c>
      <c r="W1541" s="148"/>
      <c r="X1541" s="149">
        <v>45566</v>
      </c>
      <c r="Y1541" s="165"/>
    </row>
    <row r="1542" spans="1:25">
      <c r="A1542" s="163" t="s">
        <v>7</v>
      </c>
      <c r="B1542" s="144" t="s">
        <v>163</v>
      </c>
      <c r="C1542" s="164" t="s">
        <v>5097</v>
      </c>
      <c r="D1542" s="144" t="s">
        <v>296</v>
      </c>
      <c r="E1542" s="150" t="s">
        <v>2593</v>
      </c>
      <c r="F1542" s="144" t="s">
        <v>2482</v>
      </c>
      <c r="G1542" s="166" t="s">
        <v>5098</v>
      </c>
      <c r="H1542" s="151">
        <v>1</v>
      </c>
      <c r="I1542" s="160">
        <v>4</v>
      </c>
      <c r="J1542" s="159">
        <v>4</v>
      </c>
      <c r="K1542" s="161">
        <v>4</v>
      </c>
      <c r="L1542" s="159">
        <v>4</v>
      </c>
      <c r="M1542" s="160">
        <v>4</v>
      </c>
      <c r="N1542" s="145"/>
      <c r="O1542" s="156" t="s">
        <v>166</v>
      </c>
      <c r="P1542" s="144" t="s">
        <v>2480</v>
      </c>
      <c r="Q1542" s="147"/>
      <c r="R1542" s="146"/>
      <c r="S1542" s="157"/>
      <c r="T1542" s="144" t="s">
        <v>25</v>
      </c>
      <c r="U1542" s="150" t="s">
        <v>18</v>
      </c>
      <c r="V1542" s="146">
        <v>1255</v>
      </c>
      <c r="W1542" s="148"/>
      <c r="X1542" s="149">
        <v>45566</v>
      </c>
      <c r="Y1542" s="165"/>
    </row>
    <row r="1543" spans="1:25">
      <c r="A1543" s="163" t="s">
        <v>309</v>
      </c>
      <c r="B1543" s="144" t="s">
        <v>2463</v>
      </c>
      <c r="C1543" s="164" t="s">
        <v>5099</v>
      </c>
      <c r="D1543" s="144" t="s">
        <v>5100</v>
      </c>
      <c r="E1543" s="150" t="s">
        <v>2491</v>
      </c>
      <c r="F1543" s="144" t="s">
        <v>2477</v>
      </c>
      <c r="G1543" s="166"/>
      <c r="H1543" s="151">
        <v>1</v>
      </c>
      <c r="I1543" s="160">
        <v>350</v>
      </c>
      <c r="J1543" s="159">
        <v>350</v>
      </c>
      <c r="K1543" s="161">
        <v>350</v>
      </c>
      <c r="L1543" s="159">
        <v>350</v>
      </c>
      <c r="M1543" s="160">
        <v>350</v>
      </c>
      <c r="N1543" s="145"/>
      <c r="O1543" s="156" t="s">
        <v>135</v>
      </c>
      <c r="P1543" s="144" t="s">
        <v>2478</v>
      </c>
      <c r="Q1543" s="147"/>
      <c r="R1543" s="146"/>
      <c r="S1543" s="157"/>
      <c r="T1543" s="144" t="s">
        <v>29</v>
      </c>
      <c r="U1543" s="150" t="s">
        <v>2479</v>
      </c>
      <c r="V1543" s="146">
        <v>2383</v>
      </c>
      <c r="W1543" s="148" t="s">
        <v>5101</v>
      </c>
      <c r="X1543" s="149">
        <v>45689</v>
      </c>
      <c r="Y1543" s="165" t="s">
        <v>2474</v>
      </c>
    </row>
    <row r="1544" spans="1:25">
      <c r="A1544" s="163" t="s">
        <v>309</v>
      </c>
      <c r="B1544" s="144" t="s">
        <v>2463</v>
      </c>
      <c r="C1544" s="164" t="s">
        <v>711</v>
      </c>
      <c r="D1544" s="144" t="s">
        <v>712</v>
      </c>
      <c r="E1544" s="150" t="s">
        <v>2466</v>
      </c>
      <c r="F1544" s="144" t="s">
        <v>2467</v>
      </c>
      <c r="G1544" s="166"/>
      <c r="H1544" s="151">
        <v>1</v>
      </c>
      <c r="I1544" s="160"/>
      <c r="J1544" s="159">
        <v>2.4</v>
      </c>
      <c r="K1544" s="161"/>
      <c r="L1544" s="159">
        <v>2.4</v>
      </c>
      <c r="M1544" s="160">
        <v>2.4</v>
      </c>
      <c r="N1544" s="145">
        <v>400</v>
      </c>
      <c r="O1544" s="156" t="s">
        <v>135</v>
      </c>
      <c r="P1544" s="144" t="s">
        <v>2468</v>
      </c>
      <c r="Q1544" s="147"/>
      <c r="R1544" s="146">
        <v>2062</v>
      </c>
      <c r="S1544" s="157"/>
      <c r="T1544" s="144" t="s">
        <v>29</v>
      </c>
      <c r="U1544" s="150" t="s">
        <v>20</v>
      </c>
      <c r="V1544" s="146">
        <v>2462</v>
      </c>
      <c r="W1544" s="148" t="s">
        <v>5102</v>
      </c>
      <c r="X1544" s="149">
        <v>45689</v>
      </c>
      <c r="Y1544" s="165" t="s">
        <v>2622</v>
      </c>
    </row>
    <row r="1545" spans="1:25">
      <c r="A1545" s="163" t="s">
        <v>309</v>
      </c>
      <c r="B1545" s="144" t="s">
        <v>2463</v>
      </c>
      <c r="C1545" s="164" t="s">
        <v>549</v>
      </c>
      <c r="D1545" s="144" t="s">
        <v>550</v>
      </c>
      <c r="E1545" s="150" t="s">
        <v>2491</v>
      </c>
      <c r="F1545" s="144" t="s">
        <v>2477</v>
      </c>
      <c r="G1545" s="166"/>
      <c r="H1545" s="151">
        <v>1</v>
      </c>
      <c r="I1545" s="160">
        <v>0</v>
      </c>
      <c r="J1545" s="159">
        <v>4.2</v>
      </c>
      <c r="K1545" s="161">
        <v>0</v>
      </c>
      <c r="L1545" s="159">
        <v>4.2</v>
      </c>
      <c r="M1545" s="160">
        <v>4.2</v>
      </c>
      <c r="N1545" s="145"/>
      <c r="O1545" s="156" t="s">
        <v>135</v>
      </c>
      <c r="P1545" s="144" t="s">
        <v>2478</v>
      </c>
      <c r="Q1545" s="147">
        <v>46813</v>
      </c>
      <c r="R1545" s="146">
        <v>2063</v>
      </c>
      <c r="S1545" s="157"/>
      <c r="T1545" s="144" t="s">
        <v>29</v>
      </c>
      <c r="U1545" s="150" t="s">
        <v>2479</v>
      </c>
      <c r="V1545" s="146">
        <v>2290</v>
      </c>
      <c r="W1545" s="148" t="s">
        <v>5103</v>
      </c>
      <c r="X1545" s="149">
        <v>45689</v>
      </c>
      <c r="Y1545" s="165" t="s">
        <v>2622</v>
      </c>
    </row>
    <row r="1546" spans="1:25">
      <c r="A1546" s="163" t="s">
        <v>309</v>
      </c>
      <c r="B1546" s="144" t="s">
        <v>2463</v>
      </c>
      <c r="C1546" s="164" t="s">
        <v>5104</v>
      </c>
      <c r="D1546" s="144" t="s">
        <v>5105</v>
      </c>
      <c r="E1546" s="150" t="s">
        <v>2466</v>
      </c>
      <c r="F1546" s="144" t="s">
        <v>2467</v>
      </c>
      <c r="G1546" s="166"/>
      <c r="H1546" s="151">
        <v>1</v>
      </c>
      <c r="I1546" s="160">
        <v>200</v>
      </c>
      <c r="J1546" s="159">
        <v>200</v>
      </c>
      <c r="K1546" s="161">
        <v>200</v>
      </c>
      <c r="L1546" s="159">
        <v>200</v>
      </c>
      <c r="M1546" s="160">
        <v>200</v>
      </c>
      <c r="N1546" s="145">
        <v>800</v>
      </c>
      <c r="O1546" s="156" t="s">
        <v>135</v>
      </c>
      <c r="P1546" s="144" t="s">
        <v>2468</v>
      </c>
      <c r="Q1546" s="147"/>
      <c r="R1546" s="146"/>
      <c r="S1546" s="157"/>
      <c r="T1546" s="144" t="s">
        <v>29</v>
      </c>
      <c r="U1546" s="150" t="s">
        <v>20</v>
      </c>
      <c r="V1546" s="146">
        <v>2938</v>
      </c>
      <c r="W1546" s="148"/>
      <c r="X1546" s="149"/>
      <c r="Y1546" s="165" t="s">
        <v>2541</v>
      </c>
    </row>
    <row r="1547" spans="1:25">
      <c r="A1547" s="163" t="s">
        <v>380</v>
      </c>
      <c r="B1547" s="144" t="s">
        <v>2463</v>
      </c>
      <c r="C1547" s="164" t="s">
        <v>5106</v>
      </c>
      <c r="D1547" s="144" t="s">
        <v>1215</v>
      </c>
      <c r="E1547" s="150" t="s">
        <v>2476</v>
      </c>
      <c r="F1547" s="144" t="s">
        <v>2477</v>
      </c>
      <c r="G1547" s="166"/>
      <c r="H1547" s="151">
        <v>32</v>
      </c>
      <c r="I1547" s="160">
        <v>6</v>
      </c>
      <c r="J1547" s="159">
        <v>6</v>
      </c>
      <c r="K1547" s="161">
        <v>192</v>
      </c>
      <c r="L1547" s="159">
        <v>192</v>
      </c>
      <c r="M1547" s="160">
        <v>192</v>
      </c>
      <c r="N1547" s="145"/>
      <c r="O1547" s="156" t="s">
        <v>135</v>
      </c>
      <c r="P1547" s="144" t="s">
        <v>2478</v>
      </c>
      <c r="Q1547" s="147"/>
      <c r="R1547" s="146"/>
      <c r="S1547" s="157"/>
      <c r="T1547" s="144" t="s">
        <v>29</v>
      </c>
      <c r="U1547" s="150" t="s">
        <v>2479</v>
      </c>
      <c r="V1547" s="146">
        <v>2783</v>
      </c>
      <c r="W1547" s="148" t="s">
        <v>5107</v>
      </c>
      <c r="X1547" s="149">
        <v>45901</v>
      </c>
      <c r="Y1547" s="165" t="s">
        <v>2490</v>
      </c>
    </row>
    <row r="1548" spans="1:25" ht="20.6">
      <c r="A1548" s="163" t="s">
        <v>423</v>
      </c>
      <c r="B1548" s="144" t="s">
        <v>163</v>
      </c>
      <c r="C1548" s="164" t="s">
        <v>881</v>
      </c>
      <c r="D1548" s="144" t="s">
        <v>882</v>
      </c>
      <c r="E1548" s="150" t="s">
        <v>2639</v>
      </c>
      <c r="F1548" s="144" t="s">
        <v>3889</v>
      </c>
      <c r="G1548" s="166" t="s">
        <v>5108</v>
      </c>
      <c r="H1548" s="151">
        <v>1</v>
      </c>
      <c r="I1548" s="160"/>
      <c r="J1548" s="159">
        <v>350</v>
      </c>
      <c r="K1548" s="161"/>
      <c r="L1548" s="159">
        <v>350</v>
      </c>
      <c r="M1548" s="160">
        <v>350</v>
      </c>
      <c r="N1548" s="145"/>
      <c r="O1548" s="156" t="s">
        <v>3313</v>
      </c>
      <c r="P1548" s="144" t="s">
        <v>2468</v>
      </c>
      <c r="Q1548" s="147"/>
      <c r="R1548" s="146">
        <v>2028</v>
      </c>
      <c r="S1548" s="157">
        <v>46935</v>
      </c>
      <c r="T1548" s="144" t="s">
        <v>24</v>
      </c>
      <c r="U1548" s="150" t="s">
        <v>12</v>
      </c>
      <c r="V1548" s="146">
        <v>1247</v>
      </c>
      <c r="W1548" s="148"/>
      <c r="X1548" s="149">
        <v>45689</v>
      </c>
      <c r="Y1548" s="165" t="s">
        <v>2558</v>
      </c>
    </row>
    <row r="1549" spans="1:25" ht="20.6">
      <c r="A1549" s="163" t="s">
        <v>423</v>
      </c>
      <c r="B1549" s="144" t="s">
        <v>163</v>
      </c>
      <c r="C1549" s="164" t="s">
        <v>881</v>
      </c>
      <c r="D1549" s="144" t="s">
        <v>882</v>
      </c>
      <c r="E1549" s="150" t="s">
        <v>2639</v>
      </c>
      <c r="F1549" s="144" t="s">
        <v>3889</v>
      </c>
      <c r="G1549" s="166" t="s">
        <v>5109</v>
      </c>
      <c r="H1549" s="151">
        <v>1</v>
      </c>
      <c r="I1549" s="160"/>
      <c r="J1549" s="159">
        <v>350</v>
      </c>
      <c r="K1549" s="161"/>
      <c r="L1549" s="159">
        <v>350</v>
      </c>
      <c r="M1549" s="160">
        <v>350</v>
      </c>
      <c r="N1549" s="145"/>
      <c r="O1549" s="156" t="s">
        <v>3313</v>
      </c>
      <c r="P1549" s="144" t="s">
        <v>2468</v>
      </c>
      <c r="Q1549" s="147"/>
      <c r="R1549" s="146">
        <v>2028</v>
      </c>
      <c r="S1549" s="157">
        <v>46935</v>
      </c>
      <c r="T1549" s="144" t="s">
        <v>24</v>
      </c>
      <c r="U1549" s="150" t="s">
        <v>12</v>
      </c>
      <c r="V1549" s="146">
        <v>1247</v>
      </c>
      <c r="W1549" s="148"/>
      <c r="X1549" s="149">
        <v>45689</v>
      </c>
      <c r="Y1549" s="165" t="s">
        <v>2558</v>
      </c>
    </row>
    <row r="1550" spans="1:25" ht="20.6">
      <c r="A1550" s="163" t="s">
        <v>423</v>
      </c>
      <c r="B1550" s="144" t="s">
        <v>163</v>
      </c>
      <c r="C1550" s="164" t="s">
        <v>881</v>
      </c>
      <c r="D1550" s="144" t="s">
        <v>882</v>
      </c>
      <c r="E1550" s="150" t="s">
        <v>2639</v>
      </c>
      <c r="F1550" s="144" t="s">
        <v>3889</v>
      </c>
      <c r="G1550" s="166" t="s">
        <v>5110</v>
      </c>
      <c r="H1550" s="151">
        <v>1</v>
      </c>
      <c r="I1550" s="160"/>
      <c r="J1550" s="159">
        <v>375</v>
      </c>
      <c r="K1550" s="161"/>
      <c r="L1550" s="159">
        <v>375</v>
      </c>
      <c r="M1550" s="160">
        <v>375</v>
      </c>
      <c r="N1550" s="145"/>
      <c r="O1550" s="156" t="s">
        <v>3313</v>
      </c>
      <c r="P1550" s="144" t="s">
        <v>2468</v>
      </c>
      <c r="Q1550" s="147"/>
      <c r="R1550" s="146">
        <v>2028</v>
      </c>
      <c r="S1550" s="157">
        <v>46935</v>
      </c>
      <c r="T1550" s="144" t="s">
        <v>24</v>
      </c>
      <c r="U1550" s="150" t="s">
        <v>12</v>
      </c>
      <c r="V1550" s="146">
        <v>1247</v>
      </c>
      <c r="W1550" s="148"/>
      <c r="X1550" s="149">
        <v>45689</v>
      </c>
      <c r="Y1550" s="165" t="s">
        <v>2558</v>
      </c>
    </row>
    <row r="1551" spans="1:25" ht="20.6">
      <c r="A1551" s="163" t="s">
        <v>423</v>
      </c>
      <c r="B1551" s="144" t="s">
        <v>163</v>
      </c>
      <c r="C1551" s="164" t="s">
        <v>881</v>
      </c>
      <c r="D1551" s="144" t="s">
        <v>882</v>
      </c>
      <c r="E1551" s="150" t="s">
        <v>2639</v>
      </c>
      <c r="F1551" s="144" t="s">
        <v>3889</v>
      </c>
      <c r="G1551" s="166" t="s">
        <v>5111</v>
      </c>
      <c r="H1551" s="151">
        <v>1</v>
      </c>
      <c r="I1551" s="160"/>
      <c r="J1551" s="159">
        <v>375</v>
      </c>
      <c r="K1551" s="161"/>
      <c r="L1551" s="159">
        <v>375</v>
      </c>
      <c r="M1551" s="160">
        <v>375</v>
      </c>
      <c r="N1551" s="145"/>
      <c r="O1551" s="156" t="s">
        <v>3313</v>
      </c>
      <c r="P1551" s="144" t="s">
        <v>2468</v>
      </c>
      <c r="Q1551" s="147"/>
      <c r="R1551" s="146">
        <v>2028</v>
      </c>
      <c r="S1551" s="157">
        <v>46935</v>
      </c>
      <c r="T1551" s="144" t="s">
        <v>24</v>
      </c>
      <c r="U1551" s="150" t="s">
        <v>12</v>
      </c>
      <c r="V1551" s="146">
        <v>1247</v>
      </c>
      <c r="W1551" s="148"/>
      <c r="X1551" s="149">
        <v>45689</v>
      </c>
      <c r="Y1551" s="165" t="s">
        <v>2558</v>
      </c>
    </row>
    <row r="1552" spans="1:25">
      <c r="A1552" s="163" t="s">
        <v>423</v>
      </c>
      <c r="B1552" s="144" t="s">
        <v>163</v>
      </c>
      <c r="C1552" s="164" t="s">
        <v>5112</v>
      </c>
      <c r="D1552" s="144" t="s">
        <v>5113</v>
      </c>
      <c r="E1552" s="150" t="s">
        <v>2485</v>
      </c>
      <c r="F1552" s="144" t="s">
        <v>2486</v>
      </c>
      <c r="G1552" s="166" t="s">
        <v>5114</v>
      </c>
      <c r="H1552" s="151">
        <v>14</v>
      </c>
      <c r="I1552" s="160">
        <v>2.0499999999999998</v>
      </c>
      <c r="J1552" s="159">
        <v>2.0499999999999998</v>
      </c>
      <c r="K1552" s="161">
        <v>28.7</v>
      </c>
      <c r="L1552" s="159">
        <v>28.7</v>
      </c>
      <c r="M1552" s="160">
        <v>28.7</v>
      </c>
      <c r="N1552" s="145"/>
      <c r="O1552" s="156" t="s">
        <v>166</v>
      </c>
      <c r="P1552" s="144" t="s">
        <v>2480</v>
      </c>
      <c r="Q1552" s="147"/>
      <c r="R1552" s="146">
        <v>2047</v>
      </c>
      <c r="S1552" s="157"/>
      <c r="T1552" s="144" t="s">
        <v>25</v>
      </c>
      <c r="U1552" s="150" t="s">
        <v>17</v>
      </c>
      <c r="V1552" s="146">
        <v>1567</v>
      </c>
      <c r="W1552" s="148"/>
      <c r="X1552" s="149">
        <v>45566</v>
      </c>
      <c r="Y1552" s="165" t="s">
        <v>3585</v>
      </c>
    </row>
    <row r="1553" spans="1:25">
      <c r="A1553" s="163" t="s">
        <v>7</v>
      </c>
      <c r="B1553" s="144" t="s">
        <v>2463</v>
      </c>
      <c r="C1553" s="164" t="s">
        <v>5115</v>
      </c>
      <c r="D1553" s="144" t="s">
        <v>2997</v>
      </c>
      <c r="E1553" s="150" t="s">
        <v>2466</v>
      </c>
      <c r="F1553" s="144" t="s">
        <v>2467</v>
      </c>
      <c r="G1553" s="166"/>
      <c r="H1553" s="151">
        <v>1</v>
      </c>
      <c r="I1553" s="160"/>
      <c r="J1553" s="159">
        <v>100</v>
      </c>
      <c r="K1553" s="161"/>
      <c r="L1553" s="159">
        <v>100</v>
      </c>
      <c r="M1553" s="160">
        <v>100</v>
      </c>
      <c r="N1553" s="145">
        <v>800</v>
      </c>
      <c r="O1553" s="156" t="s">
        <v>135</v>
      </c>
      <c r="P1553" s="144" t="s">
        <v>2468</v>
      </c>
      <c r="Q1553" s="147"/>
      <c r="R1553" s="146"/>
      <c r="S1553" s="157"/>
      <c r="T1553" s="144" t="s">
        <v>29</v>
      </c>
      <c r="U1553" s="150" t="s">
        <v>20</v>
      </c>
      <c r="V1553" s="146">
        <v>2952</v>
      </c>
      <c r="W1553" s="148"/>
      <c r="X1553" s="149"/>
      <c r="Y1553" s="165" t="s">
        <v>2474</v>
      </c>
    </row>
    <row r="1554" spans="1:25">
      <c r="A1554" s="163" t="s">
        <v>7</v>
      </c>
      <c r="B1554" s="144" t="s">
        <v>2463</v>
      </c>
      <c r="C1554" s="164" t="s">
        <v>5116</v>
      </c>
      <c r="D1554" s="144" t="s">
        <v>2997</v>
      </c>
      <c r="E1554" s="150" t="s">
        <v>2485</v>
      </c>
      <c r="F1554" s="144" t="s">
        <v>2486</v>
      </c>
      <c r="G1554" s="166"/>
      <c r="H1554" s="151">
        <v>1</v>
      </c>
      <c r="I1554" s="160"/>
      <c r="J1554" s="159">
        <v>200</v>
      </c>
      <c r="K1554" s="161"/>
      <c r="L1554" s="159">
        <v>200</v>
      </c>
      <c r="M1554" s="160">
        <v>200</v>
      </c>
      <c r="N1554" s="145"/>
      <c r="O1554" s="156" t="s">
        <v>135</v>
      </c>
      <c r="P1554" s="144" t="s">
        <v>2478</v>
      </c>
      <c r="Q1554" s="147"/>
      <c r="R1554" s="146"/>
      <c r="S1554" s="157"/>
      <c r="T1554" s="144" t="s">
        <v>29</v>
      </c>
      <c r="U1554" s="150" t="s">
        <v>17</v>
      </c>
      <c r="V1554" s="146">
        <v>2953</v>
      </c>
      <c r="W1554" s="148"/>
      <c r="X1554" s="149"/>
      <c r="Y1554" s="165" t="s">
        <v>2474</v>
      </c>
    </row>
    <row r="1555" spans="1:25">
      <c r="A1555" s="163" t="s">
        <v>423</v>
      </c>
      <c r="B1555" s="144" t="s">
        <v>163</v>
      </c>
      <c r="C1555" s="164" t="s">
        <v>5117</v>
      </c>
      <c r="D1555" s="144" t="s">
        <v>4723</v>
      </c>
      <c r="E1555" s="150" t="s">
        <v>2485</v>
      </c>
      <c r="F1555" s="144" t="s">
        <v>2486</v>
      </c>
      <c r="G1555" s="166" t="s">
        <v>5118</v>
      </c>
      <c r="H1555" s="151">
        <v>20</v>
      </c>
      <c r="I1555" s="160">
        <v>1.5</v>
      </c>
      <c r="J1555" s="159">
        <v>1.5</v>
      </c>
      <c r="K1555" s="161">
        <v>30</v>
      </c>
      <c r="L1555" s="159">
        <v>30</v>
      </c>
      <c r="M1555" s="160">
        <v>30</v>
      </c>
      <c r="N1555" s="145"/>
      <c r="O1555" s="156" t="s">
        <v>166</v>
      </c>
      <c r="P1555" s="144" t="s">
        <v>2480</v>
      </c>
      <c r="Q1555" s="147"/>
      <c r="R1555" s="146">
        <v>2031</v>
      </c>
      <c r="S1555" s="157"/>
      <c r="T1555" s="144" t="s">
        <v>25</v>
      </c>
      <c r="U1555" s="150" t="s">
        <v>17</v>
      </c>
      <c r="V1555" s="146">
        <v>1164</v>
      </c>
      <c r="W1555" s="148"/>
      <c r="X1555" s="149">
        <v>45901</v>
      </c>
      <c r="Y1555" s="165" t="s">
        <v>2660</v>
      </c>
    </row>
    <row r="1556" spans="1:25">
      <c r="A1556" s="163" t="s">
        <v>7</v>
      </c>
      <c r="B1556" s="144" t="s">
        <v>2463</v>
      </c>
      <c r="C1556" s="164" t="s">
        <v>307</v>
      </c>
      <c r="D1556" s="144" t="s">
        <v>308</v>
      </c>
      <c r="E1556" s="150" t="s">
        <v>2466</v>
      </c>
      <c r="F1556" s="144" t="s">
        <v>2467</v>
      </c>
      <c r="G1556" s="166"/>
      <c r="H1556" s="151">
        <v>1</v>
      </c>
      <c r="I1556" s="160">
        <v>250</v>
      </c>
      <c r="J1556" s="159">
        <v>250</v>
      </c>
      <c r="K1556" s="161">
        <v>250</v>
      </c>
      <c r="L1556" s="159">
        <v>250</v>
      </c>
      <c r="M1556" s="160">
        <v>250</v>
      </c>
      <c r="N1556" s="145">
        <v>250</v>
      </c>
      <c r="O1556" s="156" t="s">
        <v>28</v>
      </c>
      <c r="P1556" s="144" t="s">
        <v>2468</v>
      </c>
      <c r="Q1556" s="147">
        <v>46722</v>
      </c>
      <c r="R1556" s="146">
        <v>2048</v>
      </c>
      <c r="S1556" s="157"/>
      <c r="T1556" s="144" t="s">
        <v>28</v>
      </c>
      <c r="U1556" s="150" t="s">
        <v>20</v>
      </c>
      <c r="V1556" s="146">
        <v>2594</v>
      </c>
      <c r="W1556" s="148" t="s">
        <v>5119</v>
      </c>
      <c r="X1556" s="149">
        <v>45689</v>
      </c>
      <c r="Y1556" s="165" t="s">
        <v>2609</v>
      </c>
    </row>
    <row r="1557" spans="1:25">
      <c r="A1557" s="163" t="s">
        <v>7</v>
      </c>
      <c r="B1557" s="144" t="s">
        <v>2463</v>
      </c>
      <c r="C1557" s="164" t="s">
        <v>5120</v>
      </c>
      <c r="D1557" s="144" t="s">
        <v>645</v>
      </c>
      <c r="E1557" s="150" t="s">
        <v>2485</v>
      </c>
      <c r="F1557" s="144" t="s">
        <v>2486</v>
      </c>
      <c r="G1557" s="166"/>
      <c r="H1557" s="151">
        <v>208</v>
      </c>
      <c r="I1557" s="160"/>
      <c r="J1557" s="159">
        <v>7.2</v>
      </c>
      <c r="K1557" s="161"/>
      <c r="L1557" s="159">
        <v>1497.6</v>
      </c>
      <c r="M1557" s="160">
        <v>1497.6</v>
      </c>
      <c r="N1557" s="145"/>
      <c r="O1557" s="156" t="s">
        <v>135</v>
      </c>
      <c r="P1557" s="144" t="s">
        <v>2478</v>
      </c>
      <c r="Q1557" s="147"/>
      <c r="R1557" s="146"/>
      <c r="S1557" s="157"/>
      <c r="T1557" s="144" t="s">
        <v>29</v>
      </c>
      <c r="U1557" s="150" t="s">
        <v>17</v>
      </c>
      <c r="V1557" s="146">
        <v>2266</v>
      </c>
      <c r="W1557" s="148" t="s">
        <v>5121</v>
      </c>
      <c r="X1557" s="149">
        <v>45689</v>
      </c>
      <c r="Y1557" s="165" t="s">
        <v>3241</v>
      </c>
    </row>
    <row r="1558" spans="1:25">
      <c r="A1558" s="184" t="s">
        <v>7</v>
      </c>
      <c r="B1558" s="185" t="s">
        <v>2463</v>
      </c>
      <c r="C1558" s="186" t="s">
        <v>1228</v>
      </c>
      <c r="D1558" s="187" t="s">
        <v>1002</v>
      </c>
      <c r="E1558" s="188" t="s">
        <v>2491</v>
      </c>
      <c r="F1558" s="189" t="s">
        <v>2477</v>
      </c>
      <c r="G1558" s="166"/>
      <c r="H1558" s="190">
        <v>1</v>
      </c>
      <c r="I1558" s="191">
        <v>0</v>
      </c>
      <c r="J1558" s="192">
        <v>60</v>
      </c>
      <c r="K1558" s="193">
        <v>0</v>
      </c>
      <c r="L1558" s="192">
        <v>60</v>
      </c>
      <c r="M1558" s="191">
        <v>60</v>
      </c>
      <c r="N1558" s="145"/>
      <c r="O1558" s="156" t="s">
        <v>135</v>
      </c>
      <c r="P1558" s="194" t="s">
        <v>2478</v>
      </c>
      <c r="Q1558" s="147">
        <v>46508</v>
      </c>
      <c r="R1558" s="146">
        <v>2045</v>
      </c>
      <c r="S1558" s="157"/>
      <c r="T1558" s="189" t="s">
        <v>29</v>
      </c>
      <c r="U1558" s="188" t="s">
        <v>2479</v>
      </c>
      <c r="V1558" s="195">
        <v>1928</v>
      </c>
      <c r="W1558" s="196"/>
      <c r="X1558" s="197">
        <v>45778</v>
      </c>
      <c r="Y1558" s="198" t="s">
        <v>4522</v>
      </c>
    </row>
    <row r="1559" spans="1:25">
      <c r="A1559" s="184" t="s">
        <v>7</v>
      </c>
      <c r="B1559" s="185" t="s">
        <v>2463</v>
      </c>
      <c r="C1559" s="186" t="s">
        <v>5122</v>
      </c>
      <c r="D1559" s="187" t="s">
        <v>1002</v>
      </c>
      <c r="E1559" s="188" t="s">
        <v>2491</v>
      </c>
      <c r="F1559" s="189" t="s">
        <v>2477</v>
      </c>
      <c r="G1559" s="166"/>
      <c r="H1559" s="190">
        <v>161</v>
      </c>
      <c r="I1559" s="191">
        <v>3.63</v>
      </c>
      <c r="J1559" s="192">
        <v>3.63</v>
      </c>
      <c r="K1559" s="193">
        <v>584.42999999999995</v>
      </c>
      <c r="L1559" s="192">
        <v>584.42999999999995</v>
      </c>
      <c r="M1559" s="191">
        <v>584.42999999999995</v>
      </c>
      <c r="N1559" s="145"/>
      <c r="O1559" s="156" t="s">
        <v>135</v>
      </c>
      <c r="P1559" s="194" t="s">
        <v>2478</v>
      </c>
      <c r="Q1559" s="147">
        <v>47300</v>
      </c>
      <c r="R1559" s="146"/>
      <c r="S1559" s="157"/>
      <c r="T1559" s="189" t="s">
        <v>29</v>
      </c>
      <c r="U1559" s="188" t="s">
        <v>2479</v>
      </c>
      <c r="V1559" s="195">
        <v>1484</v>
      </c>
      <c r="W1559" s="196"/>
      <c r="X1559" s="197">
        <v>45778</v>
      </c>
      <c r="Y1559" s="198" t="s">
        <v>5123</v>
      </c>
    </row>
    <row r="1560" spans="1:25">
      <c r="A1560" s="184" t="s">
        <v>309</v>
      </c>
      <c r="B1560" s="185" t="s">
        <v>163</v>
      </c>
      <c r="C1560" s="186" t="s">
        <v>1625</v>
      </c>
      <c r="D1560" s="187" t="s">
        <v>1626</v>
      </c>
      <c r="E1560" s="188" t="s">
        <v>2491</v>
      </c>
      <c r="F1560" s="189" t="s">
        <v>2477</v>
      </c>
      <c r="G1560" s="166" t="s">
        <v>1627</v>
      </c>
      <c r="H1560" s="190">
        <v>44</v>
      </c>
      <c r="I1560" s="191">
        <v>0</v>
      </c>
      <c r="J1560" s="192">
        <v>2.75</v>
      </c>
      <c r="K1560" s="193">
        <v>0</v>
      </c>
      <c r="L1560" s="192">
        <v>121</v>
      </c>
      <c r="M1560" s="191">
        <v>121</v>
      </c>
      <c r="N1560" s="145"/>
      <c r="O1560" s="156" t="s">
        <v>166</v>
      </c>
      <c r="P1560" s="194" t="s">
        <v>2478</v>
      </c>
      <c r="Q1560" s="147">
        <v>43952</v>
      </c>
      <c r="R1560" s="146">
        <v>2044</v>
      </c>
      <c r="S1560" s="157"/>
      <c r="T1560" s="189" t="s">
        <v>25</v>
      </c>
      <c r="U1560" s="188" t="s">
        <v>2479</v>
      </c>
      <c r="V1560" s="195">
        <v>1599</v>
      </c>
      <c r="W1560" s="196"/>
      <c r="X1560" s="197">
        <v>45778</v>
      </c>
      <c r="Y1560" s="198" t="s">
        <v>5124</v>
      </c>
    </row>
    <row r="1561" spans="1:25">
      <c r="A1561" s="184" t="s">
        <v>423</v>
      </c>
      <c r="B1561" s="185" t="s">
        <v>163</v>
      </c>
      <c r="C1561" s="186" t="s">
        <v>5125</v>
      </c>
      <c r="D1561" s="187" t="s">
        <v>1511</v>
      </c>
      <c r="E1561" s="188" t="s">
        <v>2593</v>
      </c>
      <c r="F1561" s="189" t="s">
        <v>2482</v>
      </c>
      <c r="G1561" s="166" t="s">
        <v>5126</v>
      </c>
      <c r="H1561" s="190">
        <v>2</v>
      </c>
      <c r="I1561" s="191"/>
      <c r="J1561" s="192">
        <v>4.75</v>
      </c>
      <c r="K1561" s="193"/>
      <c r="L1561" s="192">
        <v>9.5</v>
      </c>
      <c r="M1561" s="191">
        <v>9.5</v>
      </c>
      <c r="N1561" s="145"/>
      <c r="O1561" s="156" t="s">
        <v>166</v>
      </c>
      <c r="P1561" s="194" t="s">
        <v>2480</v>
      </c>
      <c r="Q1561" s="147"/>
      <c r="R1561" s="146"/>
      <c r="S1561" s="157"/>
      <c r="T1561" s="189" t="s">
        <v>25</v>
      </c>
      <c r="U1561" s="188" t="s">
        <v>18</v>
      </c>
      <c r="V1561" s="195">
        <v>1256</v>
      </c>
      <c r="W1561" s="196"/>
      <c r="X1561" s="197">
        <v>45566</v>
      </c>
      <c r="Y1561" s="198" t="s">
        <v>2558</v>
      </c>
    </row>
    <row r="1562" spans="1:25">
      <c r="A1562" s="184" t="s">
        <v>309</v>
      </c>
      <c r="B1562" s="185" t="s">
        <v>163</v>
      </c>
      <c r="C1562" s="186" t="s">
        <v>5127</v>
      </c>
      <c r="D1562" s="187" t="s">
        <v>5128</v>
      </c>
      <c r="E1562" s="188" t="s">
        <v>3100</v>
      </c>
      <c r="F1562" s="189" t="s">
        <v>2556</v>
      </c>
      <c r="G1562" s="166" t="s">
        <v>5129</v>
      </c>
      <c r="H1562" s="190">
        <v>1</v>
      </c>
      <c r="I1562" s="191">
        <v>120</v>
      </c>
      <c r="J1562" s="192">
        <v>180</v>
      </c>
      <c r="K1562" s="193">
        <v>120</v>
      </c>
      <c r="L1562" s="192">
        <v>180</v>
      </c>
      <c r="M1562" s="191">
        <v>180</v>
      </c>
      <c r="N1562" s="145"/>
      <c r="O1562" s="156" t="s">
        <v>166</v>
      </c>
      <c r="P1562" s="194" t="s">
        <v>2480</v>
      </c>
      <c r="Q1562" s="147">
        <v>41061</v>
      </c>
      <c r="R1562" s="146">
        <v>2050</v>
      </c>
      <c r="S1562" s="157"/>
      <c r="T1562" s="189" t="s">
        <v>25</v>
      </c>
      <c r="U1562" s="188" t="s">
        <v>13</v>
      </c>
      <c r="V1562" s="195">
        <v>1257</v>
      </c>
      <c r="W1562" s="196"/>
      <c r="X1562" s="197">
        <v>45901</v>
      </c>
      <c r="Y1562" s="198" t="s">
        <v>2578</v>
      </c>
    </row>
    <row r="1563" spans="1:25">
      <c r="A1563" s="184" t="s">
        <v>423</v>
      </c>
      <c r="B1563" s="185" t="s">
        <v>163</v>
      </c>
      <c r="C1563" s="186" t="s">
        <v>1602</v>
      </c>
      <c r="D1563" s="187" t="s">
        <v>1603</v>
      </c>
      <c r="E1563" s="188" t="s">
        <v>2491</v>
      </c>
      <c r="F1563" s="189" t="s">
        <v>2477</v>
      </c>
      <c r="G1563" s="166" t="s">
        <v>1604</v>
      </c>
      <c r="H1563" s="190">
        <v>16</v>
      </c>
      <c r="I1563" s="191"/>
      <c r="J1563" s="192">
        <v>2.75</v>
      </c>
      <c r="K1563" s="193"/>
      <c r="L1563" s="192">
        <v>44</v>
      </c>
      <c r="M1563" s="191">
        <v>44</v>
      </c>
      <c r="N1563" s="145"/>
      <c r="O1563" s="156" t="s">
        <v>166</v>
      </c>
      <c r="P1563" s="194" t="s">
        <v>2478</v>
      </c>
      <c r="Q1563" s="147"/>
      <c r="R1563" s="146">
        <v>2050</v>
      </c>
      <c r="S1563" s="157"/>
      <c r="T1563" s="189" t="s">
        <v>25</v>
      </c>
      <c r="U1563" s="188" t="s">
        <v>2479</v>
      </c>
      <c r="V1563" s="195">
        <v>1423</v>
      </c>
      <c r="W1563" s="196"/>
      <c r="X1563" s="197">
        <v>45689</v>
      </c>
      <c r="Y1563" s="198" t="s">
        <v>2787</v>
      </c>
    </row>
    <row r="1564" spans="1:25">
      <c r="A1564" s="184" t="s">
        <v>423</v>
      </c>
      <c r="B1564" s="185" t="s">
        <v>163</v>
      </c>
      <c r="C1564" s="186" t="s">
        <v>1602</v>
      </c>
      <c r="D1564" s="187" t="s">
        <v>1603</v>
      </c>
      <c r="E1564" s="188" t="s">
        <v>2491</v>
      </c>
      <c r="F1564" s="189" t="s">
        <v>2477</v>
      </c>
      <c r="G1564" s="166" t="s">
        <v>1604</v>
      </c>
      <c r="H1564" s="190">
        <v>20</v>
      </c>
      <c r="I1564" s="191"/>
      <c r="J1564" s="192">
        <v>2.5</v>
      </c>
      <c r="K1564" s="193"/>
      <c r="L1564" s="192">
        <v>50</v>
      </c>
      <c r="M1564" s="191">
        <v>50</v>
      </c>
      <c r="N1564" s="145"/>
      <c r="O1564" s="156" t="s">
        <v>166</v>
      </c>
      <c r="P1564" s="194" t="s">
        <v>2478</v>
      </c>
      <c r="Q1564" s="147"/>
      <c r="R1564" s="146">
        <v>2050</v>
      </c>
      <c r="S1564" s="157"/>
      <c r="T1564" s="189" t="s">
        <v>25</v>
      </c>
      <c r="U1564" s="188" t="s">
        <v>2479</v>
      </c>
      <c r="V1564" s="195">
        <v>1423</v>
      </c>
      <c r="W1564" s="196"/>
      <c r="X1564" s="197">
        <v>45689</v>
      </c>
      <c r="Y1564" s="198" t="s">
        <v>2787</v>
      </c>
    </row>
    <row r="1565" spans="1:25">
      <c r="A1565" s="184" t="s">
        <v>423</v>
      </c>
      <c r="B1565" s="185" t="s">
        <v>163</v>
      </c>
      <c r="C1565" s="186" t="s">
        <v>5130</v>
      </c>
      <c r="D1565" s="187" t="s">
        <v>5131</v>
      </c>
      <c r="E1565" s="188" t="s">
        <v>2485</v>
      </c>
      <c r="F1565" s="189" t="s">
        <v>2486</v>
      </c>
      <c r="G1565" s="166" t="s">
        <v>5132</v>
      </c>
      <c r="H1565" s="190">
        <v>2</v>
      </c>
      <c r="I1565" s="191">
        <v>3.6</v>
      </c>
      <c r="J1565" s="192">
        <v>3.6</v>
      </c>
      <c r="K1565" s="193">
        <v>7.2</v>
      </c>
      <c r="L1565" s="192">
        <v>7.2</v>
      </c>
      <c r="M1565" s="191">
        <v>7.2</v>
      </c>
      <c r="N1565" s="145"/>
      <c r="O1565" s="156" t="s">
        <v>166</v>
      </c>
      <c r="P1565" s="194" t="s">
        <v>2480</v>
      </c>
      <c r="Q1565" s="147">
        <v>43435</v>
      </c>
      <c r="R1565" s="146">
        <v>2048</v>
      </c>
      <c r="S1565" s="157"/>
      <c r="T1565" s="189" t="s">
        <v>25</v>
      </c>
      <c r="U1565" s="188" t="s">
        <v>17</v>
      </c>
      <c r="V1565" s="195">
        <v>1495</v>
      </c>
      <c r="W1565" s="196"/>
      <c r="X1565" s="197">
        <v>45566</v>
      </c>
      <c r="Y1565" s="198" t="s">
        <v>5133</v>
      </c>
    </row>
    <row r="1566" spans="1:25">
      <c r="A1566" s="184" t="s">
        <v>309</v>
      </c>
      <c r="B1566" s="185" t="s">
        <v>2463</v>
      </c>
      <c r="C1566" s="186" t="s">
        <v>5134</v>
      </c>
      <c r="D1566" s="187" t="s">
        <v>5135</v>
      </c>
      <c r="E1566" s="188" t="s">
        <v>2476</v>
      </c>
      <c r="F1566" s="189" t="s">
        <v>2477</v>
      </c>
      <c r="G1566" s="166"/>
      <c r="H1566" s="190">
        <v>100</v>
      </c>
      <c r="I1566" s="191"/>
      <c r="J1566" s="192">
        <v>4</v>
      </c>
      <c r="K1566" s="193"/>
      <c r="L1566" s="192">
        <v>400</v>
      </c>
      <c r="M1566" s="191">
        <v>400</v>
      </c>
      <c r="N1566" s="145"/>
      <c r="O1566" s="156" t="s">
        <v>135</v>
      </c>
      <c r="P1566" s="194" t="s">
        <v>2478</v>
      </c>
      <c r="Q1566" s="147"/>
      <c r="R1566" s="146"/>
      <c r="S1566" s="157"/>
      <c r="T1566" s="189" t="s">
        <v>29</v>
      </c>
      <c r="U1566" s="188" t="s">
        <v>2479</v>
      </c>
      <c r="V1566" s="195">
        <v>2784</v>
      </c>
      <c r="W1566" s="196" t="s">
        <v>5136</v>
      </c>
      <c r="X1566" s="197">
        <v>45901</v>
      </c>
      <c r="Y1566" s="198" t="s">
        <v>2589</v>
      </c>
    </row>
    <row r="1567" spans="1:25">
      <c r="A1567" s="184" t="s">
        <v>309</v>
      </c>
      <c r="B1567" s="185" t="s">
        <v>2463</v>
      </c>
      <c r="C1567" s="186" t="s">
        <v>5134</v>
      </c>
      <c r="D1567" s="187" t="s">
        <v>5135</v>
      </c>
      <c r="E1567" s="188" t="s">
        <v>2466</v>
      </c>
      <c r="F1567" s="189" t="s">
        <v>2467</v>
      </c>
      <c r="G1567" s="166"/>
      <c r="H1567" s="190">
        <v>1</v>
      </c>
      <c r="I1567" s="191"/>
      <c r="J1567" s="192">
        <v>400</v>
      </c>
      <c r="K1567" s="193"/>
      <c r="L1567" s="192">
        <v>400</v>
      </c>
      <c r="M1567" s="191">
        <v>400</v>
      </c>
      <c r="N1567" s="145">
        <v>1600</v>
      </c>
      <c r="O1567" s="156" t="s">
        <v>135</v>
      </c>
      <c r="P1567" s="194" t="s">
        <v>2468</v>
      </c>
      <c r="Q1567" s="147"/>
      <c r="R1567" s="146"/>
      <c r="S1567" s="157"/>
      <c r="T1567" s="189" t="s">
        <v>29</v>
      </c>
      <c r="U1567" s="188" t="s">
        <v>20</v>
      </c>
      <c r="V1567" s="195">
        <v>2784</v>
      </c>
      <c r="W1567" s="196" t="s">
        <v>5136</v>
      </c>
      <c r="X1567" s="197">
        <v>45901</v>
      </c>
      <c r="Y1567" s="198" t="s">
        <v>2589</v>
      </c>
    </row>
    <row r="1568" spans="1:25">
      <c r="A1568" s="184" t="s">
        <v>423</v>
      </c>
      <c r="B1568" s="185" t="s">
        <v>163</v>
      </c>
      <c r="C1568" s="186" t="s">
        <v>1507</v>
      </c>
      <c r="D1568" s="187" t="s">
        <v>1508</v>
      </c>
      <c r="E1568" s="188" t="s">
        <v>2485</v>
      </c>
      <c r="F1568" s="189" t="s">
        <v>2486</v>
      </c>
      <c r="G1568" s="166" t="s">
        <v>1509</v>
      </c>
      <c r="H1568" s="190">
        <v>38</v>
      </c>
      <c r="I1568" s="191">
        <v>3.8</v>
      </c>
      <c r="J1568" s="192">
        <v>3.8</v>
      </c>
      <c r="K1568" s="193">
        <v>144.4</v>
      </c>
      <c r="L1568" s="192">
        <v>144.4</v>
      </c>
      <c r="M1568" s="191">
        <v>144.4</v>
      </c>
      <c r="N1568" s="145">
        <v>0</v>
      </c>
      <c r="O1568" s="156" t="s">
        <v>166</v>
      </c>
      <c r="P1568" s="194" t="s">
        <v>2478</v>
      </c>
      <c r="Q1568" s="147">
        <v>44197</v>
      </c>
      <c r="R1568" s="146">
        <v>2049</v>
      </c>
      <c r="S1568" s="157"/>
      <c r="T1568" s="189" t="s">
        <v>25</v>
      </c>
      <c r="U1568" s="188" t="s">
        <v>17</v>
      </c>
      <c r="V1568" s="195">
        <v>1114</v>
      </c>
      <c r="W1568" s="196"/>
      <c r="X1568" s="197">
        <v>45689</v>
      </c>
      <c r="Y1568" s="198" t="s">
        <v>2558</v>
      </c>
    </row>
    <row r="1569" spans="1:25">
      <c r="A1569" s="184" t="s">
        <v>380</v>
      </c>
      <c r="B1569" s="185" t="s">
        <v>2463</v>
      </c>
      <c r="C1569" s="186" t="s">
        <v>5137</v>
      </c>
      <c r="D1569" s="187" t="s">
        <v>5138</v>
      </c>
      <c r="E1569" s="188" t="s">
        <v>2476</v>
      </c>
      <c r="F1569" s="189" t="s">
        <v>2477</v>
      </c>
      <c r="G1569" s="166"/>
      <c r="H1569" s="190">
        <v>1</v>
      </c>
      <c r="I1569" s="191"/>
      <c r="J1569" s="192">
        <v>250</v>
      </c>
      <c r="K1569" s="193"/>
      <c r="L1569" s="192">
        <v>250</v>
      </c>
      <c r="M1569" s="191">
        <v>250</v>
      </c>
      <c r="N1569" s="145"/>
      <c r="O1569" s="156" t="s">
        <v>135</v>
      </c>
      <c r="P1569" s="194" t="s">
        <v>2478</v>
      </c>
      <c r="Q1569" s="147"/>
      <c r="R1569" s="146"/>
      <c r="S1569" s="157"/>
      <c r="T1569" s="189" t="s">
        <v>29</v>
      </c>
      <c r="U1569" s="188" t="s">
        <v>2479</v>
      </c>
      <c r="V1569" s="195">
        <v>2785</v>
      </c>
      <c r="W1569" s="196" t="s">
        <v>5139</v>
      </c>
      <c r="X1569" s="197">
        <v>45901</v>
      </c>
      <c r="Y1569" s="198" t="s">
        <v>4396</v>
      </c>
    </row>
    <row r="1570" spans="1:25">
      <c r="A1570" s="184" t="s">
        <v>380</v>
      </c>
      <c r="B1570" s="185" t="s">
        <v>2463</v>
      </c>
      <c r="C1570" s="186" t="s">
        <v>5140</v>
      </c>
      <c r="D1570" s="187" t="s">
        <v>5141</v>
      </c>
      <c r="E1570" s="188" t="s">
        <v>2485</v>
      </c>
      <c r="F1570" s="189" t="s">
        <v>2486</v>
      </c>
      <c r="G1570" s="166"/>
      <c r="H1570" s="190">
        <v>104</v>
      </c>
      <c r="I1570" s="191">
        <v>6</v>
      </c>
      <c r="J1570" s="192">
        <v>7.2</v>
      </c>
      <c r="K1570" s="193">
        <v>624</v>
      </c>
      <c r="L1570" s="192">
        <v>748.8</v>
      </c>
      <c r="M1570" s="191" t="s">
        <v>5142</v>
      </c>
      <c r="N1570" s="145"/>
      <c r="O1570" s="156" t="s">
        <v>135</v>
      </c>
      <c r="P1570" s="194" t="s">
        <v>2478</v>
      </c>
      <c r="Q1570" s="147">
        <v>47727</v>
      </c>
      <c r="R1570" s="146">
        <v>2060</v>
      </c>
      <c r="S1570" s="157"/>
      <c r="T1570" s="189" t="s">
        <v>29</v>
      </c>
      <c r="U1570" s="188" t="s">
        <v>17</v>
      </c>
      <c r="V1570" s="195">
        <v>1615</v>
      </c>
      <c r="W1570" s="196"/>
      <c r="X1570" s="197">
        <v>45689</v>
      </c>
      <c r="Y1570" s="198" t="s">
        <v>2474</v>
      </c>
    </row>
    <row r="1571" spans="1:25">
      <c r="A1571" s="184" t="s">
        <v>380</v>
      </c>
      <c r="B1571" s="185" t="s">
        <v>2463</v>
      </c>
      <c r="C1571" s="186" t="s">
        <v>5143</v>
      </c>
      <c r="D1571" s="187" t="s">
        <v>2997</v>
      </c>
      <c r="E1571" s="188" t="s">
        <v>2466</v>
      </c>
      <c r="F1571" s="189" t="s">
        <v>2467</v>
      </c>
      <c r="G1571" s="166"/>
      <c r="H1571" s="190">
        <v>1</v>
      </c>
      <c r="I1571" s="191"/>
      <c r="J1571" s="192">
        <v>95</v>
      </c>
      <c r="K1571" s="193"/>
      <c r="L1571" s="192">
        <v>95</v>
      </c>
      <c r="M1571" s="191">
        <v>95</v>
      </c>
      <c r="N1571" s="145">
        <v>760</v>
      </c>
      <c r="O1571" s="156" t="s">
        <v>135</v>
      </c>
      <c r="P1571" s="194" t="s">
        <v>2468</v>
      </c>
      <c r="Q1571" s="147"/>
      <c r="R1571" s="146"/>
      <c r="S1571" s="157"/>
      <c r="T1571" s="189" t="s">
        <v>29</v>
      </c>
      <c r="U1571" s="188" t="s">
        <v>20</v>
      </c>
      <c r="V1571" s="195">
        <v>2966</v>
      </c>
      <c r="W1571" s="196"/>
      <c r="X1571" s="197"/>
      <c r="Y1571" s="198" t="s">
        <v>2474</v>
      </c>
    </row>
    <row r="1572" spans="1:25">
      <c r="A1572" s="184" t="s">
        <v>380</v>
      </c>
      <c r="B1572" s="185" t="s">
        <v>2463</v>
      </c>
      <c r="C1572" s="186" t="s">
        <v>5144</v>
      </c>
      <c r="D1572" s="187" t="s">
        <v>2997</v>
      </c>
      <c r="E1572" s="188" t="s">
        <v>2485</v>
      </c>
      <c r="F1572" s="189" t="s">
        <v>2486</v>
      </c>
      <c r="G1572" s="166"/>
      <c r="H1572" s="190">
        <v>1</v>
      </c>
      <c r="I1572" s="191"/>
      <c r="J1572" s="192">
        <v>302</v>
      </c>
      <c r="K1572" s="193"/>
      <c r="L1572" s="192">
        <v>302</v>
      </c>
      <c r="M1572" s="191">
        <v>302</v>
      </c>
      <c r="N1572" s="145"/>
      <c r="O1572" s="156" t="s">
        <v>135</v>
      </c>
      <c r="P1572" s="194" t="s">
        <v>2478</v>
      </c>
      <c r="Q1572" s="147"/>
      <c r="R1572" s="146"/>
      <c r="S1572" s="157"/>
      <c r="T1572" s="189" t="s">
        <v>29</v>
      </c>
      <c r="U1572" s="188" t="s">
        <v>17</v>
      </c>
      <c r="V1572" s="195">
        <v>2965</v>
      </c>
      <c r="W1572" s="196"/>
      <c r="X1572" s="197"/>
      <c r="Y1572" s="198" t="s">
        <v>2474</v>
      </c>
    </row>
    <row r="1573" spans="1:25">
      <c r="A1573" s="4" t="s">
        <v>5145</v>
      </c>
      <c r="B1573" s="4"/>
      <c r="C1573" s="4"/>
      <c r="D1573" s="4"/>
      <c r="E1573" s="4"/>
      <c r="F1573" s="4"/>
      <c r="G1573" s="4"/>
      <c r="H1573" s="4"/>
      <c r="I1573" s="4"/>
      <c r="J1573" s="4"/>
      <c r="K1573" s="4"/>
      <c r="L1573" s="4"/>
      <c r="M1573" s="142"/>
      <c r="N1573" s="4"/>
      <c r="O1573" s="4"/>
      <c r="P1573" s="4"/>
      <c r="Q1573" s="4"/>
      <c r="R1573" s="4"/>
      <c r="S1573" s="4"/>
      <c r="T1573" s="5"/>
      <c r="U1573" s="4"/>
      <c r="V1573" s="4"/>
      <c r="W1573" s="4"/>
      <c r="X1573" s="4"/>
      <c r="Y1573" s="137"/>
    </row>
    <row r="1574" spans="1:25">
      <c r="A1574" s="6" t="s">
        <v>5146</v>
      </c>
      <c r="B1574" s="4"/>
      <c r="C1574" s="4"/>
      <c r="D1574" s="4"/>
      <c r="E1574" s="4"/>
      <c r="F1574" s="4"/>
      <c r="G1574" s="4"/>
      <c r="H1574" s="4"/>
      <c r="I1574" s="4"/>
      <c r="J1574" s="4"/>
      <c r="K1574" s="4"/>
      <c r="L1574" s="4"/>
      <c r="M1574" s="142"/>
      <c r="N1574" s="4"/>
      <c r="O1574" s="4"/>
      <c r="P1574" s="4"/>
      <c r="Q1574" s="4"/>
      <c r="R1574" s="4"/>
      <c r="S1574" s="4"/>
      <c r="T1574" s="5"/>
      <c r="U1574" s="4"/>
      <c r="V1574" s="4"/>
      <c r="W1574" s="4"/>
      <c r="X1574" s="4"/>
      <c r="Y1574" s="137"/>
    </row>
    <row r="1575" spans="1:25">
      <c r="A1575" s="4" t="s">
        <v>5147</v>
      </c>
      <c r="B1575" s="4"/>
      <c r="C1575" s="4"/>
      <c r="D1575" s="4"/>
      <c r="E1575" s="4"/>
      <c r="F1575" s="4"/>
      <c r="G1575" s="4"/>
      <c r="H1575" s="4"/>
      <c r="I1575" s="4"/>
      <c r="J1575" s="4"/>
      <c r="K1575" s="4"/>
      <c r="L1575" s="4"/>
      <c r="M1575" s="142"/>
      <c r="N1575" s="4"/>
      <c r="O1575" s="4"/>
      <c r="P1575" s="4"/>
      <c r="Q1575" s="4"/>
      <c r="R1575" s="4"/>
      <c r="S1575" s="4"/>
      <c r="T1575" s="5"/>
      <c r="U1575" s="4"/>
      <c r="V1575" s="4"/>
      <c r="W1575" s="4"/>
      <c r="X1575" s="4"/>
      <c r="Y1575" s="137"/>
    </row>
    <row r="1576" spans="1:25">
      <c r="A1576" s="4" t="s">
        <v>5148</v>
      </c>
      <c r="B1576" s="4"/>
      <c r="C1576" s="4"/>
      <c r="D1576" s="4"/>
      <c r="E1576" s="4"/>
      <c r="F1576" s="4"/>
      <c r="G1576" s="4"/>
      <c r="H1576" s="4"/>
      <c r="I1576" s="4"/>
      <c r="J1576" s="4"/>
      <c r="K1576" s="4"/>
      <c r="L1576" s="4"/>
      <c r="M1576" s="142"/>
      <c r="N1576" s="4"/>
      <c r="O1576" s="4"/>
      <c r="P1576" s="4"/>
      <c r="Q1576" s="4"/>
      <c r="R1576" s="4"/>
      <c r="S1576" s="4"/>
      <c r="T1576" s="5"/>
      <c r="U1576" s="4"/>
      <c r="V1576" s="4"/>
      <c r="W1576" s="4"/>
      <c r="X1576" s="4"/>
      <c r="Y1576" s="137"/>
    </row>
    <row r="1577" spans="1:25">
      <c r="A1577" s="162" t="s">
        <v>5149</v>
      </c>
      <c r="B1577" s="4"/>
      <c r="C1577" s="4"/>
      <c r="D1577" s="4"/>
      <c r="E1577" s="4"/>
      <c r="F1577" s="4"/>
      <c r="G1577" s="4"/>
      <c r="H1577" s="4"/>
      <c r="I1577" s="4"/>
      <c r="J1577" s="4"/>
      <c r="K1577" s="4"/>
      <c r="L1577" s="4"/>
      <c r="M1577" s="142"/>
      <c r="N1577" s="4"/>
      <c r="O1577" s="4"/>
      <c r="P1577" s="4"/>
      <c r="Q1577" s="4"/>
      <c r="R1577" s="4"/>
      <c r="S1577" s="4"/>
      <c r="T1577" s="5"/>
      <c r="U1577" s="4"/>
      <c r="V1577" s="4"/>
      <c r="W1577" s="4"/>
      <c r="X1577" s="4"/>
      <c r="Y1577" s="137"/>
    </row>
  </sheetData>
  <sheetProtection algorithmName="SHA-512" hashValue="PcXlmlgXJh7oTlIqLcYQLoBcgMPqA0M9lEy+ZDd/bn36n46mhTB/LUcATODysckIfwioiHi1C86aKGCA65xnzw==" saltValue="1iS+4IQwnhdcX0kGguOXsw==" spinCount="100000" sheet="1" sort="0" autoFilter="0" pivotTables="0"/>
  <phoneticPr fontId="59" type="noConversion"/>
  <conditionalFormatting sqref="A3:F462">
    <cfRule type="expression" dxfId="145" priority="152">
      <formula>AND($C3=OFFSET($C3,-1,0,1,1),A3=OFFSET(A3,-1,0,1,1))</formula>
    </cfRule>
  </conditionalFormatting>
  <conditionalFormatting sqref="A4:F1572 T463:X464 H4:N1572 P4:R1572">
    <cfRule type="expression" dxfId="144" priority="28">
      <formula>$C4&lt;&gt;OFFSET($C4,-1,0,1,1)</formula>
    </cfRule>
  </conditionalFormatting>
  <conditionalFormatting sqref="A463:F1572">
    <cfRule type="expression" dxfId="143" priority="30">
      <formula>AND($C463=OFFSET($C463,-1,0,1,1),A463=OFFSET(A463,-1,0,1,1))</formula>
    </cfRule>
  </conditionalFormatting>
  <conditionalFormatting sqref="A3:X3 T4:X462 T465:X1572 G4:G1572 O4:O1572 S4:S1572">
    <cfRule type="expression" dxfId="142" priority="150">
      <formula>$C3&lt;&gt;OFFSET($C3,-1,0,1,1)</formula>
    </cfRule>
  </conditionalFormatting>
  <conditionalFormatting sqref="B471">
    <cfRule type="expression" dxfId="141" priority="1">
      <formula>AND($C471=OFFSET($C471,-1,0,1,1),B471=OFFSET(B471,-1,0,1,1))</formula>
    </cfRule>
    <cfRule type="expression" dxfId="140" priority="2">
      <formula>$B471="Project"</formula>
    </cfRule>
  </conditionalFormatting>
  <conditionalFormatting sqref="B463:F1572 T463:X464 H4:N1572 P4:R1572">
    <cfRule type="expression" dxfId="139" priority="32">
      <formula>$B4="Project"</formula>
    </cfRule>
  </conditionalFormatting>
  <conditionalFormatting sqref="B3:X3 B4:F462 T4:X462 T465:X1572 G4:G1572 O4:O1572 S4:S1572">
    <cfRule type="expression" dxfId="138" priority="154">
      <formula>$B3="Project"</formula>
    </cfRule>
  </conditionalFormatting>
  <conditionalFormatting sqref="C3:C462">
    <cfRule type="expression" dxfId="137" priority="153">
      <formula>$B3="Project"</formula>
    </cfRule>
    <cfRule type="expression" dxfId="136" priority="151">
      <formula>$C3=OFFSET($C3,-1,0,1,1)</formula>
    </cfRule>
  </conditionalFormatting>
  <conditionalFormatting sqref="C3:C1572">
    <cfRule type="expression" dxfId="135" priority="27">
      <formula>$C3&lt;&gt;OFFSET($C3,-1,0,1,1)</formula>
    </cfRule>
  </conditionalFormatting>
  <conditionalFormatting sqref="C463:C1572">
    <cfRule type="expression" dxfId="134" priority="29">
      <formula>$C463=OFFSET($C463,-1,0,1,1)</formula>
    </cfRule>
    <cfRule type="expression" dxfId="133" priority="31">
      <formula>$B463="Project"</formula>
    </cfRule>
  </conditionalFormatting>
  <conditionalFormatting sqref="D11:F11 H11:N11 P11:R11 T11:X11">
    <cfRule type="expression" dxfId="132" priority="288">
      <formula>AND($C11=OFFSET($C11,-1,0,1,1),$G12=OFFSET($G12,-1,0,1,1),D11=OFFSET(D11,-1,0,1,1))</formula>
    </cfRule>
  </conditionalFormatting>
  <conditionalFormatting sqref="D11:F11 T11:X11 H11:N11 P11:R11">
    <cfRule type="expression" dxfId="131" priority="287">
      <formula>AND($C11=OFFSET($C11,-1,0,1,1),$G12&lt;&gt;OFFSET($G12,-1,0,1,1))</formula>
    </cfRule>
  </conditionalFormatting>
  <conditionalFormatting sqref="D12:F12 H12:N12 P12:R12 T12:X12">
    <cfRule type="expression" dxfId="130" priority="290">
      <formula>AND($C12=OFFSET($C12,-1,0,1,1),#REF!=OFFSET(#REF!,-1,0,1,1),D12=OFFSET(D12,-1,0,1,1))</formula>
    </cfRule>
  </conditionalFormatting>
  <conditionalFormatting sqref="D12:F12 T12:X12 H12:N12 P12:R12">
    <cfRule type="expression" dxfId="129" priority="289">
      <formula>AND($C12=OFFSET($C12,-1,0,1,1),#REF!&lt;&gt;OFFSET(#REF!,-1,0,1,1))</formula>
    </cfRule>
  </conditionalFormatting>
  <conditionalFormatting sqref="D3:X3 D4:F10 H4:N10 P4:R10 T4:X10 G4:G1572 O4:O1572 S4:S1572 D13:F462 T13:X462 T465:X1572">
    <cfRule type="expression" dxfId="128" priority="156">
      <formula>AND($C3=OFFSET($C3,-1,0,1,1),$G3=OFFSET($G3,-1,0,1,1),D3=OFFSET(D3,-1,0,1,1))</formula>
    </cfRule>
  </conditionalFormatting>
  <conditionalFormatting sqref="D3:X3 D4:F10 T4:X10 G4:G1572 O4:O1572 S4:S1572 D13:F462 T13:X462 T465:X1572 H4:N10 P4:R10">
    <cfRule type="expression" dxfId="127" priority="155">
      <formula>AND($C3=OFFSET($C3,-1,0,1,1),$G3&lt;&gt;OFFSET($G3,-1,0,1,1))</formula>
    </cfRule>
  </conditionalFormatting>
  <conditionalFormatting sqref="H3:N1572 V3:V1572">
    <cfRule type="expression" dxfId="126" priority="11">
      <formula>MOD(H3,1)=0</formula>
    </cfRule>
  </conditionalFormatting>
  <conditionalFormatting sqref="H11:N11 P11:R11 T11:X11">
    <cfRule type="expression" dxfId="125" priority="296">
      <formula>AND($C11=OFFSET($C11,-1,0,1,1),$G12=OFFSET($G12,-1,0,1,1),H11&lt;&gt;OFFSET(H11,-1,0,1,1))</formula>
    </cfRule>
  </conditionalFormatting>
  <conditionalFormatting sqref="H12:N12 P12:R12 T12:X12">
    <cfRule type="expression" dxfId="124" priority="297">
      <formula>AND($C12=OFFSET($C12,-1,0,1,1),#REF!=OFFSET(#REF!,-1,0,1,1),H12&lt;&gt;OFFSET(H12,-1,0,1,1))</formula>
    </cfRule>
  </conditionalFormatting>
  <conditionalFormatting sqref="H13:N1572 P13:R1572 T463:X464 D463:F1572">
    <cfRule type="expression" dxfId="123" priority="33">
      <formula>AND($C13=OFFSET($C13,-1,0,1,1),$G13&lt;&gt;OFFSET($G13,-1,0,1,1))</formula>
    </cfRule>
    <cfRule type="expression" dxfId="122" priority="34">
      <formula>AND($C13=OFFSET($C13,-1,0,1,1),$G13=OFFSET($G13,-1,0,1,1),D13=OFFSET(D13,-1,0,1,1))</formula>
    </cfRule>
  </conditionalFormatting>
  <conditionalFormatting sqref="H13:N1572 P13:R1572 T463:X464">
    <cfRule type="expression" dxfId="121" priority="35">
      <formula>AND($C13=OFFSET($C13,-1,0,1,1),$G13=OFFSET($G13,-1,0,1,1),H13&lt;&gt;OFFSET(H13,-1,0,1,1))</formula>
    </cfRule>
  </conditionalFormatting>
  <conditionalFormatting sqref="H3:X3 H4:N10 P4:R10 T4:X10 O4:O1572 S4:S1572 T13:X462 T465:X1572">
    <cfRule type="expression" dxfId="120" priority="157">
      <formula>AND($C3=OFFSET($C3,-1,0,1,1),$G3=OFFSET($G3,-1,0,1,1),H3&lt;&gt;OFFSET(H3,-1,0,1,1))</formula>
    </cfRule>
  </conditionalFormatting>
  <conditionalFormatting sqref="Q3:Q1572">
    <cfRule type="expression" dxfId="119" priority="26">
      <formula>OR(AND(ISNUMBER(DATEVALUE($Q3)),MONTH(DATEVALUE($Q3))=12,DATEVALUE("31/12/"&amp;TEXT(YEAR(DATEVALUE($Q3)),"####"))&lt;TODAY()),AND(ISNUMBER(DATEVALUE($Q3)),MONTH(DATEVALUE($Q3))&lt;12,DATEVALUE("01/"&amp;TEXT(MONTH(DATEVALUE($Q3))+1,"##")&amp;"/"&amp;TEXT(YEAR(DATEVALUE($Q3)),"####"))-1&lt;TODAY()))</formula>
    </cfRule>
  </conditionalFormatting>
  <conditionalFormatting sqref="T3:T1572">
    <cfRule type="cellIs" dxfId="118" priority="22" operator="equal">
      <formula>"Committed"</formula>
    </cfRule>
    <cfRule type="cellIs" dxfId="117" priority="20" operator="equal">
      <formula>"Withdrawn"</formula>
    </cfRule>
    <cfRule type="cellIs" dxfId="116" priority="21" operator="equal">
      <formula>"Proposed"</formula>
    </cfRule>
    <cfRule type="cellIs" dxfId="115" priority="23" operator="equal">
      <formula>"Upgrade"</formula>
    </cfRule>
    <cfRule type="cellIs" dxfId="114" priority="24" operator="equal">
      <formula>"Existing less Announced Withdrawal"</formula>
    </cfRule>
    <cfRule type="cellIs" dxfId="113" priority="25" operator="equal">
      <formula>"Announced Withdrawal"</formula>
    </cfRule>
  </conditionalFormatting>
  <conditionalFormatting sqref="T12">
    <cfRule type="expression" dxfId="112" priority="3">
      <formula>AND($C12=OFFSET($C12,-1,0,1,1),$G12&lt;&gt;OFFSET($G12,-1,0,1,1))</formula>
    </cfRule>
    <cfRule type="expression" dxfId="111" priority="5">
      <formula>AND($C12=OFFSET($C12,-1,0,1,1),$G12=OFFSET($G12,-1,0,1,1),T12&lt;&gt;OFFSET(T12,-1,0,1,1))</formula>
    </cfRule>
    <cfRule type="expression" dxfId="110" priority="4">
      <formula>AND($C12=OFFSET($C12,-1,0,1,1),$G12=OFFSET($G12,-1,0,1,1),T12=OFFSET(T12,-1,0,1,1))</formula>
    </cfRule>
  </conditionalFormatting>
  <conditionalFormatting sqref="X3:X10 X13:X1572">
    <cfRule type="expression" dxfId="109" priority="17">
      <formula>AND($C3=OFFSET($C3,-1,0,1,1),$G3=OFFSET($G3,-1,0,1,1),X3&lt;&gt;OFFSET(X3,-1,0,1,1))</formula>
    </cfRule>
    <cfRule type="expression" dxfId="108" priority="16">
      <formula>AND($C3=OFFSET($C3,-1,0,1,1),$G3=OFFSET($G3,-1,0,1,1),X3=OFFSET(X3,-1,0,1,1))</formula>
    </cfRule>
  </conditionalFormatting>
  <conditionalFormatting sqref="X11">
    <cfRule type="expression" dxfId="107" priority="316">
      <formula>AND($C11=OFFSET($C11,-1,0,1,1),$G12&lt;&gt;OFFSET($G12,-1,0,1,1))</formula>
    </cfRule>
    <cfRule type="expression" dxfId="106" priority="317">
      <formula>AND($C11=OFFSET($C11,-1,0,1,1),$G12=OFFSET($G12,-1,0,1,1),X11=OFFSET(X11,-1,0,1,1))</formula>
    </cfRule>
    <cfRule type="expression" dxfId="105" priority="318">
      <formula>AND($C11=OFFSET($C11,-1,0,1,1),$G12=OFFSET($G12,-1,0,1,1),X11&lt;&gt;OFFSET(X11,-1,0,1,1))</formula>
    </cfRule>
  </conditionalFormatting>
  <conditionalFormatting sqref="X12">
    <cfRule type="expression" dxfId="104" priority="321">
      <formula>AND($C12=OFFSET($C12,-1,0,1,1),#REF!=OFFSET(#REF!,-1,0,1,1),X12&lt;&gt;OFFSET(X12,-1,0,1,1))</formula>
    </cfRule>
    <cfRule type="expression" dxfId="103" priority="319">
      <formula>AND($C12=OFFSET($C12,-1,0,1,1),#REF!&lt;&gt;OFFSET(#REF!,-1,0,1,1))</formula>
    </cfRule>
    <cfRule type="expression" dxfId="102" priority="320">
      <formula>AND($C12=OFFSET($C12,-1,0,1,1),#REF!=OFFSET(#REF!,-1,0,1,1),X12=OFFSET(X12,-1,0,1,1))</formula>
    </cfRule>
  </conditionalFormatting>
  <conditionalFormatting sqref="X13:X1572 X3:X10">
    <cfRule type="expression" dxfId="101" priority="15">
      <formula>AND($C3=OFFSET($C3,-1,0,1,1),$G3&lt;&gt;OFFSET($G3,-1,0,1,1))</formula>
    </cfRule>
  </conditionalFormatting>
  <conditionalFormatting sqref="X463:X464">
    <cfRule type="expression" dxfId="100" priority="14">
      <formula>AND($C463=OFFSET($C463,-1,0,1,1),$G463=OFFSET($G463,-1,0,1,1),X463&lt;&gt;OFFSET(X463,-1,0,1,1))</formula>
    </cfRule>
    <cfRule type="expression" dxfId="99" priority="19">
      <formula>$B463="Project"</formula>
    </cfRule>
    <cfRule type="expression" dxfId="98" priority="18">
      <formula>$C463&lt;&gt;OFFSET($C463,-1,0,1,1)</formula>
    </cfRule>
    <cfRule type="expression" dxfId="97" priority="13">
      <formula>AND($C463=OFFSET($C463,-1,0,1,1),$G463=OFFSET($G463,-1,0,1,1),X463=OFFSET(X463,-1,0,1,1))</formula>
    </cfRule>
    <cfRule type="expression" dxfId="96" priority="12">
      <formula>AND($C463=OFFSET($C463,-1,0,1,1),$G463&lt;&gt;OFFSET($G463,-1,0,1,1))</formula>
    </cfRule>
  </conditionalFormatting>
  <conditionalFormatting sqref="X3:Y10 X13:X462 X465:X1572 Y13:Y1572">
    <cfRule type="expression" dxfId="95" priority="127">
      <formula>AND($C3=OFFSET($C3,-1,0,1,1),$G3&lt;&gt;OFFSET($G3,-1,0,1,1))</formula>
    </cfRule>
  </conditionalFormatting>
  <conditionalFormatting sqref="X3:Y10 X13:X462 Y13:Y1572 X465:X1572">
    <cfRule type="expression" dxfId="94" priority="131">
      <formula>$B3="Project"</formula>
    </cfRule>
    <cfRule type="expression" dxfId="93" priority="129">
      <formula>AND($C3=OFFSET($C3,-1,0,1,1),$G3=OFFSET($G3,-1,0,1,1),X3&lt;&gt;OFFSET(X3,-1,0,1,1))</formula>
    </cfRule>
    <cfRule type="expression" dxfId="92" priority="128">
      <formula>AND($C3=OFFSET($C3,-1,0,1,1),$G3=OFFSET($G3,-1,0,1,1),X3=OFFSET(X3,-1,0,1,1))</formula>
    </cfRule>
    <cfRule type="expression" dxfId="91" priority="130">
      <formula>$C3&lt;&gt;OFFSET($C3,-1,0,1,1)</formula>
    </cfRule>
  </conditionalFormatting>
  <conditionalFormatting sqref="X11:Y11">
    <cfRule type="expression" dxfId="90" priority="303">
      <formula>AND($C11=OFFSET($C11,-1,0,1,1),$G12&lt;&gt;OFFSET($G12,-1,0,1,1))</formula>
    </cfRule>
    <cfRule type="expression" dxfId="89" priority="304">
      <formula>AND($C11=OFFSET($C11,-1,0,1,1),$G12=OFFSET($G12,-1,0,1,1),X11=OFFSET(X11,-1,0,1,1))</formula>
    </cfRule>
    <cfRule type="expression" dxfId="88" priority="305">
      <formula>AND($C11=OFFSET($C11,-1,0,1,1),$G12=OFFSET($G12,-1,0,1,1),X11&lt;&gt;OFFSET(X11,-1,0,1,1))</formula>
    </cfRule>
    <cfRule type="expression" dxfId="87" priority="306">
      <formula>$C11&lt;&gt;OFFSET($C11,-1,0,1,1)</formula>
    </cfRule>
    <cfRule type="expression" dxfId="86" priority="307">
      <formula>$B11="Project"</formula>
    </cfRule>
  </conditionalFormatting>
  <conditionalFormatting sqref="X12:Y12">
    <cfRule type="expression" dxfId="85" priority="308">
      <formula>AND($C12=OFFSET($C12,-1,0,1,1),#REF!&lt;&gt;OFFSET(#REF!,-1,0,1,1))</formula>
    </cfRule>
    <cfRule type="expression" dxfId="84" priority="309">
      <formula>AND($C12=OFFSET($C12,-1,0,1,1),#REF!=OFFSET(#REF!,-1,0,1,1),X12=OFFSET(X12,-1,0,1,1))</formula>
    </cfRule>
    <cfRule type="expression" dxfId="83" priority="311">
      <formula>$C12&lt;&gt;OFFSET($C12,-1,0,1,1)</formula>
    </cfRule>
    <cfRule type="expression" dxfId="82" priority="312">
      <formula>$B12="Project"</formula>
    </cfRule>
    <cfRule type="expression" dxfId="81" priority="310">
      <formula>AND($C12=OFFSET($C12,-1,0,1,1),#REF!=OFFSET(#REF!,-1,0,1,1),X12&lt;&gt;OFFSET(X12,-1,0,1,1))</formula>
    </cfRule>
  </conditionalFormatting>
  <conditionalFormatting sqref="Y1573:Y1048576">
    <cfRule type="colorScale" priority="278">
      <colorScale>
        <cfvo type="min"/>
        <cfvo type="formula" val="TODAY()-365"/>
        <cfvo type="max"/>
        <color rgb="FFFFD1D1"/>
        <color theme="7" tint="0.79998168889431442"/>
        <color theme="0"/>
      </colorScale>
    </cfRule>
  </conditionalFormatting>
  <pageMargins left="0.7" right="0.7" top="0.75" bottom="0.75" header="0.3" footer="0.3"/>
  <pageSetup paperSize="9" orientation="portrait" horizontalDpi="90" verticalDpi="9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77A8-6830-48D2-A4C2-1EADFDF8CA60}">
  <sheetPr codeName="Sheet4"/>
  <dimension ref="A1:AM454"/>
  <sheetViews>
    <sheetView workbookViewId="0">
      <pane ySplit="4" topLeftCell="A5" activePane="bottomLeft" state="frozen"/>
      <selection pane="bottomLeft" activeCell="G17" sqref="G17"/>
    </sheetView>
  </sheetViews>
  <sheetFormatPr defaultColWidth="8.53515625" defaultRowHeight="14.6"/>
  <cols>
    <col min="1" max="1" width="7.3828125" customWidth="1"/>
    <col min="2" max="2" width="12.15234375" customWidth="1"/>
    <col min="3" max="3" width="40.3828125" customWidth="1"/>
    <col min="4" max="4" width="12.3828125" bestFit="1" customWidth="1"/>
    <col min="5" max="34" width="9.53515625" customWidth="1"/>
    <col min="35" max="35" width="40.53515625" customWidth="1"/>
    <col min="36" max="36" width="25" customWidth="1"/>
    <col min="37" max="37" width="21.3046875" customWidth="1"/>
    <col min="38" max="38" width="12.3046875" customWidth="1"/>
    <col min="39" max="39" width="9.53515625" customWidth="1"/>
  </cols>
  <sheetData>
    <row r="1" spans="1:39" s="2" customFormat="1" ht="19.3">
      <c r="A1" s="7" t="s">
        <v>52</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row>
    <row r="2" spans="1:39" s="2" customFormat="1">
      <c r="A2" s="4" t="s">
        <v>5150</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row>
    <row r="3" spans="1:39" s="2" customFormat="1">
      <c r="A3" s="4" t="s">
        <v>5151</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row>
    <row r="4" spans="1:39" s="155" customFormat="1" ht="30.9">
      <c r="A4" s="129" t="s">
        <v>6</v>
      </c>
      <c r="B4" s="100" t="s">
        <v>79</v>
      </c>
      <c r="C4" s="128" t="s">
        <v>194</v>
      </c>
      <c r="D4" s="152" t="s">
        <v>81</v>
      </c>
      <c r="E4" s="99" t="s">
        <v>5152</v>
      </c>
      <c r="F4" s="100" t="s">
        <v>5153</v>
      </c>
      <c r="G4" s="154" t="s">
        <v>5154</v>
      </c>
      <c r="H4" s="99" t="s">
        <v>5155</v>
      </c>
      <c r="I4" s="100" t="s">
        <v>5156</v>
      </c>
      <c r="J4" s="154" t="s">
        <v>5157</v>
      </c>
      <c r="K4" s="99" t="s">
        <v>5158</v>
      </c>
      <c r="L4" s="100" t="s">
        <v>5159</v>
      </c>
      <c r="M4" s="154" t="s">
        <v>5160</v>
      </c>
      <c r="N4" s="99" t="s">
        <v>5161</v>
      </c>
      <c r="O4" s="100" t="s">
        <v>5162</v>
      </c>
      <c r="P4" s="154" t="s">
        <v>5163</v>
      </c>
      <c r="Q4" s="99" t="s">
        <v>5164</v>
      </c>
      <c r="R4" s="100" t="s">
        <v>5165</v>
      </c>
      <c r="S4" s="154" t="s">
        <v>5166</v>
      </c>
      <c r="T4" s="99" t="s">
        <v>5167</v>
      </c>
      <c r="U4" s="100" t="s">
        <v>5168</v>
      </c>
      <c r="V4" s="154" t="s">
        <v>5169</v>
      </c>
      <c r="W4" s="99" t="s">
        <v>5170</v>
      </c>
      <c r="X4" s="100" t="s">
        <v>5171</v>
      </c>
      <c r="Y4" s="154" t="s">
        <v>5172</v>
      </c>
      <c r="Z4" s="99" t="s">
        <v>5173</v>
      </c>
      <c r="AA4" s="100" t="s">
        <v>5174</v>
      </c>
      <c r="AB4" s="154" t="s">
        <v>5175</v>
      </c>
      <c r="AC4" s="99" t="s">
        <v>5176</v>
      </c>
      <c r="AD4" s="100" t="s">
        <v>5177</v>
      </c>
      <c r="AE4" s="154" t="s">
        <v>5178</v>
      </c>
      <c r="AF4" s="99" t="s">
        <v>5179</v>
      </c>
      <c r="AG4" s="100" t="s">
        <v>5180</v>
      </c>
      <c r="AH4" s="154" t="s">
        <v>5181</v>
      </c>
      <c r="AI4" s="153" t="s">
        <v>195</v>
      </c>
      <c r="AJ4" s="152" t="s">
        <v>2455</v>
      </c>
      <c r="AK4" s="152" t="s">
        <v>2456</v>
      </c>
      <c r="AL4" s="100" t="s">
        <v>2461</v>
      </c>
      <c r="AM4" s="100" t="s">
        <v>70</v>
      </c>
    </row>
    <row r="5" spans="1:39" s="2" customFormat="1" ht="20.6">
      <c r="A5" s="179" t="s">
        <v>7</v>
      </c>
      <c r="B5" s="238" t="s">
        <v>163</v>
      </c>
      <c r="C5" s="164" t="s">
        <v>2471</v>
      </c>
      <c r="D5" s="236" t="s">
        <v>2472</v>
      </c>
      <c r="E5" s="180">
        <v>10</v>
      </c>
      <c r="F5" s="181">
        <v>10</v>
      </c>
      <c r="G5" s="182">
        <v>10</v>
      </c>
      <c r="H5" s="180">
        <v>10</v>
      </c>
      <c r="I5" s="181">
        <v>10</v>
      </c>
      <c r="J5" s="182">
        <v>10</v>
      </c>
      <c r="K5" s="180">
        <v>10</v>
      </c>
      <c r="L5" s="181">
        <v>10</v>
      </c>
      <c r="M5" s="182">
        <v>10</v>
      </c>
      <c r="N5" s="180">
        <v>10</v>
      </c>
      <c r="O5" s="181">
        <v>10</v>
      </c>
      <c r="P5" s="182">
        <v>10</v>
      </c>
      <c r="Q5" s="180">
        <v>10</v>
      </c>
      <c r="R5" s="181">
        <v>10</v>
      </c>
      <c r="S5" s="182">
        <v>10</v>
      </c>
      <c r="T5" s="180">
        <v>10</v>
      </c>
      <c r="U5" s="181">
        <v>10</v>
      </c>
      <c r="V5" s="182">
        <v>10</v>
      </c>
      <c r="W5" s="180">
        <v>10</v>
      </c>
      <c r="X5" s="181">
        <v>10</v>
      </c>
      <c r="Y5" s="182">
        <v>10</v>
      </c>
      <c r="Z5" s="180">
        <v>10</v>
      </c>
      <c r="AA5" s="181">
        <v>10</v>
      </c>
      <c r="AB5" s="182">
        <v>10</v>
      </c>
      <c r="AC5" s="180">
        <v>10</v>
      </c>
      <c r="AD5" s="181">
        <v>10</v>
      </c>
      <c r="AE5" s="182">
        <v>10</v>
      </c>
      <c r="AF5" s="180">
        <v>10</v>
      </c>
      <c r="AG5" s="181">
        <v>10</v>
      </c>
      <c r="AH5" s="182">
        <v>10</v>
      </c>
      <c r="AI5" s="168" t="s">
        <v>1163</v>
      </c>
      <c r="AJ5" s="169" t="s">
        <v>2466</v>
      </c>
      <c r="AK5" s="170" t="s">
        <v>2467</v>
      </c>
      <c r="AL5" s="169" t="s">
        <v>20</v>
      </c>
      <c r="AM5" s="183">
        <v>1934</v>
      </c>
    </row>
    <row r="6" spans="1:39" s="2" customFormat="1">
      <c r="A6" s="179" t="s">
        <v>380</v>
      </c>
      <c r="B6" s="238" t="s">
        <v>163</v>
      </c>
      <c r="C6" s="164" t="s">
        <v>766</v>
      </c>
      <c r="D6" s="236" t="s">
        <v>990</v>
      </c>
      <c r="E6" s="180">
        <v>6.1</v>
      </c>
      <c r="F6" s="181">
        <v>6.1</v>
      </c>
      <c r="G6" s="182">
        <v>6</v>
      </c>
      <c r="H6" s="180">
        <v>6.1</v>
      </c>
      <c r="I6" s="181">
        <v>6.1</v>
      </c>
      <c r="J6" s="182">
        <v>6</v>
      </c>
      <c r="K6" s="180">
        <v>6.1</v>
      </c>
      <c r="L6" s="181">
        <v>6.1</v>
      </c>
      <c r="M6" s="182">
        <v>6</v>
      </c>
      <c r="N6" s="180">
        <v>6.1</v>
      </c>
      <c r="O6" s="181">
        <v>6.1</v>
      </c>
      <c r="P6" s="182">
        <v>6</v>
      </c>
      <c r="Q6" s="180">
        <v>6.1</v>
      </c>
      <c r="R6" s="181">
        <v>6.1</v>
      </c>
      <c r="S6" s="182">
        <v>6</v>
      </c>
      <c r="T6" s="180">
        <v>6.1</v>
      </c>
      <c r="U6" s="181">
        <v>6.1</v>
      </c>
      <c r="V6" s="182">
        <v>6</v>
      </c>
      <c r="W6" s="180">
        <v>6.1</v>
      </c>
      <c r="X6" s="181">
        <v>6.1</v>
      </c>
      <c r="Y6" s="182">
        <v>6</v>
      </c>
      <c r="Z6" s="180">
        <v>6.1</v>
      </c>
      <c r="AA6" s="181">
        <v>6.1</v>
      </c>
      <c r="AB6" s="182">
        <v>6</v>
      </c>
      <c r="AC6" s="180">
        <v>6.1</v>
      </c>
      <c r="AD6" s="181">
        <v>6.1</v>
      </c>
      <c r="AE6" s="182">
        <v>6</v>
      </c>
      <c r="AF6" s="180">
        <v>6.1</v>
      </c>
      <c r="AG6" s="181">
        <v>6.1</v>
      </c>
      <c r="AH6" s="182">
        <v>6</v>
      </c>
      <c r="AI6" s="168" t="s">
        <v>400</v>
      </c>
      <c r="AJ6" s="169" t="s">
        <v>2466</v>
      </c>
      <c r="AK6" s="170" t="s">
        <v>2467</v>
      </c>
      <c r="AL6" s="169" t="s">
        <v>20</v>
      </c>
      <c r="AM6" s="183">
        <v>1844</v>
      </c>
    </row>
    <row r="7" spans="1:39" s="2" customFormat="1">
      <c r="A7" s="179" t="s">
        <v>380</v>
      </c>
      <c r="B7" s="238" t="s">
        <v>163</v>
      </c>
      <c r="C7" s="164" t="s">
        <v>766</v>
      </c>
      <c r="D7" s="236" t="s">
        <v>991</v>
      </c>
      <c r="E7" s="180">
        <v>9.4</v>
      </c>
      <c r="F7" s="181">
        <v>8.6</v>
      </c>
      <c r="G7" s="182">
        <v>8.4</v>
      </c>
      <c r="H7" s="180">
        <v>9.4</v>
      </c>
      <c r="I7" s="181">
        <v>8.6</v>
      </c>
      <c r="J7" s="182">
        <v>8.4</v>
      </c>
      <c r="K7" s="180">
        <v>9.4</v>
      </c>
      <c r="L7" s="181">
        <v>8.6</v>
      </c>
      <c r="M7" s="182">
        <v>8.4</v>
      </c>
      <c r="N7" s="180">
        <v>9.4</v>
      </c>
      <c r="O7" s="181">
        <v>8.6</v>
      </c>
      <c r="P7" s="182">
        <v>8.4</v>
      </c>
      <c r="Q7" s="180">
        <v>9.4</v>
      </c>
      <c r="R7" s="181">
        <v>8.6</v>
      </c>
      <c r="S7" s="182">
        <v>8.4</v>
      </c>
      <c r="T7" s="180">
        <v>9.4</v>
      </c>
      <c r="U7" s="181">
        <v>8.6</v>
      </c>
      <c r="V7" s="182">
        <v>8.4</v>
      </c>
      <c r="W7" s="180">
        <v>9.4</v>
      </c>
      <c r="X7" s="181">
        <v>8.6</v>
      </c>
      <c r="Y7" s="182">
        <v>8.4</v>
      </c>
      <c r="Z7" s="180">
        <v>9.4</v>
      </c>
      <c r="AA7" s="181">
        <v>8.6</v>
      </c>
      <c r="AB7" s="182">
        <v>8.4</v>
      </c>
      <c r="AC7" s="180">
        <v>9.4</v>
      </c>
      <c r="AD7" s="181">
        <v>8.6</v>
      </c>
      <c r="AE7" s="182">
        <v>8.4</v>
      </c>
      <c r="AF7" s="180">
        <v>9.4</v>
      </c>
      <c r="AG7" s="181">
        <v>8.6</v>
      </c>
      <c r="AH7" s="182">
        <v>8.4</v>
      </c>
      <c r="AI7" s="168" t="s">
        <v>400</v>
      </c>
      <c r="AJ7" s="169" t="s">
        <v>2476</v>
      </c>
      <c r="AK7" s="170" t="s">
        <v>2477</v>
      </c>
      <c r="AL7" s="169" t="s">
        <v>2479</v>
      </c>
      <c r="AM7" s="183">
        <v>1844</v>
      </c>
    </row>
    <row r="8" spans="1:39" s="2" customFormat="1">
      <c r="A8" s="179" t="s">
        <v>309</v>
      </c>
      <c r="B8" s="238" t="s">
        <v>163</v>
      </c>
      <c r="C8" s="164" t="s">
        <v>367</v>
      </c>
      <c r="D8" s="236" t="s">
        <v>325</v>
      </c>
      <c r="E8" s="180">
        <v>0</v>
      </c>
      <c r="F8" s="181">
        <v>387.005</v>
      </c>
      <c r="G8" s="182">
        <v>387.005</v>
      </c>
      <c r="H8" s="180">
        <v>387.005</v>
      </c>
      <c r="I8" s="181">
        <v>387.005</v>
      </c>
      <c r="J8" s="182">
        <v>387.005</v>
      </c>
      <c r="K8" s="180">
        <v>387.005</v>
      </c>
      <c r="L8" s="181">
        <v>387.005</v>
      </c>
      <c r="M8" s="182">
        <v>387.005</v>
      </c>
      <c r="N8" s="180">
        <v>387.005</v>
      </c>
      <c r="O8" s="181">
        <v>387.005</v>
      </c>
      <c r="P8" s="182">
        <v>387.005</v>
      </c>
      <c r="Q8" s="180">
        <v>387.005</v>
      </c>
      <c r="R8" s="181">
        <v>387.005</v>
      </c>
      <c r="S8" s="182">
        <v>387.005</v>
      </c>
      <c r="T8" s="180">
        <v>387.005</v>
      </c>
      <c r="U8" s="181">
        <v>387.005</v>
      </c>
      <c r="V8" s="182">
        <v>387.005</v>
      </c>
      <c r="W8" s="180">
        <v>387.005</v>
      </c>
      <c r="X8" s="181">
        <v>387.005</v>
      </c>
      <c r="Y8" s="182">
        <v>387.005</v>
      </c>
      <c r="Z8" s="180">
        <v>387.005</v>
      </c>
      <c r="AA8" s="181">
        <v>387.005</v>
      </c>
      <c r="AB8" s="182">
        <v>387.005</v>
      </c>
      <c r="AC8" s="180">
        <v>387.005</v>
      </c>
      <c r="AD8" s="181">
        <v>387.005</v>
      </c>
      <c r="AE8" s="182">
        <v>387.005</v>
      </c>
      <c r="AF8" s="180">
        <v>387.005</v>
      </c>
      <c r="AG8" s="181">
        <v>387.005</v>
      </c>
      <c r="AH8" s="182">
        <v>387.005</v>
      </c>
      <c r="AI8" s="168" t="s">
        <v>368</v>
      </c>
      <c r="AJ8" s="169" t="s">
        <v>2491</v>
      </c>
      <c r="AK8" s="170" t="s">
        <v>2477</v>
      </c>
      <c r="AL8" s="169" t="s">
        <v>2479</v>
      </c>
      <c r="AM8" s="183">
        <v>1509</v>
      </c>
    </row>
    <row r="9" spans="1:39" s="2" customFormat="1" ht="20.6">
      <c r="A9" s="179" t="s">
        <v>380</v>
      </c>
      <c r="B9" s="238" t="s">
        <v>163</v>
      </c>
      <c r="C9" s="164" t="s">
        <v>2204</v>
      </c>
      <c r="D9" s="236" t="s">
        <v>2503</v>
      </c>
      <c r="E9" s="180">
        <v>46.2</v>
      </c>
      <c r="F9" s="181">
        <v>46.2</v>
      </c>
      <c r="G9" s="182">
        <v>46.2</v>
      </c>
      <c r="H9" s="180">
        <v>46.2</v>
      </c>
      <c r="I9" s="181">
        <v>46.2</v>
      </c>
      <c r="J9" s="182">
        <v>46.2</v>
      </c>
      <c r="K9" s="180">
        <v>46.2</v>
      </c>
      <c r="L9" s="181">
        <v>46.2</v>
      </c>
      <c r="M9" s="182">
        <v>46.2</v>
      </c>
      <c r="N9" s="180">
        <v>46.2</v>
      </c>
      <c r="O9" s="181">
        <v>46.2</v>
      </c>
      <c r="P9" s="182">
        <v>46.2</v>
      </c>
      <c r="Q9" s="180">
        <v>46.2</v>
      </c>
      <c r="R9" s="181">
        <v>46.2</v>
      </c>
      <c r="S9" s="182">
        <v>46.2</v>
      </c>
      <c r="T9" s="180">
        <v>46.2</v>
      </c>
      <c r="U9" s="181">
        <v>46.2</v>
      </c>
      <c r="V9" s="182">
        <v>46.2</v>
      </c>
      <c r="W9" s="180">
        <v>46.2</v>
      </c>
      <c r="X9" s="181">
        <v>46.2</v>
      </c>
      <c r="Y9" s="182">
        <v>46.2</v>
      </c>
      <c r="Z9" s="180">
        <v>46.2</v>
      </c>
      <c r="AA9" s="181">
        <v>46.2</v>
      </c>
      <c r="AB9" s="182">
        <v>46.2</v>
      </c>
      <c r="AC9" s="180">
        <v>46.2</v>
      </c>
      <c r="AD9" s="181">
        <v>46.2</v>
      </c>
      <c r="AE9" s="182">
        <v>46.2</v>
      </c>
      <c r="AF9" s="180">
        <v>46.2</v>
      </c>
      <c r="AG9" s="181">
        <v>46.2</v>
      </c>
      <c r="AH9" s="182">
        <v>46.2</v>
      </c>
      <c r="AI9" s="168" t="s">
        <v>218</v>
      </c>
      <c r="AJ9" s="169" t="s">
        <v>2501</v>
      </c>
      <c r="AK9" s="170" t="s">
        <v>2502</v>
      </c>
      <c r="AL9" s="169" t="s">
        <v>21</v>
      </c>
      <c r="AM9" s="183">
        <v>1002</v>
      </c>
    </row>
    <row r="10" spans="1:39" s="2" customFormat="1">
      <c r="A10" s="179" t="s">
        <v>423</v>
      </c>
      <c r="B10" s="238" t="s">
        <v>163</v>
      </c>
      <c r="C10" s="164" t="s">
        <v>2246</v>
      </c>
      <c r="D10" s="236" t="s">
        <v>2519</v>
      </c>
      <c r="E10" s="180">
        <v>240</v>
      </c>
      <c r="F10" s="181">
        <v>240</v>
      </c>
      <c r="G10" s="182">
        <v>150</v>
      </c>
      <c r="H10" s="180">
        <v>240</v>
      </c>
      <c r="I10" s="181">
        <v>240</v>
      </c>
      <c r="J10" s="182">
        <v>150</v>
      </c>
      <c r="K10" s="180">
        <v>240</v>
      </c>
      <c r="L10" s="181">
        <v>240</v>
      </c>
      <c r="M10" s="182">
        <v>150</v>
      </c>
      <c r="N10" s="180">
        <v>240</v>
      </c>
      <c r="O10" s="181">
        <v>240</v>
      </c>
      <c r="P10" s="182">
        <v>150</v>
      </c>
      <c r="Q10" s="180">
        <v>240</v>
      </c>
      <c r="R10" s="181">
        <v>240</v>
      </c>
      <c r="S10" s="182">
        <v>150</v>
      </c>
      <c r="T10" s="180">
        <v>240</v>
      </c>
      <c r="U10" s="181">
        <v>240</v>
      </c>
      <c r="V10" s="182">
        <v>150</v>
      </c>
      <c r="W10" s="180">
        <v>240</v>
      </c>
      <c r="X10" s="181">
        <v>240</v>
      </c>
      <c r="Y10" s="182">
        <v>150</v>
      </c>
      <c r="Z10" s="180">
        <v>240</v>
      </c>
      <c r="AA10" s="181">
        <v>240</v>
      </c>
      <c r="AB10" s="182">
        <v>150</v>
      </c>
      <c r="AC10" s="180">
        <v>240</v>
      </c>
      <c r="AD10" s="181">
        <v>240</v>
      </c>
      <c r="AE10" s="182">
        <v>150</v>
      </c>
      <c r="AF10" s="180">
        <v>240</v>
      </c>
      <c r="AG10" s="181">
        <v>240</v>
      </c>
      <c r="AH10" s="182">
        <v>150</v>
      </c>
      <c r="AI10" s="168" t="s">
        <v>2518</v>
      </c>
      <c r="AJ10" s="169" t="s">
        <v>2485</v>
      </c>
      <c r="AK10" s="170" t="s">
        <v>2486</v>
      </c>
      <c r="AL10" s="169" t="s">
        <v>17</v>
      </c>
      <c r="AM10" s="183">
        <v>1462</v>
      </c>
    </row>
    <row r="11" spans="1:39" s="2" customFormat="1">
      <c r="A11" s="179" t="s">
        <v>7</v>
      </c>
      <c r="B11" s="238" t="s">
        <v>163</v>
      </c>
      <c r="C11" s="164" t="s">
        <v>830</v>
      </c>
      <c r="D11" s="236" t="s">
        <v>832</v>
      </c>
      <c r="E11" s="180">
        <v>189.98</v>
      </c>
      <c r="F11" s="181">
        <v>189.98</v>
      </c>
      <c r="G11" s="182">
        <v>189.98</v>
      </c>
      <c r="H11" s="180">
        <v>189.98</v>
      </c>
      <c r="I11" s="181">
        <v>189.98</v>
      </c>
      <c r="J11" s="182">
        <v>189.98</v>
      </c>
      <c r="K11" s="180">
        <v>189.98</v>
      </c>
      <c r="L11" s="181">
        <v>189.98</v>
      </c>
      <c r="M11" s="182">
        <v>189.98</v>
      </c>
      <c r="N11" s="180">
        <v>189.98</v>
      </c>
      <c r="O11" s="181">
        <v>189.98</v>
      </c>
      <c r="P11" s="182">
        <v>189.98</v>
      </c>
      <c r="Q11" s="180">
        <v>189.98</v>
      </c>
      <c r="R11" s="181">
        <v>189.98</v>
      </c>
      <c r="S11" s="182">
        <v>189.98</v>
      </c>
      <c r="T11" s="180">
        <v>189.98</v>
      </c>
      <c r="U11" s="181">
        <v>189.98</v>
      </c>
      <c r="V11" s="182">
        <v>189.98</v>
      </c>
      <c r="W11" s="180">
        <v>189.98</v>
      </c>
      <c r="X11" s="181">
        <v>189.98</v>
      </c>
      <c r="Y11" s="182">
        <v>189.98</v>
      </c>
      <c r="Z11" s="180">
        <v>189.98</v>
      </c>
      <c r="AA11" s="181">
        <v>189.98</v>
      </c>
      <c r="AB11" s="182">
        <v>189.98</v>
      </c>
      <c r="AC11" s="180">
        <v>189.98</v>
      </c>
      <c r="AD11" s="181">
        <v>189.98</v>
      </c>
      <c r="AE11" s="182">
        <v>189.98</v>
      </c>
      <c r="AF11" s="180">
        <v>189.98</v>
      </c>
      <c r="AG11" s="181">
        <v>189.98</v>
      </c>
      <c r="AH11" s="182">
        <v>189.98</v>
      </c>
      <c r="AI11" s="168" t="s">
        <v>831</v>
      </c>
      <c r="AJ11" s="169" t="s">
        <v>2491</v>
      </c>
      <c r="AK11" s="170" t="s">
        <v>2477</v>
      </c>
      <c r="AL11" s="169" t="s">
        <v>2479</v>
      </c>
      <c r="AM11" s="183">
        <v>1715</v>
      </c>
    </row>
    <row r="12" spans="1:39" s="2" customFormat="1">
      <c r="A12" s="179" t="s">
        <v>423</v>
      </c>
      <c r="B12" s="238" t="s">
        <v>163</v>
      </c>
      <c r="C12" s="164" t="s">
        <v>2553</v>
      </c>
      <c r="D12" s="236" t="s">
        <v>2557</v>
      </c>
      <c r="E12" s="180">
        <v>44</v>
      </c>
      <c r="F12" s="181">
        <v>37</v>
      </c>
      <c r="G12" s="182">
        <v>37</v>
      </c>
      <c r="H12" s="180">
        <v>44</v>
      </c>
      <c r="I12" s="181">
        <v>37</v>
      </c>
      <c r="J12" s="182">
        <v>37</v>
      </c>
      <c r="K12" s="180">
        <v>44</v>
      </c>
      <c r="L12" s="181">
        <v>37</v>
      </c>
      <c r="M12" s="182">
        <v>37</v>
      </c>
      <c r="N12" s="180">
        <v>44</v>
      </c>
      <c r="O12" s="181">
        <v>37</v>
      </c>
      <c r="P12" s="182">
        <v>37</v>
      </c>
      <c r="Q12" s="180">
        <v>44</v>
      </c>
      <c r="R12" s="181">
        <v>37</v>
      </c>
      <c r="S12" s="182">
        <v>37</v>
      </c>
      <c r="T12" s="180">
        <v>44</v>
      </c>
      <c r="U12" s="181">
        <v>37</v>
      </c>
      <c r="V12" s="182">
        <v>37</v>
      </c>
      <c r="W12" s="180">
        <v>44</v>
      </c>
      <c r="X12" s="181">
        <v>37</v>
      </c>
      <c r="Y12" s="182">
        <v>37</v>
      </c>
      <c r="Z12" s="180">
        <v>44</v>
      </c>
      <c r="AA12" s="181">
        <v>37</v>
      </c>
      <c r="AB12" s="182">
        <v>37</v>
      </c>
      <c r="AC12" s="180">
        <v>44</v>
      </c>
      <c r="AD12" s="181">
        <v>37</v>
      </c>
      <c r="AE12" s="182">
        <v>37</v>
      </c>
      <c r="AF12" s="180">
        <v>44</v>
      </c>
      <c r="AG12" s="181">
        <v>37</v>
      </c>
      <c r="AH12" s="182">
        <v>37</v>
      </c>
      <c r="AI12" s="168" t="s">
        <v>2554</v>
      </c>
      <c r="AJ12" s="169" t="s">
        <v>2555</v>
      </c>
      <c r="AK12" s="170" t="s">
        <v>2556</v>
      </c>
      <c r="AL12" s="169" t="s">
        <v>14</v>
      </c>
      <c r="AM12" s="183">
        <v>1005</v>
      </c>
    </row>
    <row r="13" spans="1:39" s="2" customFormat="1">
      <c r="A13" s="179" t="s">
        <v>423</v>
      </c>
      <c r="B13" s="238" t="s">
        <v>163</v>
      </c>
      <c r="C13" s="164" t="s">
        <v>2553</v>
      </c>
      <c r="D13" s="236" t="s">
        <v>2559</v>
      </c>
      <c r="E13" s="180">
        <v>44</v>
      </c>
      <c r="F13" s="181">
        <v>37</v>
      </c>
      <c r="G13" s="182">
        <v>37</v>
      </c>
      <c r="H13" s="180">
        <v>44</v>
      </c>
      <c r="I13" s="181">
        <v>37</v>
      </c>
      <c r="J13" s="182">
        <v>37</v>
      </c>
      <c r="K13" s="180">
        <v>44</v>
      </c>
      <c r="L13" s="181">
        <v>37</v>
      </c>
      <c r="M13" s="182">
        <v>37</v>
      </c>
      <c r="N13" s="180">
        <v>44</v>
      </c>
      <c r="O13" s="181">
        <v>37</v>
      </c>
      <c r="P13" s="182">
        <v>37</v>
      </c>
      <c r="Q13" s="180">
        <v>44</v>
      </c>
      <c r="R13" s="181">
        <v>37</v>
      </c>
      <c r="S13" s="182">
        <v>37</v>
      </c>
      <c r="T13" s="180">
        <v>44</v>
      </c>
      <c r="U13" s="181">
        <v>37</v>
      </c>
      <c r="V13" s="182">
        <v>37</v>
      </c>
      <c r="W13" s="180">
        <v>44</v>
      </c>
      <c r="X13" s="181">
        <v>37</v>
      </c>
      <c r="Y13" s="182">
        <v>37</v>
      </c>
      <c r="Z13" s="180">
        <v>44</v>
      </c>
      <c r="AA13" s="181">
        <v>37</v>
      </c>
      <c r="AB13" s="182">
        <v>37</v>
      </c>
      <c r="AC13" s="180">
        <v>44</v>
      </c>
      <c r="AD13" s="181">
        <v>37</v>
      </c>
      <c r="AE13" s="182">
        <v>37</v>
      </c>
      <c r="AF13" s="180">
        <v>44</v>
      </c>
      <c r="AG13" s="181">
        <v>37</v>
      </c>
      <c r="AH13" s="182">
        <v>37</v>
      </c>
      <c r="AI13" s="168" t="s">
        <v>2554</v>
      </c>
      <c r="AJ13" s="169" t="s">
        <v>2555</v>
      </c>
      <c r="AK13" s="170" t="s">
        <v>2556</v>
      </c>
      <c r="AL13" s="169" t="s">
        <v>14</v>
      </c>
      <c r="AM13" s="183">
        <v>1005</v>
      </c>
    </row>
    <row r="14" spans="1:39" s="2" customFormat="1">
      <c r="A14" s="179" t="s">
        <v>423</v>
      </c>
      <c r="B14" s="238" t="s">
        <v>163</v>
      </c>
      <c r="C14" s="164" t="s">
        <v>2571</v>
      </c>
      <c r="D14" s="236" t="s">
        <v>2573</v>
      </c>
      <c r="E14" s="180">
        <v>106.6</v>
      </c>
      <c r="F14" s="181">
        <v>106.6</v>
      </c>
      <c r="G14" s="182">
        <v>106.6</v>
      </c>
      <c r="H14" s="180">
        <v>106.6</v>
      </c>
      <c r="I14" s="181">
        <v>106.6</v>
      </c>
      <c r="J14" s="182">
        <v>106.6</v>
      </c>
      <c r="K14" s="180">
        <v>106.6</v>
      </c>
      <c r="L14" s="181">
        <v>106.6</v>
      </c>
      <c r="M14" s="182">
        <v>106.6</v>
      </c>
      <c r="N14" s="180">
        <v>106.6</v>
      </c>
      <c r="O14" s="181">
        <v>106.6</v>
      </c>
      <c r="P14" s="182">
        <v>106.6</v>
      </c>
      <c r="Q14" s="180">
        <v>106.6</v>
      </c>
      <c r="R14" s="181">
        <v>106.6</v>
      </c>
      <c r="S14" s="182">
        <v>106.6</v>
      </c>
      <c r="T14" s="180">
        <v>106.6</v>
      </c>
      <c r="U14" s="181">
        <v>106.6</v>
      </c>
      <c r="V14" s="182">
        <v>106.6</v>
      </c>
      <c r="W14" s="180">
        <v>106.6</v>
      </c>
      <c r="X14" s="181">
        <v>106.6</v>
      </c>
      <c r="Y14" s="182">
        <v>106.6</v>
      </c>
      <c r="Z14" s="180">
        <v>106.6</v>
      </c>
      <c r="AA14" s="181">
        <v>106.6</v>
      </c>
      <c r="AB14" s="182">
        <v>106.6</v>
      </c>
      <c r="AC14" s="180">
        <v>106.6</v>
      </c>
      <c r="AD14" s="181">
        <v>106.6</v>
      </c>
      <c r="AE14" s="182">
        <v>106.6</v>
      </c>
      <c r="AF14" s="180">
        <v>106.6</v>
      </c>
      <c r="AG14" s="181">
        <v>106.6</v>
      </c>
      <c r="AH14" s="182">
        <v>106.6</v>
      </c>
      <c r="AI14" s="168" t="s">
        <v>2572</v>
      </c>
      <c r="AJ14" s="169" t="s">
        <v>2485</v>
      </c>
      <c r="AK14" s="170" t="s">
        <v>2486</v>
      </c>
      <c r="AL14" s="169" t="s">
        <v>17</v>
      </c>
      <c r="AM14" s="183">
        <v>1006</v>
      </c>
    </row>
    <row r="15" spans="1:39" s="2" customFormat="1">
      <c r="A15" s="179" t="s">
        <v>423</v>
      </c>
      <c r="B15" s="238" t="s">
        <v>163</v>
      </c>
      <c r="C15" s="164" t="s">
        <v>1945</v>
      </c>
      <c r="D15" s="236" t="s">
        <v>2585</v>
      </c>
      <c r="E15" s="180">
        <v>29.9</v>
      </c>
      <c r="F15" s="181">
        <v>29.9</v>
      </c>
      <c r="G15" s="182">
        <v>28.8</v>
      </c>
      <c r="H15" s="180">
        <v>29.9</v>
      </c>
      <c r="I15" s="181">
        <v>29.9</v>
      </c>
      <c r="J15" s="182">
        <v>28.8</v>
      </c>
      <c r="K15" s="180">
        <v>29.9</v>
      </c>
      <c r="L15" s="181">
        <v>29.9</v>
      </c>
      <c r="M15" s="182">
        <v>28.8</v>
      </c>
      <c r="N15" s="180">
        <v>29.9</v>
      </c>
      <c r="O15" s="181">
        <v>29.9</v>
      </c>
      <c r="P15" s="182">
        <v>28.8</v>
      </c>
      <c r="Q15" s="180">
        <v>19.899999999999999</v>
      </c>
      <c r="R15" s="181">
        <v>19.899999999999999</v>
      </c>
      <c r="S15" s="182">
        <v>19.2</v>
      </c>
      <c r="T15" s="180">
        <v>19.899999999999999</v>
      </c>
      <c r="U15" s="181">
        <v>19.899999999999999</v>
      </c>
      <c r="V15" s="182">
        <v>19.2</v>
      </c>
      <c r="W15" s="180">
        <v>19.899999999999999</v>
      </c>
      <c r="X15" s="181">
        <v>19.899999999999999</v>
      </c>
      <c r="Y15" s="182">
        <v>19.2</v>
      </c>
      <c r="Z15" s="180">
        <v>19.899999999999999</v>
      </c>
      <c r="AA15" s="181">
        <v>19.899999999999999</v>
      </c>
      <c r="AB15" s="182">
        <v>19.2</v>
      </c>
      <c r="AC15" s="180">
        <v>19.899999999999999</v>
      </c>
      <c r="AD15" s="181">
        <v>19.899999999999999</v>
      </c>
      <c r="AE15" s="182">
        <v>19.2</v>
      </c>
      <c r="AF15" s="180">
        <v>19.899999999999999</v>
      </c>
      <c r="AG15" s="181">
        <v>19.899999999999999</v>
      </c>
      <c r="AH15" s="182">
        <v>19.2</v>
      </c>
      <c r="AI15" s="168" t="s">
        <v>2498</v>
      </c>
      <c r="AJ15" s="169" t="s">
        <v>2466</v>
      </c>
      <c r="AK15" s="170" t="s">
        <v>2467</v>
      </c>
      <c r="AL15" s="169" t="s">
        <v>20</v>
      </c>
      <c r="AM15" s="183">
        <v>1469</v>
      </c>
    </row>
    <row r="16" spans="1:39" s="2" customFormat="1">
      <c r="A16" s="179" t="s">
        <v>7</v>
      </c>
      <c r="B16" s="238" t="s">
        <v>163</v>
      </c>
      <c r="C16" s="164" t="s">
        <v>1659</v>
      </c>
      <c r="D16" s="236" t="s">
        <v>1660</v>
      </c>
      <c r="E16" s="180">
        <v>155.01</v>
      </c>
      <c r="F16" s="181">
        <v>155.01</v>
      </c>
      <c r="G16" s="182">
        <v>0</v>
      </c>
      <c r="H16" s="180">
        <v>155.01</v>
      </c>
      <c r="I16" s="181">
        <v>155.01</v>
      </c>
      <c r="J16" s="182">
        <v>0</v>
      </c>
      <c r="K16" s="180">
        <v>155.01</v>
      </c>
      <c r="L16" s="181">
        <v>155.01</v>
      </c>
      <c r="M16" s="182">
        <v>0</v>
      </c>
      <c r="N16" s="180">
        <v>155.01</v>
      </c>
      <c r="O16" s="181">
        <v>155.01</v>
      </c>
      <c r="P16" s="182">
        <v>0</v>
      </c>
      <c r="Q16" s="180">
        <v>155.01</v>
      </c>
      <c r="R16" s="181">
        <v>155.01</v>
      </c>
      <c r="S16" s="182">
        <v>0</v>
      </c>
      <c r="T16" s="180">
        <v>155.01</v>
      </c>
      <c r="U16" s="181">
        <v>155.01</v>
      </c>
      <c r="V16" s="182">
        <v>0</v>
      </c>
      <c r="W16" s="180">
        <v>155.01</v>
      </c>
      <c r="X16" s="181">
        <v>155.01</v>
      </c>
      <c r="Y16" s="182">
        <v>0</v>
      </c>
      <c r="Z16" s="180">
        <v>155.01</v>
      </c>
      <c r="AA16" s="181">
        <v>155.01</v>
      </c>
      <c r="AB16" s="182">
        <v>0</v>
      </c>
      <c r="AC16" s="180">
        <v>155.01</v>
      </c>
      <c r="AD16" s="181">
        <v>155.01</v>
      </c>
      <c r="AE16" s="182">
        <v>0</v>
      </c>
      <c r="AF16" s="180">
        <v>155.01</v>
      </c>
      <c r="AG16" s="181">
        <v>155.01</v>
      </c>
      <c r="AH16" s="182">
        <v>0</v>
      </c>
      <c r="AI16" s="168" t="s">
        <v>1311</v>
      </c>
      <c r="AJ16" s="169" t="s">
        <v>2485</v>
      </c>
      <c r="AK16" s="170" t="s">
        <v>2486</v>
      </c>
      <c r="AL16" s="169" t="s">
        <v>17</v>
      </c>
      <c r="AM16" s="183">
        <v>1282</v>
      </c>
    </row>
    <row r="17" spans="1:39" s="2" customFormat="1">
      <c r="A17" s="179" t="s">
        <v>7</v>
      </c>
      <c r="B17" s="238" t="s">
        <v>163</v>
      </c>
      <c r="C17" s="164" t="s">
        <v>1310</v>
      </c>
      <c r="D17" s="236" t="s">
        <v>1312</v>
      </c>
      <c r="E17" s="180">
        <v>82</v>
      </c>
      <c r="F17" s="181">
        <v>82</v>
      </c>
      <c r="G17" s="182">
        <v>0</v>
      </c>
      <c r="H17" s="180">
        <v>82</v>
      </c>
      <c r="I17" s="181">
        <v>82</v>
      </c>
      <c r="J17" s="182">
        <v>0</v>
      </c>
      <c r="K17" s="180">
        <v>82</v>
      </c>
      <c r="L17" s="181">
        <v>82</v>
      </c>
      <c r="M17" s="182">
        <v>0</v>
      </c>
      <c r="N17" s="180">
        <v>82</v>
      </c>
      <c r="O17" s="181">
        <v>82</v>
      </c>
      <c r="P17" s="182">
        <v>0</v>
      </c>
      <c r="Q17" s="180">
        <v>82</v>
      </c>
      <c r="R17" s="181">
        <v>82</v>
      </c>
      <c r="S17" s="182">
        <v>0</v>
      </c>
      <c r="T17" s="180">
        <v>82</v>
      </c>
      <c r="U17" s="181">
        <v>82</v>
      </c>
      <c r="V17" s="182">
        <v>0</v>
      </c>
      <c r="W17" s="180">
        <v>82</v>
      </c>
      <c r="X17" s="181">
        <v>82</v>
      </c>
      <c r="Y17" s="182">
        <v>0</v>
      </c>
      <c r="Z17" s="180">
        <v>82</v>
      </c>
      <c r="AA17" s="181">
        <v>82</v>
      </c>
      <c r="AB17" s="182">
        <v>0</v>
      </c>
      <c r="AC17" s="180">
        <v>82</v>
      </c>
      <c r="AD17" s="181">
        <v>82</v>
      </c>
      <c r="AE17" s="182">
        <v>0</v>
      </c>
      <c r="AF17" s="180">
        <v>82</v>
      </c>
      <c r="AG17" s="181">
        <v>82</v>
      </c>
      <c r="AH17" s="182">
        <v>0</v>
      </c>
      <c r="AI17" s="168" t="s">
        <v>1311</v>
      </c>
      <c r="AJ17" s="169" t="s">
        <v>2485</v>
      </c>
      <c r="AK17" s="170" t="s">
        <v>2486</v>
      </c>
      <c r="AL17" s="169" t="s">
        <v>17</v>
      </c>
      <c r="AM17" s="183">
        <v>1843</v>
      </c>
    </row>
    <row r="18" spans="1:39" s="2" customFormat="1">
      <c r="A18" s="179" t="s">
        <v>423</v>
      </c>
      <c r="B18" s="238" t="s">
        <v>163</v>
      </c>
      <c r="C18" s="164" t="s">
        <v>1905</v>
      </c>
      <c r="D18" s="236" t="s">
        <v>1907</v>
      </c>
      <c r="E18" s="180">
        <v>88</v>
      </c>
      <c r="F18" s="181">
        <v>84</v>
      </c>
      <c r="G18" s="182">
        <v>84</v>
      </c>
      <c r="H18" s="180">
        <v>88</v>
      </c>
      <c r="I18" s="181">
        <v>84</v>
      </c>
      <c r="J18" s="182">
        <v>84</v>
      </c>
      <c r="K18" s="180">
        <v>88</v>
      </c>
      <c r="L18" s="181">
        <v>84</v>
      </c>
      <c r="M18" s="182">
        <v>84</v>
      </c>
      <c r="N18" s="180">
        <v>88</v>
      </c>
      <c r="O18" s="181">
        <v>84</v>
      </c>
      <c r="P18" s="182">
        <v>84</v>
      </c>
      <c r="Q18" s="180">
        <v>88</v>
      </c>
      <c r="R18" s="181">
        <v>84</v>
      </c>
      <c r="S18" s="182">
        <v>84</v>
      </c>
      <c r="T18" s="180">
        <v>88</v>
      </c>
      <c r="U18" s="181">
        <v>84</v>
      </c>
      <c r="V18" s="182">
        <v>84</v>
      </c>
      <c r="W18" s="180">
        <v>88</v>
      </c>
      <c r="X18" s="181">
        <v>84</v>
      </c>
      <c r="Y18" s="182">
        <v>84</v>
      </c>
      <c r="Z18" s="180">
        <v>88</v>
      </c>
      <c r="AA18" s="181">
        <v>84</v>
      </c>
      <c r="AB18" s="182">
        <v>84</v>
      </c>
      <c r="AC18" s="180">
        <v>88</v>
      </c>
      <c r="AD18" s="181">
        <v>84</v>
      </c>
      <c r="AE18" s="182">
        <v>84</v>
      </c>
      <c r="AF18" s="180">
        <v>88</v>
      </c>
      <c r="AG18" s="181">
        <v>84</v>
      </c>
      <c r="AH18" s="182">
        <v>84</v>
      </c>
      <c r="AI18" s="168" t="s">
        <v>1906</v>
      </c>
      <c r="AJ18" s="169" t="s">
        <v>2491</v>
      </c>
      <c r="AK18" s="170" t="s">
        <v>2477</v>
      </c>
      <c r="AL18" s="169" t="s">
        <v>2479</v>
      </c>
      <c r="AM18" s="183">
        <v>1492</v>
      </c>
    </row>
    <row r="19" spans="1:39" s="2" customFormat="1">
      <c r="A19" s="179" t="s">
        <v>309</v>
      </c>
      <c r="B19" s="238" t="s">
        <v>163</v>
      </c>
      <c r="C19" s="164" t="s">
        <v>2226</v>
      </c>
      <c r="D19" s="236" t="s">
        <v>2606</v>
      </c>
      <c r="E19" s="180">
        <v>37</v>
      </c>
      <c r="F19" s="181">
        <v>36</v>
      </c>
      <c r="G19" s="182">
        <v>32</v>
      </c>
      <c r="H19" s="180">
        <v>37</v>
      </c>
      <c r="I19" s="181">
        <v>36</v>
      </c>
      <c r="J19" s="182">
        <v>32</v>
      </c>
      <c r="K19" s="180">
        <v>37</v>
      </c>
      <c r="L19" s="181">
        <v>36</v>
      </c>
      <c r="M19" s="182">
        <v>32</v>
      </c>
      <c r="N19" s="180">
        <v>37</v>
      </c>
      <c r="O19" s="181">
        <v>36</v>
      </c>
      <c r="P19" s="182">
        <v>32</v>
      </c>
      <c r="Q19" s="180">
        <v>37</v>
      </c>
      <c r="R19" s="181">
        <v>36</v>
      </c>
      <c r="S19" s="182">
        <v>32</v>
      </c>
      <c r="T19" s="180">
        <v>37</v>
      </c>
      <c r="U19" s="181">
        <v>36</v>
      </c>
      <c r="V19" s="182">
        <v>32</v>
      </c>
      <c r="W19" s="180">
        <v>37</v>
      </c>
      <c r="X19" s="181">
        <v>36</v>
      </c>
      <c r="Y19" s="182">
        <v>32</v>
      </c>
      <c r="Z19" s="180">
        <v>37</v>
      </c>
      <c r="AA19" s="181">
        <v>36</v>
      </c>
      <c r="AB19" s="182">
        <v>32</v>
      </c>
      <c r="AC19" s="180">
        <v>37</v>
      </c>
      <c r="AD19" s="181">
        <v>36</v>
      </c>
      <c r="AE19" s="182">
        <v>32</v>
      </c>
      <c r="AF19" s="180">
        <v>37</v>
      </c>
      <c r="AG19" s="181">
        <v>36</v>
      </c>
      <c r="AH19" s="182">
        <v>32</v>
      </c>
      <c r="AI19" s="168" t="s">
        <v>2605</v>
      </c>
      <c r="AJ19" s="169" t="s">
        <v>2555</v>
      </c>
      <c r="AK19" s="170" t="s">
        <v>2556</v>
      </c>
      <c r="AL19" s="169" t="s">
        <v>14</v>
      </c>
      <c r="AM19" s="183">
        <v>1010</v>
      </c>
    </row>
    <row r="20" spans="1:39" s="2" customFormat="1">
      <c r="A20" s="179" t="s">
        <v>380</v>
      </c>
      <c r="B20" s="238" t="s">
        <v>163</v>
      </c>
      <c r="C20" s="164" t="s">
        <v>1772</v>
      </c>
      <c r="D20" s="236" t="s">
        <v>1774</v>
      </c>
      <c r="E20" s="180">
        <v>210</v>
      </c>
      <c r="F20" s="181">
        <v>210</v>
      </c>
      <c r="G20" s="182">
        <v>205.2</v>
      </c>
      <c r="H20" s="180">
        <v>210</v>
      </c>
      <c r="I20" s="181">
        <v>210</v>
      </c>
      <c r="J20" s="182">
        <v>205.2</v>
      </c>
      <c r="K20" s="180">
        <v>210</v>
      </c>
      <c r="L20" s="181">
        <v>210</v>
      </c>
      <c r="M20" s="182">
        <v>205.2</v>
      </c>
      <c r="N20" s="180">
        <v>210</v>
      </c>
      <c r="O20" s="181">
        <v>210</v>
      </c>
      <c r="P20" s="182">
        <v>205.2</v>
      </c>
      <c r="Q20" s="180">
        <v>210</v>
      </c>
      <c r="R20" s="181">
        <v>210</v>
      </c>
      <c r="S20" s="182">
        <v>205.2</v>
      </c>
      <c r="T20" s="180">
        <v>210</v>
      </c>
      <c r="U20" s="181">
        <v>210</v>
      </c>
      <c r="V20" s="182">
        <v>205.2</v>
      </c>
      <c r="W20" s="180">
        <v>210</v>
      </c>
      <c r="X20" s="181">
        <v>210</v>
      </c>
      <c r="Y20" s="182">
        <v>205.2</v>
      </c>
      <c r="Z20" s="180">
        <v>210</v>
      </c>
      <c r="AA20" s="181">
        <v>210</v>
      </c>
      <c r="AB20" s="182">
        <v>205.2</v>
      </c>
      <c r="AC20" s="180">
        <v>210</v>
      </c>
      <c r="AD20" s="181">
        <v>210</v>
      </c>
      <c r="AE20" s="182">
        <v>205.2</v>
      </c>
      <c r="AF20" s="180">
        <v>210</v>
      </c>
      <c r="AG20" s="181">
        <v>210</v>
      </c>
      <c r="AH20" s="182">
        <v>205.2</v>
      </c>
      <c r="AI20" s="168" t="s">
        <v>1773</v>
      </c>
      <c r="AJ20" s="169" t="s">
        <v>2506</v>
      </c>
      <c r="AK20" s="170" t="s">
        <v>2556</v>
      </c>
      <c r="AL20" s="169" t="s">
        <v>15</v>
      </c>
      <c r="AM20" s="183">
        <v>1463</v>
      </c>
    </row>
    <row r="21" spans="1:39" s="2" customFormat="1">
      <c r="A21" s="179" t="s">
        <v>309</v>
      </c>
      <c r="B21" s="238" t="s">
        <v>163</v>
      </c>
      <c r="C21" s="164" t="s">
        <v>935</v>
      </c>
      <c r="D21" s="236" t="s">
        <v>937</v>
      </c>
      <c r="E21" s="180">
        <v>33</v>
      </c>
      <c r="F21" s="181">
        <v>33</v>
      </c>
      <c r="G21" s="182">
        <v>33</v>
      </c>
      <c r="H21" s="180">
        <v>33</v>
      </c>
      <c r="I21" s="181">
        <v>33</v>
      </c>
      <c r="J21" s="182">
        <v>33</v>
      </c>
      <c r="K21" s="180">
        <v>33</v>
      </c>
      <c r="L21" s="181">
        <v>33</v>
      </c>
      <c r="M21" s="182">
        <v>33</v>
      </c>
      <c r="N21" s="180">
        <v>33</v>
      </c>
      <c r="O21" s="181">
        <v>33</v>
      </c>
      <c r="P21" s="182">
        <v>33</v>
      </c>
      <c r="Q21" s="180">
        <v>33</v>
      </c>
      <c r="R21" s="181">
        <v>33</v>
      </c>
      <c r="S21" s="182">
        <v>33</v>
      </c>
      <c r="T21" s="180">
        <v>33</v>
      </c>
      <c r="U21" s="181">
        <v>33</v>
      </c>
      <c r="V21" s="182">
        <v>33</v>
      </c>
      <c r="W21" s="180">
        <v>33</v>
      </c>
      <c r="X21" s="181">
        <v>33</v>
      </c>
      <c r="Y21" s="182">
        <v>33</v>
      </c>
      <c r="Z21" s="180">
        <v>33</v>
      </c>
      <c r="AA21" s="181">
        <v>33</v>
      </c>
      <c r="AB21" s="182">
        <v>33</v>
      </c>
      <c r="AC21" s="180">
        <v>33</v>
      </c>
      <c r="AD21" s="181">
        <v>33</v>
      </c>
      <c r="AE21" s="182">
        <v>33</v>
      </c>
      <c r="AF21" s="180">
        <v>33</v>
      </c>
      <c r="AG21" s="181">
        <v>33</v>
      </c>
      <c r="AH21" s="182">
        <v>33</v>
      </c>
      <c r="AI21" s="168" t="s">
        <v>936</v>
      </c>
      <c r="AJ21" s="169" t="s">
        <v>2481</v>
      </c>
      <c r="AK21" s="170" t="s">
        <v>2482</v>
      </c>
      <c r="AL21" s="169" t="s">
        <v>18</v>
      </c>
      <c r="AM21" s="183">
        <v>1012</v>
      </c>
    </row>
    <row r="22" spans="1:39" s="2" customFormat="1">
      <c r="A22" s="179" t="s">
        <v>309</v>
      </c>
      <c r="B22" s="238" t="s">
        <v>163</v>
      </c>
      <c r="C22" s="164" t="s">
        <v>935</v>
      </c>
      <c r="D22" s="236" t="s">
        <v>939</v>
      </c>
      <c r="E22" s="180">
        <v>33</v>
      </c>
      <c r="F22" s="181">
        <v>33</v>
      </c>
      <c r="G22" s="182">
        <v>33</v>
      </c>
      <c r="H22" s="180">
        <v>33</v>
      </c>
      <c r="I22" s="181">
        <v>33</v>
      </c>
      <c r="J22" s="182">
        <v>33</v>
      </c>
      <c r="K22" s="180">
        <v>33</v>
      </c>
      <c r="L22" s="181">
        <v>33</v>
      </c>
      <c r="M22" s="182">
        <v>33</v>
      </c>
      <c r="N22" s="180">
        <v>33</v>
      </c>
      <c r="O22" s="181">
        <v>33</v>
      </c>
      <c r="P22" s="182">
        <v>33</v>
      </c>
      <c r="Q22" s="180">
        <v>33</v>
      </c>
      <c r="R22" s="181">
        <v>33</v>
      </c>
      <c r="S22" s="182">
        <v>33</v>
      </c>
      <c r="T22" s="180">
        <v>33</v>
      </c>
      <c r="U22" s="181">
        <v>33</v>
      </c>
      <c r="V22" s="182">
        <v>33</v>
      </c>
      <c r="W22" s="180">
        <v>33</v>
      </c>
      <c r="X22" s="181">
        <v>33</v>
      </c>
      <c r="Y22" s="182">
        <v>33</v>
      </c>
      <c r="Z22" s="180">
        <v>33</v>
      </c>
      <c r="AA22" s="181">
        <v>33</v>
      </c>
      <c r="AB22" s="182">
        <v>33</v>
      </c>
      <c r="AC22" s="180">
        <v>33</v>
      </c>
      <c r="AD22" s="181">
        <v>33</v>
      </c>
      <c r="AE22" s="182">
        <v>33</v>
      </c>
      <c r="AF22" s="180">
        <v>33</v>
      </c>
      <c r="AG22" s="181">
        <v>33</v>
      </c>
      <c r="AH22" s="182">
        <v>33</v>
      </c>
      <c r="AI22" s="168" t="s">
        <v>936</v>
      </c>
      <c r="AJ22" s="169" t="s">
        <v>2481</v>
      </c>
      <c r="AK22" s="170" t="s">
        <v>2482</v>
      </c>
      <c r="AL22" s="169" t="s">
        <v>18</v>
      </c>
      <c r="AM22" s="183">
        <v>1012</v>
      </c>
    </row>
    <row r="23" spans="1:39" s="2" customFormat="1">
      <c r="A23" s="179" t="s">
        <v>565</v>
      </c>
      <c r="B23" s="238" t="s">
        <v>163</v>
      </c>
      <c r="C23" s="164" t="s">
        <v>2633</v>
      </c>
      <c r="D23" s="236" t="s">
        <v>2634</v>
      </c>
      <c r="E23" s="180">
        <v>81</v>
      </c>
      <c r="F23" s="181">
        <v>81</v>
      </c>
      <c r="G23" s="182">
        <v>81</v>
      </c>
      <c r="H23" s="180">
        <v>81</v>
      </c>
      <c r="I23" s="181">
        <v>81</v>
      </c>
      <c r="J23" s="182">
        <v>81</v>
      </c>
      <c r="K23" s="180">
        <v>81</v>
      </c>
      <c r="L23" s="181">
        <v>0</v>
      </c>
      <c r="M23" s="182">
        <v>0</v>
      </c>
      <c r="N23" s="180">
        <v>0</v>
      </c>
      <c r="O23" s="181">
        <v>84</v>
      </c>
      <c r="P23" s="182">
        <v>84</v>
      </c>
      <c r="Q23" s="180">
        <v>84</v>
      </c>
      <c r="R23" s="181">
        <v>84</v>
      </c>
      <c r="S23" s="182">
        <v>84</v>
      </c>
      <c r="T23" s="180">
        <v>84</v>
      </c>
      <c r="U23" s="181">
        <v>84</v>
      </c>
      <c r="V23" s="182">
        <v>84</v>
      </c>
      <c r="W23" s="180">
        <v>84</v>
      </c>
      <c r="X23" s="181">
        <v>84</v>
      </c>
      <c r="Y23" s="182">
        <v>84</v>
      </c>
      <c r="Z23" s="180">
        <v>84</v>
      </c>
      <c r="AA23" s="181">
        <v>84</v>
      </c>
      <c r="AB23" s="182">
        <v>84</v>
      </c>
      <c r="AC23" s="180">
        <v>84</v>
      </c>
      <c r="AD23" s="181">
        <v>84</v>
      </c>
      <c r="AE23" s="182">
        <v>84</v>
      </c>
      <c r="AF23" s="180">
        <v>84</v>
      </c>
      <c r="AG23" s="181">
        <v>84</v>
      </c>
      <c r="AH23" s="182">
        <v>84</v>
      </c>
      <c r="AI23" s="168" t="s">
        <v>1137</v>
      </c>
      <c r="AJ23" s="169" t="s">
        <v>2593</v>
      </c>
      <c r="AK23" s="170" t="s">
        <v>2482</v>
      </c>
      <c r="AL23" s="169" t="s">
        <v>18</v>
      </c>
      <c r="AM23" s="183">
        <v>1013</v>
      </c>
    </row>
    <row r="24" spans="1:39" s="2" customFormat="1">
      <c r="A24" s="179" t="s">
        <v>7</v>
      </c>
      <c r="B24" s="238" t="s">
        <v>163</v>
      </c>
      <c r="C24" s="164" t="s">
        <v>1568</v>
      </c>
      <c r="D24" s="236" t="s">
        <v>2641</v>
      </c>
      <c r="E24" s="180">
        <v>660</v>
      </c>
      <c r="F24" s="181">
        <v>660</v>
      </c>
      <c r="G24" s="182">
        <v>630</v>
      </c>
      <c r="H24" s="180">
        <v>660</v>
      </c>
      <c r="I24" s="181">
        <v>660</v>
      </c>
      <c r="J24" s="182">
        <v>630</v>
      </c>
      <c r="K24" s="180">
        <v>660</v>
      </c>
      <c r="L24" s="181">
        <v>660</v>
      </c>
      <c r="M24" s="182">
        <v>630</v>
      </c>
      <c r="N24" s="180">
        <v>660</v>
      </c>
      <c r="O24" s="181">
        <v>660</v>
      </c>
      <c r="P24" s="182">
        <v>630</v>
      </c>
      <c r="Q24" s="180">
        <v>660</v>
      </c>
      <c r="R24" s="181">
        <v>660</v>
      </c>
      <c r="S24" s="182">
        <v>630</v>
      </c>
      <c r="T24" s="180">
        <v>660</v>
      </c>
      <c r="U24" s="181">
        <v>660</v>
      </c>
      <c r="V24" s="182">
        <v>630</v>
      </c>
      <c r="W24" s="180">
        <v>660</v>
      </c>
      <c r="X24" s="181">
        <v>660</v>
      </c>
      <c r="Y24" s="182">
        <v>630</v>
      </c>
      <c r="Z24" s="180">
        <v>660</v>
      </c>
      <c r="AA24" s="181">
        <v>660</v>
      </c>
      <c r="AB24" s="182">
        <v>630</v>
      </c>
      <c r="AC24" s="180">
        <v>660</v>
      </c>
      <c r="AD24" s="181">
        <v>660</v>
      </c>
      <c r="AE24" s="182">
        <v>630</v>
      </c>
      <c r="AF24" s="180">
        <v>660</v>
      </c>
      <c r="AG24" s="181">
        <v>660</v>
      </c>
      <c r="AH24" s="182">
        <v>630</v>
      </c>
      <c r="AI24" s="168" t="s">
        <v>1300</v>
      </c>
      <c r="AJ24" s="169" t="s">
        <v>2639</v>
      </c>
      <c r="AK24" s="170" t="s">
        <v>2640</v>
      </c>
      <c r="AL24" s="169" t="s">
        <v>12</v>
      </c>
      <c r="AM24" s="183">
        <v>1014</v>
      </c>
    </row>
    <row r="25" spans="1:39" s="2" customFormat="1">
      <c r="A25" s="179" t="s">
        <v>7</v>
      </c>
      <c r="B25" s="238" t="s">
        <v>163</v>
      </c>
      <c r="C25" s="164" t="s">
        <v>1568</v>
      </c>
      <c r="D25" s="236" t="s">
        <v>2642</v>
      </c>
      <c r="E25" s="180">
        <v>685</v>
      </c>
      <c r="F25" s="181">
        <v>685</v>
      </c>
      <c r="G25" s="182">
        <v>655</v>
      </c>
      <c r="H25" s="180">
        <v>685</v>
      </c>
      <c r="I25" s="181">
        <v>685</v>
      </c>
      <c r="J25" s="182">
        <v>655</v>
      </c>
      <c r="K25" s="180">
        <v>685</v>
      </c>
      <c r="L25" s="181">
        <v>685</v>
      </c>
      <c r="M25" s="182">
        <v>655</v>
      </c>
      <c r="N25" s="180">
        <v>685</v>
      </c>
      <c r="O25" s="181">
        <v>685</v>
      </c>
      <c r="P25" s="182">
        <v>655</v>
      </c>
      <c r="Q25" s="180">
        <v>685</v>
      </c>
      <c r="R25" s="181">
        <v>685</v>
      </c>
      <c r="S25" s="182">
        <v>655</v>
      </c>
      <c r="T25" s="180">
        <v>685</v>
      </c>
      <c r="U25" s="181">
        <v>685</v>
      </c>
      <c r="V25" s="182">
        <v>655</v>
      </c>
      <c r="W25" s="180">
        <v>685</v>
      </c>
      <c r="X25" s="181">
        <v>685</v>
      </c>
      <c r="Y25" s="182">
        <v>655</v>
      </c>
      <c r="Z25" s="180">
        <v>685</v>
      </c>
      <c r="AA25" s="181">
        <v>685</v>
      </c>
      <c r="AB25" s="182">
        <v>655</v>
      </c>
      <c r="AC25" s="180">
        <v>685</v>
      </c>
      <c r="AD25" s="181">
        <v>685</v>
      </c>
      <c r="AE25" s="182">
        <v>655</v>
      </c>
      <c r="AF25" s="180">
        <v>685</v>
      </c>
      <c r="AG25" s="181">
        <v>685</v>
      </c>
      <c r="AH25" s="182">
        <v>655</v>
      </c>
      <c r="AI25" s="168" t="s">
        <v>1300</v>
      </c>
      <c r="AJ25" s="169" t="s">
        <v>2639</v>
      </c>
      <c r="AK25" s="170" t="s">
        <v>2640</v>
      </c>
      <c r="AL25" s="169" t="s">
        <v>12</v>
      </c>
      <c r="AM25" s="183">
        <v>1014</v>
      </c>
    </row>
    <row r="26" spans="1:39" s="2" customFormat="1">
      <c r="A26" s="179" t="s">
        <v>7</v>
      </c>
      <c r="B26" s="238" t="s">
        <v>163</v>
      </c>
      <c r="C26" s="164" t="s">
        <v>1568</v>
      </c>
      <c r="D26" s="236" t="s">
        <v>2643</v>
      </c>
      <c r="E26" s="180">
        <v>685</v>
      </c>
      <c r="F26" s="181">
        <v>685</v>
      </c>
      <c r="G26" s="182">
        <v>655</v>
      </c>
      <c r="H26" s="180">
        <v>685</v>
      </c>
      <c r="I26" s="181">
        <v>685</v>
      </c>
      <c r="J26" s="182">
        <v>655</v>
      </c>
      <c r="K26" s="180">
        <v>685</v>
      </c>
      <c r="L26" s="181">
        <v>685</v>
      </c>
      <c r="M26" s="182">
        <v>655</v>
      </c>
      <c r="N26" s="180">
        <v>685</v>
      </c>
      <c r="O26" s="181">
        <v>685</v>
      </c>
      <c r="P26" s="182">
        <v>655</v>
      </c>
      <c r="Q26" s="180">
        <v>685</v>
      </c>
      <c r="R26" s="181">
        <v>685</v>
      </c>
      <c r="S26" s="182">
        <v>655</v>
      </c>
      <c r="T26" s="180">
        <v>685</v>
      </c>
      <c r="U26" s="181">
        <v>685</v>
      </c>
      <c r="V26" s="182">
        <v>655</v>
      </c>
      <c r="W26" s="180">
        <v>685</v>
      </c>
      <c r="X26" s="181">
        <v>685</v>
      </c>
      <c r="Y26" s="182">
        <v>655</v>
      </c>
      <c r="Z26" s="180">
        <v>685</v>
      </c>
      <c r="AA26" s="181">
        <v>685</v>
      </c>
      <c r="AB26" s="182">
        <v>655</v>
      </c>
      <c r="AC26" s="180">
        <v>685</v>
      </c>
      <c r="AD26" s="181">
        <v>685</v>
      </c>
      <c r="AE26" s="182">
        <v>655</v>
      </c>
      <c r="AF26" s="180">
        <v>685</v>
      </c>
      <c r="AG26" s="181">
        <v>685</v>
      </c>
      <c r="AH26" s="182">
        <v>655</v>
      </c>
      <c r="AI26" s="168" t="s">
        <v>1300</v>
      </c>
      <c r="AJ26" s="169" t="s">
        <v>2639</v>
      </c>
      <c r="AK26" s="170" t="s">
        <v>2640</v>
      </c>
      <c r="AL26" s="169" t="s">
        <v>12</v>
      </c>
      <c r="AM26" s="183">
        <v>1014</v>
      </c>
    </row>
    <row r="27" spans="1:39" s="2" customFormat="1">
      <c r="A27" s="179" t="s">
        <v>7</v>
      </c>
      <c r="B27" s="238" t="s">
        <v>163</v>
      </c>
      <c r="C27" s="164" t="s">
        <v>1568</v>
      </c>
      <c r="D27" s="236" t="s">
        <v>2644</v>
      </c>
      <c r="E27" s="180">
        <v>685</v>
      </c>
      <c r="F27" s="181">
        <v>685</v>
      </c>
      <c r="G27" s="182">
        <v>655</v>
      </c>
      <c r="H27" s="180">
        <v>685</v>
      </c>
      <c r="I27" s="181">
        <v>685</v>
      </c>
      <c r="J27" s="182">
        <v>655</v>
      </c>
      <c r="K27" s="180">
        <v>685</v>
      </c>
      <c r="L27" s="181">
        <v>685</v>
      </c>
      <c r="M27" s="182">
        <v>655</v>
      </c>
      <c r="N27" s="180">
        <v>685</v>
      </c>
      <c r="O27" s="181">
        <v>685</v>
      </c>
      <c r="P27" s="182">
        <v>655</v>
      </c>
      <c r="Q27" s="180">
        <v>685</v>
      </c>
      <c r="R27" s="181">
        <v>685</v>
      </c>
      <c r="S27" s="182">
        <v>655</v>
      </c>
      <c r="T27" s="180">
        <v>685</v>
      </c>
      <c r="U27" s="181">
        <v>685</v>
      </c>
      <c r="V27" s="182">
        <v>655</v>
      </c>
      <c r="W27" s="180">
        <v>685</v>
      </c>
      <c r="X27" s="181">
        <v>685</v>
      </c>
      <c r="Y27" s="182">
        <v>655</v>
      </c>
      <c r="Z27" s="180">
        <v>685</v>
      </c>
      <c r="AA27" s="181">
        <v>685</v>
      </c>
      <c r="AB27" s="182">
        <v>655</v>
      </c>
      <c r="AC27" s="180">
        <v>685</v>
      </c>
      <c r="AD27" s="181">
        <v>685</v>
      </c>
      <c r="AE27" s="182">
        <v>655</v>
      </c>
      <c r="AF27" s="180">
        <v>685</v>
      </c>
      <c r="AG27" s="181">
        <v>685</v>
      </c>
      <c r="AH27" s="182">
        <v>655</v>
      </c>
      <c r="AI27" s="168" t="s">
        <v>1300</v>
      </c>
      <c r="AJ27" s="169" t="s">
        <v>2639</v>
      </c>
      <c r="AK27" s="170" t="s">
        <v>2640</v>
      </c>
      <c r="AL27" s="169" t="s">
        <v>12</v>
      </c>
      <c r="AM27" s="183">
        <v>1014</v>
      </c>
    </row>
    <row r="28" spans="1:39" s="2" customFormat="1">
      <c r="A28" s="179" t="s">
        <v>565</v>
      </c>
      <c r="B28" s="238" t="s">
        <v>163</v>
      </c>
      <c r="C28" s="164" t="s">
        <v>2655</v>
      </c>
      <c r="D28" s="236" t="s">
        <v>2656</v>
      </c>
      <c r="E28" s="180">
        <v>22</v>
      </c>
      <c r="F28" s="181">
        <v>22</v>
      </c>
      <c r="G28" s="182">
        <v>22</v>
      </c>
      <c r="H28" s="180">
        <v>22</v>
      </c>
      <c r="I28" s="181">
        <v>22</v>
      </c>
      <c r="J28" s="182">
        <v>22</v>
      </c>
      <c r="K28" s="180">
        <v>22</v>
      </c>
      <c r="L28" s="181">
        <v>22</v>
      </c>
      <c r="M28" s="182">
        <v>22</v>
      </c>
      <c r="N28" s="180">
        <v>22</v>
      </c>
      <c r="O28" s="181">
        <v>22</v>
      </c>
      <c r="P28" s="182">
        <v>22</v>
      </c>
      <c r="Q28" s="180">
        <v>22</v>
      </c>
      <c r="R28" s="181">
        <v>22</v>
      </c>
      <c r="S28" s="182">
        <v>22</v>
      </c>
      <c r="T28" s="180">
        <v>22</v>
      </c>
      <c r="U28" s="181">
        <v>22</v>
      </c>
      <c r="V28" s="182">
        <v>22</v>
      </c>
      <c r="W28" s="180">
        <v>22</v>
      </c>
      <c r="X28" s="181">
        <v>22</v>
      </c>
      <c r="Y28" s="182">
        <v>22</v>
      </c>
      <c r="Z28" s="180">
        <v>22</v>
      </c>
      <c r="AA28" s="181">
        <v>22</v>
      </c>
      <c r="AB28" s="182">
        <v>22</v>
      </c>
      <c r="AC28" s="180">
        <v>22</v>
      </c>
      <c r="AD28" s="181">
        <v>22</v>
      </c>
      <c r="AE28" s="182">
        <v>22</v>
      </c>
      <c r="AF28" s="180">
        <v>22</v>
      </c>
      <c r="AG28" s="181">
        <v>22</v>
      </c>
      <c r="AH28" s="182">
        <v>22</v>
      </c>
      <c r="AI28" s="168" t="s">
        <v>1546</v>
      </c>
      <c r="AJ28" s="169" t="s">
        <v>2555</v>
      </c>
      <c r="AK28" s="170" t="s">
        <v>2556</v>
      </c>
      <c r="AL28" s="169" t="s">
        <v>14</v>
      </c>
      <c r="AM28" s="183">
        <v>1015</v>
      </c>
    </row>
    <row r="29" spans="1:39" s="2" customFormat="1">
      <c r="A29" s="179" t="s">
        <v>565</v>
      </c>
      <c r="B29" s="238" t="s">
        <v>163</v>
      </c>
      <c r="C29" s="164" t="s">
        <v>2655</v>
      </c>
      <c r="D29" s="236" t="s">
        <v>2657</v>
      </c>
      <c r="E29" s="180">
        <v>25</v>
      </c>
      <c r="F29" s="181">
        <v>25</v>
      </c>
      <c r="G29" s="182">
        <v>25</v>
      </c>
      <c r="H29" s="180">
        <v>25</v>
      </c>
      <c r="I29" s="181">
        <v>25</v>
      </c>
      <c r="J29" s="182">
        <v>25</v>
      </c>
      <c r="K29" s="180">
        <v>25</v>
      </c>
      <c r="L29" s="181">
        <v>25</v>
      </c>
      <c r="M29" s="182">
        <v>25</v>
      </c>
      <c r="N29" s="180">
        <v>25</v>
      </c>
      <c r="O29" s="181">
        <v>25</v>
      </c>
      <c r="P29" s="182">
        <v>25</v>
      </c>
      <c r="Q29" s="180">
        <v>25</v>
      </c>
      <c r="R29" s="181">
        <v>25</v>
      </c>
      <c r="S29" s="182">
        <v>25</v>
      </c>
      <c r="T29" s="180">
        <v>25</v>
      </c>
      <c r="U29" s="181">
        <v>25</v>
      </c>
      <c r="V29" s="182">
        <v>25</v>
      </c>
      <c r="W29" s="180">
        <v>25</v>
      </c>
      <c r="X29" s="181">
        <v>25</v>
      </c>
      <c r="Y29" s="182">
        <v>25</v>
      </c>
      <c r="Z29" s="180">
        <v>25</v>
      </c>
      <c r="AA29" s="181">
        <v>25</v>
      </c>
      <c r="AB29" s="182">
        <v>25</v>
      </c>
      <c r="AC29" s="180">
        <v>25</v>
      </c>
      <c r="AD29" s="181">
        <v>25</v>
      </c>
      <c r="AE29" s="182">
        <v>25</v>
      </c>
      <c r="AF29" s="180">
        <v>25</v>
      </c>
      <c r="AG29" s="181">
        <v>25</v>
      </c>
      <c r="AH29" s="182">
        <v>25</v>
      </c>
      <c r="AI29" s="168" t="s">
        <v>1546</v>
      </c>
      <c r="AJ29" s="169" t="s">
        <v>2555</v>
      </c>
      <c r="AK29" s="170" t="s">
        <v>2556</v>
      </c>
      <c r="AL29" s="169" t="s">
        <v>14</v>
      </c>
      <c r="AM29" s="183">
        <v>1015</v>
      </c>
    </row>
    <row r="30" spans="1:39" s="2" customFormat="1">
      <c r="A30" s="179" t="s">
        <v>565</v>
      </c>
      <c r="B30" s="238" t="s">
        <v>163</v>
      </c>
      <c r="C30" s="164" t="s">
        <v>2655</v>
      </c>
      <c r="D30" s="236" t="s">
        <v>2658</v>
      </c>
      <c r="E30" s="180">
        <v>23</v>
      </c>
      <c r="F30" s="181">
        <v>23</v>
      </c>
      <c r="G30" s="182">
        <v>23</v>
      </c>
      <c r="H30" s="180">
        <v>23</v>
      </c>
      <c r="I30" s="181">
        <v>23</v>
      </c>
      <c r="J30" s="182">
        <v>23</v>
      </c>
      <c r="K30" s="180">
        <v>23</v>
      </c>
      <c r="L30" s="181">
        <v>23</v>
      </c>
      <c r="M30" s="182">
        <v>23</v>
      </c>
      <c r="N30" s="180">
        <v>23</v>
      </c>
      <c r="O30" s="181">
        <v>23</v>
      </c>
      <c r="P30" s="182">
        <v>23</v>
      </c>
      <c r="Q30" s="180">
        <v>23</v>
      </c>
      <c r="R30" s="181">
        <v>23</v>
      </c>
      <c r="S30" s="182">
        <v>23</v>
      </c>
      <c r="T30" s="180">
        <v>23</v>
      </c>
      <c r="U30" s="181">
        <v>23</v>
      </c>
      <c r="V30" s="182">
        <v>23</v>
      </c>
      <c r="W30" s="180">
        <v>23</v>
      </c>
      <c r="X30" s="181">
        <v>23</v>
      </c>
      <c r="Y30" s="182">
        <v>23</v>
      </c>
      <c r="Z30" s="180">
        <v>23</v>
      </c>
      <c r="AA30" s="181">
        <v>23</v>
      </c>
      <c r="AB30" s="182">
        <v>23</v>
      </c>
      <c r="AC30" s="180">
        <v>23</v>
      </c>
      <c r="AD30" s="181">
        <v>23</v>
      </c>
      <c r="AE30" s="182">
        <v>23</v>
      </c>
      <c r="AF30" s="180">
        <v>23</v>
      </c>
      <c r="AG30" s="181">
        <v>23</v>
      </c>
      <c r="AH30" s="182">
        <v>23</v>
      </c>
      <c r="AI30" s="168" t="s">
        <v>1546</v>
      </c>
      <c r="AJ30" s="169" t="s">
        <v>2555</v>
      </c>
      <c r="AK30" s="170" t="s">
        <v>2556</v>
      </c>
      <c r="AL30" s="169" t="s">
        <v>14</v>
      </c>
      <c r="AM30" s="183">
        <v>1015</v>
      </c>
    </row>
    <row r="31" spans="1:39" s="2" customFormat="1">
      <c r="A31" s="179" t="s">
        <v>423</v>
      </c>
      <c r="B31" s="238" t="s">
        <v>163</v>
      </c>
      <c r="C31" s="164" t="s">
        <v>1334</v>
      </c>
      <c r="D31" s="236" t="s">
        <v>1634</v>
      </c>
      <c r="E31" s="180">
        <v>175.87</v>
      </c>
      <c r="F31" s="181">
        <v>175.87</v>
      </c>
      <c r="G31" s="182">
        <v>175.87</v>
      </c>
      <c r="H31" s="180">
        <v>175.87</v>
      </c>
      <c r="I31" s="181">
        <v>175.87</v>
      </c>
      <c r="J31" s="182">
        <v>175.87</v>
      </c>
      <c r="K31" s="180">
        <v>175.87</v>
      </c>
      <c r="L31" s="181">
        <v>175.87</v>
      </c>
      <c r="M31" s="182">
        <v>175.87</v>
      </c>
      <c r="N31" s="180">
        <v>175.87</v>
      </c>
      <c r="O31" s="181">
        <v>175.87</v>
      </c>
      <c r="P31" s="182">
        <v>175.87</v>
      </c>
      <c r="Q31" s="180">
        <v>175.87</v>
      </c>
      <c r="R31" s="181">
        <v>175.87</v>
      </c>
      <c r="S31" s="182">
        <v>175.87</v>
      </c>
      <c r="T31" s="180">
        <v>175.87</v>
      </c>
      <c r="U31" s="181">
        <v>175.87</v>
      </c>
      <c r="V31" s="182">
        <v>175.87</v>
      </c>
      <c r="W31" s="180">
        <v>175.87</v>
      </c>
      <c r="X31" s="181">
        <v>175.87</v>
      </c>
      <c r="Y31" s="182">
        <v>175.87</v>
      </c>
      <c r="Z31" s="180">
        <v>175.87</v>
      </c>
      <c r="AA31" s="181">
        <v>175.87</v>
      </c>
      <c r="AB31" s="182">
        <v>175.87</v>
      </c>
      <c r="AC31" s="180">
        <v>175.87</v>
      </c>
      <c r="AD31" s="181">
        <v>175.87</v>
      </c>
      <c r="AE31" s="182">
        <v>175.87</v>
      </c>
      <c r="AF31" s="180">
        <v>175.87</v>
      </c>
      <c r="AG31" s="181">
        <v>175.87</v>
      </c>
      <c r="AH31" s="182">
        <v>175.87</v>
      </c>
      <c r="AI31" s="168" t="s">
        <v>1284</v>
      </c>
      <c r="AJ31" s="169" t="s">
        <v>2485</v>
      </c>
      <c r="AK31" s="170" t="s">
        <v>2486</v>
      </c>
      <c r="AL31" s="169" t="s">
        <v>17</v>
      </c>
      <c r="AM31" s="183">
        <v>1018</v>
      </c>
    </row>
    <row r="32" spans="1:39" s="2" customFormat="1">
      <c r="A32" s="179" t="s">
        <v>423</v>
      </c>
      <c r="B32" s="238" t="s">
        <v>163</v>
      </c>
      <c r="C32" s="164" t="s">
        <v>1334</v>
      </c>
      <c r="D32" s="236" t="s">
        <v>1335</v>
      </c>
      <c r="E32" s="180">
        <v>105.196</v>
      </c>
      <c r="F32" s="181">
        <v>105.196</v>
      </c>
      <c r="G32" s="182">
        <v>105.196</v>
      </c>
      <c r="H32" s="180">
        <v>105.196</v>
      </c>
      <c r="I32" s="181">
        <v>105.196</v>
      </c>
      <c r="J32" s="182">
        <v>105.196</v>
      </c>
      <c r="K32" s="180">
        <v>105.196</v>
      </c>
      <c r="L32" s="181">
        <v>105.196</v>
      </c>
      <c r="M32" s="182">
        <v>105.196</v>
      </c>
      <c r="N32" s="180">
        <v>105.196</v>
      </c>
      <c r="O32" s="181">
        <v>105.196</v>
      </c>
      <c r="P32" s="182">
        <v>105.196</v>
      </c>
      <c r="Q32" s="180">
        <v>105.196</v>
      </c>
      <c r="R32" s="181">
        <v>105.196</v>
      </c>
      <c r="S32" s="182">
        <v>105.196</v>
      </c>
      <c r="T32" s="180">
        <v>105.196</v>
      </c>
      <c r="U32" s="181">
        <v>105.196</v>
      </c>
      <c r="V32" s="182">
        <v>105.196</v>
      </c>
      <c r="W32" s="180">
        <v>105.196</v>
      </c>
      <c r="X32" s="181">
        <v>105.196</v>
      </c>
      <c r="Y32" s="182">
        <v>105.196</v>
      </c>
      <c r="Z32" s="180">
        <v>105.196</v>
      </c>
      <c r="AA32" s="181">
        <v>105.196</v>
      </c>
      <c r="AB32" s="182">
        <v>105.196</v>
      </c>
      <c r="AC32" s="180">
        <v>105.196</v>
      </c>
      <c r="AD32" s="181">
        <v>105.196</v>
      </c>
      <c r="AE32" s="182">
        <v>105.196</v>
      </c>
      <c r="AF32" s="180">
        <v>105.196</v>
      </c>
      <c r="AG32" s="181">
        <v>105.196</v>
      </c>
      <c r="AH32" s="182">
        <v>105.196</v>
      </c>
      <c r="AI32" s="168" t="s">
        <v>1284</v>
      </c>
      <c r="AJ32" s="169" t="s">
        <v>2485</v>
      </c>
      <c r="AK32" s="170" t="s">
        <v>2486</v>
      </c>
      <c r="AL32" s="169" t="s">
        <v>17</v>
      </c>
      <c r="AM32" s="183">
        <v>1018</v>
      </c>
    </row>
    <row r="33" spans="1:39" s="2" customFormat="1" ht="20.6">
      <c r="A33" s="179" t="s">
        <v>7</v>
      </c>
      <c r="B33" s="238" t="s">
        <v>163</v>
      </c>
      <c r="C33" s="164" t="s">
        <v>1810</v>
      </c>
      <c r="D33" s="236" t="s">
        <v>2679</v>
      </c>
      <c r="E33" s="180">
        <v>87</v>
      </c>
      <c r="F33" s="181">
        <v>82.8</v>
      </c>
      <c r="G33" s="182">
        <v>77.400000000000006</v>
      </c>
      <c r="H33" s="180">
        <v>87</v>
      </c>
      <c r="I33" s="181">
        <v>82.8</v>
      </c>
      <c r="J33" s="182">
        <v>77.400000000000006</v>
      </c>
      <c r="K33" s="180">
        <v>87</v>
      </c>
      <c r="L33" s="181">
        <v>82.8</v>
      </c>
      <c r="M33" s="182">
        <v>77.400000000000006</v>
      </c>
      <c r="N33" s="180">
        <v>87</v>
      </c>
      <c r="O33" s="181">
        <v>82.8</v>
      </c>
      <c r="P33" s="182">
        <v>77.400000000000006</v>
      </c>
      <c r="Q33" s="180">
        <v>87</v>
      </c>
      <c r="R33" s="181">
        <v>82.8</v>
      </c>
      <c r="S33" s="182">
        <v>77.400000000000006</v>
      </c>
      <c r="T33" s="180">
        <v>87</v>
      </c>
      <c r="U33" s="181">
        <v>82.8</v>
      </c>
      <c r="V33" s="182">
        <v>77.400000000000006</v>
      </c>
      <c r="W33" s="180">
        <v>87</v>
      </c>
      <c r="X33" s="181">
        <v>82.8</v>
      </c>
      <c r="Y33" s="182">
        <v>77.400000000000006</v>
      </c>
      <c r="Z33" s="180">
        <v>87</v>
      </c>
      <c r="AA33" s="181">
        <v>82.8</v>
      </c>
      <c r="AB33" s="182">
        <v>77.400000000000006</v>
      </c>
      <c r="AC33" s="180">
        <v>87</v>
      </c>
      <c r="AD33" s="181">
        <v>82.8</v>
      </c>
      <c r="AE33" s="182">
        <v>77.400000000000006</v>
      </c>
      <c r="AF33" s="180">
        <v>87</v>
      </c>
      <c r="AG33" s="181">
        <v>82.8</v>
      </c>
      <c r="AH33" s="182">
        <v>77.400000000000006</v>
      </c>
      <c r="AI33" s="168" t="s">
        <v>1811</v>
      </c>
      <c r="AJ33" s="169" t="s">
        <v>2491</v>
      </c>
      <c r="AK33" s="170" t="s">
        <v>2477</v>
      </c>
      <c r="AL33" s="169" t="s">
        <v>2479</v>
      </c>
      <c r="AM33" s="183">
        <v>1416</v>
      </c>
    </row>
    <row r="34" spans="1:39" s="2" customFormat="1">
      <c r="A34" s="179" t="s">
        <v>7</v>
      </c>
      <c r="B34" s="238" t="s">
        <v>163</v>
      </c>
      <c r="C34" s="164" t="s">
        <v>2715</v>
      </c>
      <c r="D34" s="236" t="s">
        <v>2716</v>
      </c>
      <c r="E34" s="180">
        <v>70</v>
      </c>
      <c r="F34" s="181">
        <v>70</v>
      </c>
      <c r="G34" s="182">
        <v>70</v>
      </c>
      <c r="H34" s="180">
        <v>0</v>
      </c>
      <c r="I34" s="181">
        <v>70</v>
      </c>
      <c r="J34" s="182">
        <v>70</v>
      </c>
      <c r="K34" s="180">
        <v>70</v>
      </c>
      <c r="L34" s="181">
        <v>70</v>
      </c>
      <c r="M34" s="182">
        <v>70</v>
      </c>
      <c r="N34" s="180">
        <v>70</v>
      </c>
      <c r="O34" s="181">
        <v>70</v>
      </c>
      <c r="P34" s="182">
        <v>70</v>
      </c>
      <c r="Q34" s="180">
        <v>70</v>
      </c>
      <c r="R34" s="181">
        <v>70</v>
      </c>
      <c r="S34" s="182">
        <v>70</v>
      </c>
      <c r="T34" s="180">
        <v>70</v>
      </c>
      <c r="U34" s="181">
        <v>70</v>
      </c>
      <c r="V34" s="182">
        <v>70</v>
      </c>
      <c r="W34" s="180">
        <v>70</v>
      </c>
      <c r="X34" s="181">
        <v>70</v>
      </c>
      <c r="Y34" s="182">
        <v>70</v>
      </c>
      <c r="Z34" s="180">
        <v>70</v>
      </c>
      <c r="AA34" s="181">
        <v>70</v>
      </c>
      <c r="AB34" s="182">
        <v>70</v>
      </c>
      <c r="AC34" s="180">
        <v>70</v>
      </c>
      <c r="AD34" s="181">
        <v>70</v>
      </c>
      <c r="AE34" s="182">
        <v>70</v>
      </c>
      <c r="AF34" s="180">
        <v>70</v>
      </c>
      <c r="AG34" s="181">
        <v>70</v>
      </c>
      <c r="AH34" s="182">
        <v>70</v>
      </c>
      <c r="AI34" s="168" t="s">
        <v>218</v>
      </c>
      <c r="AJ34" s="169" t="s">
        <v>2593</v>
      </c>
      <c r="AK34" s="170" t="s">
        <v>2482</v>
      </c>
      <c r="AL34" s="169" t="s">
        <v>18</v>
      </c>
      <c r="AM34" s="183">
        <v>1021</v>
      </c>
    </row>
    <row r="35" spans="1:39" s="2" customFormat="1">
      <c r="A35" s="179" t="s">
        <v>309</v>
      </c>
      <c r="B35" s="238" t="s">
        <v>163</v>
      </c>
      <c r="C35" s="164" t="s">
        <v>1253</v>
      </c>
      <c r="D35" s="236" t="s">
        <v>2725</v>
      </c>
      <c r="E35" s="180">
        <v>146.88</v>
      </c>
      <c r="F35" s="181">
        <v>143.62</v>
      </c>
      <c r="G35" s="182">
        <v>143.62</v>
      </c>
      <c r="H35" s="180">
        <v>146.32</v>
      </c>
      <c r="I35" s="181">
        <v>142.99</v>
      </c>
      <c r="J35" s="182">
        <v>142.99</v>
      </c>
      <c r="K35" s="180">
        <v>145.78</v>
      </c>
      <c r="L35" s="181">
        <v>142.37</v>
      </c>
      <c r="M35" s="182">
        <v>142.37</v>
      </c>
      <c r="N35" s="180">
        <v>145.22</v>
      </c>
      <c r="O35" s="181">
        <v>141.74</v>
      </c>
      <c r="P35" s="182">
        <v>141.74</v>
      </c>
      <c r="Q35" s="180">
        <v>144.66999999999999</v>
      </c>
      <c r="R35" s="181">
        <v>141.11000000000001</v>
      </c>
      <c r="S35" s="182">
        <v>141.11000000000001</v>
      </c>
      <c r="T35" s="180">
        <v>144.1</v>
      </c>
      <c r="U35" s="181">
        <v>140.47</v>
      </c>
      <c r="V35" s="182">
        <v>140.47</v>
      </c>
      <c r="W35" s="180">
        <v>143.54</v>
      </c>
      <c r="X35" s="181">
        <v>139.84</v>
      </c>
      <c r="Y35" s="182">
        <v>139.84</v>
      </c>
      <c r="Z35" s="180">
        <v>142.97999999999999</v>
      </c>
      <c r="AA35" s="181">
        <v>139.22</v>
      </c>
      <c r="AB35" s="182">
        <v>139.22</v>
      </c>
      <c r="AC35" s="180">
        <v>142.47999999999999</v>
      </c>
      <c r="AD35" s="181">
        <v>138.6</v>
      </c>
      <c r="AE35" s="182">
        <v>138.6</v>
      </c>
      <c r="AF35" s="180">
        <v>142</v>
      </c>
      <c r="AG35" s="181">
        <v>137.97999999999999</v>
      </c>
      <c r="AH35" s="182">
        <v>137.97999999999999</v>
      </c>
      <c r="AI35" s="168" t="s">
        <v>616</v>
      </c>
      <c r="AJ35" s="169" t="s">
        <v>2491</v>
      </c>
      <c r="AK35" s="170" t="s">
        <v>2477</v>
      </c>
      <c r="AL35" s="169" t="s">
        <v>2479</v>
      </c>
      <c r="AM35" s="183">
        <v>1903</v>
      </c>
    </row>
    <row r="36" spans="1:39" s="2" customFormat="1">
      <c r="A36" s="179" t="s">
        <v>380</v>
      </c>
      <c r="B36" s="238" t="s">
        <v>163</v>
      </c>
      <c r="C36" s="164" t="s">
        <v>381</v>
      </c>
      <c r="D36" s="236" t="s">
        <v>383</v>
      </c>
      <c r="E36" s="180">
        <v>200</v>
      </c>
      <c r="F36" s="181">
        <v>200</v>
      </c>
      <c r="G36" s="182">
        <v>193.98400000000001</v>
      </c>
      <c r="H36" s="180">
        <v>200</v>
      </c>
      <c r="I36" s="181">
        <v>200</v>
      </c>
      <c r="J36" s="182">
        <v>193.98400000000001</v>
      </c>
      <c r="K36" s="180">
        <v>200</v>
      </c>
      <c r="L36" s="181">
        <v>200</v>
      </c>
      <c r="M36" s="182">
        <v>193.98400000000001</v>
      </c>
      <c r="N36" s="180">
        <v>200</v>
      </c>
      <c r="O36" s="181">
        <v>200</v>
      </c>
      <c r="P36" s="182">
        <v>193.98400000000001</v>
      </c>
      <c r="Q36" s="180">
        <v>200</v>
      </c>
      <c r="R36" s="181">
        <v>200</v>
      </c>
      <c r="S36" s="182">
        <v>193.98400000000001</v>
      </c>
      <c r="T36" s="180">
        <v>200</v>
      </c>
      <c r="U36" s="181">
        <v>200</v>
      </c>
      <c r="V36" s="182">
        <v>193.98400000000001</v>
      </c>
      <c r="W36" s="180">
        <v>200</v>
      </c>
      <c r="X36" s="181">
        <v>200</v>
      </c>
      <c r="Y36" s="182">
        <v>193.98400000000001</v>
      </c>
      <c r="Z36" s="180">
        <v>200</v>
      </c>
      <c r="AA36" s="181">
        <v>200</v>
      </c>
      <c r="AB36" s="182">
        <v>193.98400000000001</v>
      </c>
      <c r="AC36" s="180">
        <v>200</v>
      </c>
      <c r="AD36" s="181">
        <v>200</v>
      </c>
      <c r="AE36" s="182">
        <v>193.98400000000001</v>
      </c>
      <c r="AF36" s="180">
        <v>200</v>
      </c>
      <c r="AG36" s="181">
        <v>200</v>
      </c>
      <c r="AH36" s="182">
        <v>193.98400000000001</v>
      </c>
      <c r="AI36" s="168" t="s">
        <v>382</v>
      </c>
      <c r="AJ36" s="169" t="s">
        <v>2466</v>
      </c>
      <c r="AK36" s="170" t="s">
        <v>2467</v>
      </c>
      <c r="AL36" s="169" t="s">
        <v>20</v>
      </c>
      <c r="AM36" s="183">
        <v>2248</v>
      </c>
    </row>
    <row r="37" spans="1:39" s="2" customFormat="1">
      <c r="A37" s="179" t="s">
        <v>7</v>
      </c>
      <c r="B37" s="238" t="s">
        <v>163</v>
      </c>
      <c r="C37" s="164" t="s">
        <v>2294</v>
      </c>
      <c r="D37" s="236" t="s">
        <v>2728</v>
      </c>
      <c r="E37" s="180">
        <v>113.18</v>
      </c>
      <c r="F37" s="181">
        <v>113.18</v>
      </c>
      <c r="G37" s="182">
        <v>104.08799999999999</v>
      </c>
      <c r="H37" s="180">
        <v>113.18</v>
      </c>
      <c r="I37" s="181">
        <v>113.18</v>
      </c>
      <c r="J37" s="182">
        <v>104.08799999999999</v>
      </c>
      <c r="K37" s="180">
        <v>113.18</v>
      </c>
      <c r="L37" s="181">
        <v>113.18</v>
      </c>
      <c r="M37" s="182">
        <v>104.08799999999999</v>
      </c>
      <c r="N37" s="180">
        <v>113.18</v>
      </c>
      <c r="O37" s="181">
        <v>113.18</v>
      </c>
      <c r="P37" s="182">
        <v>104.08799999999999</v>
      </c>
      <c r="Q37" s="180">
        <v>113.18</v>
      </c>
      <c r="R37" s="181">
        <v>113.18</v>
      </c>
      <c r="S37" s="182">
        <v>104.08799999999999</v>
      </c>
      <c r="T37" s="180">
        <v>113.18</v>
      </c>
      <c r="U37" s="181">
        <v>113.18</v>
      </c>
      <c r="V37" s="182">
        <v>104.08799999999999</v>
      </c>
      <c r="W37" s="180">
        <v>113.18</v>
      </c>
      <c r="X37" s="181">
        <v>113.18</v>
      </c>
      <c r="Y37" s="182">
        <v>104.08799999999999</v>
      </c>
      <c r="Z37" s="180">
        <v>113.18</v>
      </c>
      <c r="AA37" s="181">
        <v>113.18</v>
      </c>
      <c r="AB37" s="182">
        <v>104.08799999999999</v>
      </c>
      <c r="AC37" s="180">
        <v>113.18</v>
      </c>
      <c r="AD37" s="181">
        <v>113.18</v>
      </c>
      <c r="AE37" s="182">
        <v>104.08799999999999</v>
      </c>
      <c r="AF37" s="180">
        <v>113.18</v>
      </c>
      <c r="AG37" s="181">
        <v>113.18</v>
      </c>
      <c r="AH37" s="182">
        <v>104.08799999999999</v>
      </c>
      <c r="AI37" s="168" t="s">
        <v>2727</v>
      </c>
      <c r="AJ37" s="169" t="s">
        <v>2485</v>
      </c>
      <c r="AK37" s="170" t="s">
        <v>2486</v>
      </c>
      <c r="AL37" s="169" t="s">
        <v>17</v>
      </c>
      <c r="AM37" s="183">
        <v>1022</v>
      </c>
    </row>
    <row r="38" spans="1:39" s="2" customFormat="1">
      <c r="A38" s="179" t="s">
        <v>7</v>
      </c>
      <c r="B38" s="238" t="s">
        <v>163</v>
      </c>
      <c r="C38" s="164" t="s">
        <v>1814</v>
      </c>
      <c r="D38" s="236" t="s">
        <v>2729</v>
      </c>
      <c r="E38" s="180">
        <v>111.309</v>
      </c>
      <c r="F38" s="181">
        <v>111.309</v>
      </c>
      <c r="G38" s="182">
        <v>111.309</v>
      </c>
      <c r="H38" s="180">
        <v>111.309</v>
      </c>
      <c r="I38" s="181">
        <v>111.309</v>
      </c>
      <c r="J38" s="182">
        <v>111.309</v>
      </c>
      <c r="K38" s="180">
        <v>111.309</v>
      </c>
      <c r="L38" s="181">
        <v>111.309</v>
      </c>
      <c r="M38" s="182">
        <v>111.309</v>
      </c>
      <c r="N38" s="180">
        <v>111.309</v>
      </c>
      <c r="O38" s="181">
        <v>111.309</v>
      </c>
      <c r="P38" s="182">
        <v>111.309</v>
      </c>
      <c r="Q38" s="180">
        <v>111.309</v>
      </c>
      <c r="R38" s="181">
        <v>111.309</v>
      </c>
      <c r="S38" s="182">
        <v>111.309</v>
      </c>
      <c r="T38" s="180">
        <v>111.309</v>
      </c>
      <c r="U38" s="181">
        <v>111.309</v>
      </c>
      <c r="V38" s="182">
        <v>111.309</v>
      </c>
      <c r="W38" s="180">
        <v>111.309</v>
      </c>
      <c r="X38" s="181">
        <v>111.309</v>
      </c>
      <c r="Y38" s="182">
        <v>111.309</v>
      </c>
      <c r="Z38" s="180">
        <v>111.309</v>
      </c>
      <c r="AA38" s="181">
        <v>111.309</v>
      </c>
      <c r="AB38" s="182">
        <v>111.309</v>
      </c>
      <c r="AC38" s="180">
        <v>111.309</v>
      </c>
      <c r="AD38" s="181">
        <v>111.309</v>
      </c>
      <c r="AE38" s="182">
        <v>111.309</v>
      </c>
      <c r="AF38" s="180">
        <v>111.309</v>
      </c>
      <c r="AG38" s="181">
        <v>111.309</v>
      </c>
      <c r="AH38" s="182">
        <v>111.309</v>
      </c>
      <c r="AI38" s="168" t="s">
        <v>1815</v>
      </c>
      <c r="AJ38" s="169" t="s">
        <v>2485</v>
      </c>
      <c r="AK38" s="170" t="s">
        <v>2486</v>
      </c>
      <c r="AL38" s="169" t="s">
        <v>17</v>
      </c>
      <c r="AM38" s="183">
        <v>1259</v>
      </c>
    </row>
    <row r="39" spans="1:39" s="2" customFormat="1">
      <c r="A39" s="179" t="s">
        <v>423</v>
      </c>
      <c r="B39" s="238" t="s">
        <v>163</v>
      </c>
      <c r="C39" s="164" t="s">
        <v>1806</v>
      </c>
      <c r="D39" s="236" t="s">
        <v>1807</v>
      </c>
      <c r="E39" s="180">
        <v>300.02</v>
      </c>
      <c r="F39" s="181">
        <v>300.02</v>
      </c>
      <c r="G39" s="182">
        <v>300.02</v>
      </c>
      <c r="H39" s="180">
        <v>300.02</v>
      </c>
      <c r="I39" s="181">
        <v>300.02</v>
      </c>
      <c r="J39" s="182">
        <v>300.02</v>
      </c>
      <c r="K39" s="180">
        <v>300.02</v>
      </c>
      <c r="L39" s="181">
        <v>300.02</v>
      </c>
      <c r="M39" s="182">
        <v>300.02</v>
      </c>
      <c r="N39" s="180">
        <v>300.02</v>
      </c>
      <c r="O39" s="181">
        <v>300.02</v>
      </c>
      <c r="P39" s="182">
        <v>300.02</v>
      </c>
      <c r="Q39" s="180">
        <v>300.02</v>
      </c>
      <c r="R39" s="181">
        <v>300.02</v>
      </c>
      <c r="S39" s="182">
        <v>300.02</v>
      </c>
      <c r="T39" s="180">
        <v>300.02</v>
      </c>
      <c r="U39" s="181">
        <v>300.02</v>
      </c>
      <c r="V39" s="182">
        <v>300.02</v>
      </c>
      <c r="W39" s="180">
        <v>300.02</v>
      </c>
      <c r="X39" s="181">
        <v>300.02</v>
      </c>
      <c r="Y39" s="182">
        <v>300.02</v>
      </c>
      <c r="Z39" s="180">
        <v>300.02</v>
      </c>
      <c r="AA39" s="181">
        <v>300.02</v>
      </c>
      <c r="AB39" s="182">
        <v>300.02</v>
      </c>
      <c r="AC39" s="180">
        <v>300.02</v>
      </c>
      <c r="AD39" s="181">
        <v>300.02</v>
      </c>
      <c r="AE39" s="182">
        <v>300.02</v>
      </c>
      <c r="AF39" s="180">
        <v>300.02</v>
      </c>
      <c r="AG39" s="181">
        <v>300.02</v>
      </c>
      <c r="AH39" s="182">
        <v>300.02</v>
      </c>
      <c r="AI39" s="168" t="s">
        <v>1511</v>
      </c>
      <c r="AJ39" s="169" t="s">
        <v>2593</v>
      </c>
      <c r="AK39" s="170" t="s">
        <v>2482</v>
      </c>
      <c r="AL39" s="169" t="s">
        <v>18</v>
      </c>
      <c r="AM39" s="183">
        <v>1023</v>
      </c>
    </row>
    <row r="40" spans="1:39" s="2" customFormat="1">
      <c r="A40" s="179" t="s">
        <v>380</v>
      </c>
      <c r="B40" s="238" t="s">
        <v>163</v>
      </c>
      <c r="C40" s="164" t="s">
        <v>1399</v>
      </c>
      <c r="D40" s="236" t="s">
        <v>1401</v>
      </c>
      <c r="E40" s="180">
        <v>125.6</v>
      </c>
      <c r="F40" s="181">
        <v>108.4</v>
      </c>
      <c r="G40" s="182">
        <v>99.2</v>
      </c>
      <c r="H40" s="180">
        <v>125.6</v>
      </c>
      <c r="I40" s="181">
        <v>108.4</v>
      </c>
      <c r="J40" s="182">
        <v>99.2</v>
      </c>
      <c r="K40" s="180">
        <v>125.6</v>
      </c>
      <c r="L40" s="181">
        <v>108.4</v>
      </c>
      <c r="M40" s="182">
        <v>99.2</v>
      </c>
      <c r="N40" s="180">
        <v>125.6</v>
      </c>
      <c r="O40" s="181">
        <v>108.4</v>
      </c>
      <c r="P40" s="182">
        <v>99.2</v>
      </c>
      <c r="Q40" s="180">
        <v>125.6</v>
      </c>
      <c r="R40" s="181">
        <v>108.4</v>
      </c>
      <c r="S40" s="182">
        <v>99.2</v>
      </c>
      <c r="T40" s="180">
        <v>125.6</v>
      </c>
      <c r="U40" s="181">
        <v>108.4</v>
      </c>
      <c r="V40" s="182">
        <v>99.2</v>
      </c>
      <c r="W40" s="180">
        <v>125.6</v>
      </c>
      <c r="X40" s="181">
        <v>108.4</v>
      </c>
      <c r="Y40" s="182">
        <v>99.2</v>
      </c>
      <c r="Z40" s="180">
        <v>125.6</v>
      </c>
      <c r="AA40" s="181">
        <v>108.4</v>
      </c>
      <c r="AB40" s="182">
        <v>99.2</v>
      </c>
      <c r="AC40" s="180">
        <v>125.6</v>
      </c>
      <c r="AD40" s="181">
        <v>108.4</v>
      </c>
      <c r="AE40" s="182">
        <v>99.2</v>
      </c>
      <c r="AF40" s="180">
        <v>125.6</v>
      </c>
      <c r="AG40" s="181">
        <v>108.4</v>
      </c>
      <c r="AH40" s="182">
        <v>99.2</v>
      </c>
      <c r="AI40" s="168" t="s">
        <v>1400</v>
      </c>
      <c r="AJ40" s="169" t="s">
        <v>2555</v>
      </c>
      <c r="AK40" s="170" t="s">
        <v>2556</v>
      </c>
      <c r="AL40" s="169" t="s">
        <v>14</v>
      </c>
      <c r="AM40" s="183">
        <v>1533</v>
      </c>
    </row>
    <row r="41" spans="1:39" s="2" customFormat="1">
      <c r="A41" s="179" t="s">
        <v>380</v>
      </c>
      <c r="B41" s="238" t="s">
        <v>163</v>
      </c>
      <c r="C41" s="164" t="s">
        <v>1472</v>
      </c>
      <c r="D41" s="236" t="s">
        <v>2739</v>
      </c>
      <c r="E41" s="180">
        <v>2</v>
      </c>
      <c r="F41" s="181">
        <v>2</v>
      </c>
      <c r="G41" s="182">
        <v>2</v>
      </c>
      <c r="H41" s="180">
        <v>2</v>
      </c>
      <c r="I41" s="181">
        <v>2</v>
      </c>
      <c r="J41" s="182">
        <v>2</v>
      </c>
      <c r="K41" s="180">
        <v>2</v>
      </c>
      <c r="L41" s="181">
        <v>2</v>
      </c>
      <c r="M41" s="182">
        <v>2</v>
      </c>
      <c r="N41" s="180">
        <v>2</v>
      </c>
      <c r="O41" s="181">
        <v>2</v>
      </c>
      <c r="P41" s="182">
        <v>2</v>
      </c>
      <c r="Q41" s="180">
        <v>2</v>
      </c>
      <c r="R41" s="181">
        <v>2</v>
      </c>
      <c r="S41" s="182">
        <v>2</v>
      </c>
      <c r="T41" s="180">
        <v>2</v>
      </c>
      <c r="U41" s="181">
        <v>2</v>
      </c>
      <c r="V41" s="182">
        <v>2</v>
      </c>
      <c r="W41" s="180">
        <v>2</v>
      </c>
      <c r="X41" s="181">
        <v>2</v>
      </c>
      <c r="Y41" s="182">
        <v>2</v>
      </c>
      <c r="Z41" s="180">
        <v>2</v>
      </c>
      <c r="AA41" s="181">
        <v>2</v>
      </c>
      <c r="AB41" s="182">
        <v>2</v>
      </c>
      <c r="AC41" s="180">
        <v>2</v>
      </c>
      <c r="AD41" s="181">
        <v>2</v>
      </c>
      <c r="AE41" s="182">
        <v>2</v>
      </c>
      <c r="AF41" s="180">
        <v>2</v>
      </c>
      <c r="AG41" s="181">
        <v>2</v>
      </c>
      <c r="AH41" s="182">
        <v>2</v>
      </c>
      <c r="AI41" s="168" t="s">
        <v>400</v>
      </c>
      <c r="AJ41" s="169" t="s">
        <v>2466</v>
      </c>
      <c r="AK41" s="170" t="s">
        <v>2467</v>
      </c>
      <c r="AL41" s="169" t="s">
        <v>20</v>
      </c>
      <c r="AM41" s="183">
        <v>1393</v>
      </c>
    </row>
    <row r="42" spans="1:39" s="2" customFormat="1">
      <c r="A42" s="179" t="s">
        <v>380</v>
      </c>
      <c r="B42" s="238" t="s">
        <v>163</v>
      </c>
      <c r="C42" s="164" t="s">
        <v>1472</v>
      </c>
      <c r="D42" s="236" t="s">
        <v>1544</v>
      </c>
      <c r="E42" s="180">
        <v>6.3</v>
      </c>
      <c r="F42" s="181">
        <v>6.9</v>
      </c>
      <c r="G42" s="182">
        <v>6.3</v>
      </c>
      <c r="H42" s="180">
        <v>6.3</v>
      </c>
      <c r="I42" s="181">
        <v>6.9</v>
      </c>
      <c r="J42" s="182">
        <v>6.3</v>
      </c>
      <c r="K42" s="180">
        <v>6.3</v>
      </c>
      <c r="L42" s="181">
        <v>6.9</v>
      </c>
      <c r="M42" s="182">
        <v>6.3</v>
      </c>
      <c r="N42" s="180">
        <v>6.3</v>
      </c>
      <c r="O42" s="181">
        <v>6.9</v>
      </c>
      <c r="P42" s="182">
        <v>6.3</v>
      </c>
      <c r="Q42" s="180">
        <v>6.3</v>
      </c>
      <c r="R42" s="181">
        <v>6.9</v>
      </c>
      <c r="S42" s="182">
        <v>6.3</v>
      </c>
      <c r="T42" s="180">
        <v>6.3</v>
      </c>
      <c r="U42" s="181">
        <v>6.9</v>
      </c>
      <c r="V42" s="182">
        <v>6.3</v>
      </c>
      <c r="W42" s="180">
        <v>6.3</v>
      </c>
      <c r="X42" s="181">
        <v>6.9</v>
      </c>
      <c r="Y42" s="182">
        <v>6.3</v>
      </c>
      <c r="Z42" s="180">
        <v>6.3</v>
      </c>
      <c r="AA42" s="181">
        <v>6.9</v>
      </c>
      <c r="AB42" s="182">
        <v>6.3</v>
      </c>
      <c r="AC42" s="180">
        <v>6.3</v>
      </c>
      <c r="AD42" s="181">
        <v>6.9</v>
      </c>
      <c r="AE42" s="182">
        <v>6.3</v>
      </c>
      <c r="AF42" s="180">
        <v>6.3</v>
      </c>
      <c r="AG42" s="181">
        <v>6.9</v>
      </c>
      <c r="AH42" s="182">
        <v>6.3</v>
      </c>
      <c r="AI42" s="168" t="s">
        <v>400</v>
      </c>
      <c r="AJ42" s="169" t="s">
        <v>2476</v>
      </c>
      <c r="AK42" s="170" t="s">
        <v>2477</v>
      </c>
      <c r="AL42" s="169" t="s">
        <v>2479</v>
      </c>
      <c r="AM42" s="183">
        <v>1393</v>
      </c>
    </row>
    <row r="43" spans="1:39" s="2" customFormat="1">
      <c r="A43" s="179" t="s">
        <v>7</v>
      </c>
      <c r="B43" s="238" t="s">
        <v>163</v>
      </c>
      <c r="C43" s="164" t="s">
        <v>1666</v>
      </c>
      <c r="D43" s="236" t="s">
        <v>1668</v>
      </c>
      <c r="E43" s="180">
        <v>99.88</v>
      </c>
      <c r="F43" s="181">
        <v>99</v>
      </c>
      <c r="G43" s="182">
        <v>97.68</v>
      </c>
      <c r="H43" s="180">
        <v>99.88</v>
      </c>
      <c r="I43" s="181">
        <v>99</v>
      </c>
      <c r="J43" s="182">
        <v>97.68</v>
      </c>
      <c r="K43" s="180">
        <v>99.88</v>
      </c>
      <c r="L43" s="181">
        <v>99</v>
      </c>
      <c r="M43" s="182">
        <v>97.68</v>
      </c>
      <c r="N43" s="180">
        <v>99.88</v>
      </c>
      <c r="O43" s="181">
        <v>99</v>
      </c>
      <c r="P43" s="182">
        <v>97.68</v>
      </c>
      <c r="Q43" s="180">
        <v>99.88</v>
      </c>
      <c r="R43" s="181">
        <v>99</v>
      </c>
      <c r="S43" s="182">
        <v>97.68</v>
      </c>
      <c r="T43" s="180">
        <v>99.88</v>
      </c>
      <c r="U43" s="181">
        <v>99</v>
      </c>
      <c r="V43" s="182">
        <v>97.68</v>
      </c>
      <c r="W43" s="180">
        <v>99.88</v>
      </c>
      <c r="X43" s="181">
        <v>99</v>
      </c>
      <c r="Y43" s="182">
        <v>97.68</v>
      </c>
      <c r="Z43" s="180">
        <v>99.88</v>
      </c>
      <c r="AA43" s="181">
        <v>99</v>
      </c>
      <c r="AB43" s="182">
        <v>97.68</v>
      </c>
      <c r="AC43" s="180">
        <v>99.88</v>
      </c>
      <c r="AD43" s="181">
        <v>99</v>
      </c>
      <c r="AE43" s="182">
        <v>97.68</v>
      </c>
      <c r="AF43" s="180">
        <v>99.88</v>
      </c>
      <c r="AG43" s="181">
        <v>99</v>
      </c>
      <c r="AH43" s="182">
        <v>97.68</v>
      </c>
      <c r="AI43" s="168" t="s">
        <v>1667</v>
      </c>
      <c r="AJ43" s="169" t="s">
        <v>2491</v>
      </c>
      <c r="AK43" s="170" t="s">
        <v>2477</v>
      </c>
      <c r="AL43" s="169" t="s">
        <v>2479</v>
      </c>
      <c r="AM43" s="183">
        <v>1554</v>
      </c>
    </row>
    <row r="44" spans="1:39" s="2" customFormat="1">
      <c r="A44" s="179" t="s">
        <v>309</v>
      </c>
      <c r="B44" s="238" t="s">
        <v>163</v>
      </c>
      <c r="C44" s="164" t="s">
        <v>1254</v>
      </c>
      <c r="D44" s="236" t="s">
        <v>2766</v>
      </c>
      <c r="E44" s="180">
        <v>50</v>
      </c>
      <c r="F44" s="181">
        <v>50</v>
      </c>
      <c r="G44" s="182">
        <v>50</v>
      </c>
      <c r="H44" s="180">
        <v>50</v>
      </c>
      <c r="I44" s="181">
        <v>50</v>
      </c>
      <c r="J44" s="182">
        <v>50</v>
      </c>
      <c r="K44" s="180">
        <v>50</v>
      </c>
      <c r="L44" s="181">
        <v>50</v>
      </c>
      <c r="M44" s="182">
        <v>50</v>
      </c>
      <c r="N44" s="180">
        <v>50</v>
      </c>
      <c r="O44" s="181">
        <v>50</v>
      </c>
      <c r="P44" s="182">
        <v>50</v>
      </c>
      <c r="Q44" s="180">
        <v>50</v>
      </c>
      <c r="R44" s="181">
        <v>50</v>
      </c>
      <c r="S44" s="182">
        <v>50</v>
      </c>
      <c r="T44" s="180">
        <v>46</v>
      </c>
      <c r="U44" s="181">
        <v>46</v>
      </c>
      <c r="V44" s="182">
        <v>46</v>
      </c>
      <c r="W44" s="180">
        <v>46</v>
      </c>
      <c r="X44" s="181">
        <v>46</v>
      </c>
      <c r="Y44" s="182">
        <v>46</v>
      </c>
      <c r="Z44" s="180">
        <v>46</v>
      </c>
      <c r="AA44" s="181">
        <v>46</v>
      </c>
      <c r="AB44" s="182">
        <v>46</v>
      </c>
      <c r="AC44" s="180">
        <v>46</v>
      </c>
      <c r="AD44" s="181">
        <v>46</v>
      </c>
      <c r="AE44" s="182">
        <v>46</v>
      </c>
      <c r="AF44" s="180">
        <v>46</v>
      </c>
      <c r="AG44" s="181">
        <v>46</v>
      </c>
      <c r="AH44" s="182">
        <v>46</v>
      </c>
      <c r="AI44" s="168" t="s">
        <v>1255</v>
      </c>
      <c r="AJ44" s="169" t="s">
        <v>2466</v>
      </c>
      <c r="AK44" s="170" t="s">
        <v>2467</v>
      </c>
      <c r="AL44" s="169" t="s">
        <v>20</v>
      </c>
      <c r="AM44" s="183">
        <v>1873</v>
      </c>
    </row>
    <row r="45" spans="1:39" s="2" customFormat="1">
      <c r="A45" s="179" t="s">
        <v>309</v>
      </c>
      <c r="B45" s="238" t="s">
        <v>163</v>
      </c>
      <c r="C45" s="164" t="s">
        <v>1378</v>
      </c>
      <c r="D45" s="236" t="s">
        <v>1380</v>
      </c>
      <c r="E45" s="180">
        <v>181</v>
      </c>
      <c r="F45" s="181">
        <v>173</v>
      </c>
      <c r="G45" s="182">
        <v>167</v>
      </c>
      <c r="H45" s="180">
        <v>181</v>
      </c>
      <c r="I45" s="181">
        <v>173</v>
      </c>
      <c r="J45" s="182">
        <v>167</v>
      </c>
      <c r="K45" s="180">
        <v>181</v>
      </c>
      <c r="L45" s="181">
        <v>173</v>
      </c>
      <c r="M45" s="182">
        <v>167</v>
      </c>
      <c r="N45" s="180">
        <v>181</v>
      </c>
      <c r="O45" s="181">
        <v>173</v>
      </c>
      <c r="P45" s="182">
        <v>167</v>
      </c>
      <c r="Q45" s="180">
        <v>181</v>
      </c>
      <c r="R45" s="181">
        <v>173</v>
      </c>
      <c r="S45" s="182">
        <v>167</v>
      </c>
      <c r="T45" s="180">
        <v>181</v>
      </c>
      <c r="U45" s="181">
        <v>173</v>
      </c>
      <c r="V45" s="182">
        <v>167</v>
      </c>
      <c r="W45" s="180">
        <v>181</v>
      </c>
      <c r="X45" s="181">
        <v>173</v>
      </c>
      <c r="Y45" s="182">
        <v>167</v>
      </c>
      <c r="Z45" s="180">
        <v>181</v>
      </c>
      <c r="AA45" s="181">
        <v>173</v>
      </c>
      <c r="AB45" s="182">
        <v>167</v>
      </c>
      <c r="AC45" s="180">
        <v>181</v>
      </c>
      <c r="AD45" s="181">
        <v>173</v>
      </c>
      <c r="AE45" s="182">
        <v>167</v>
      </c>
      <c r="AF45" s="180">
        <v>181</v>
      </c>
      <c r="AG45" s="181">
        <v>173</v>
      </c>
      <c r="AH45" s="182">
        <v>167</v>
      </c>
      <c r="AI45" s="168" t="s">
        <v>1379</v>
      </c>
      <c r="AJ45" s="169" t="s">
        <v>2555</v>
      </c>
      <c r="AK45" s="170" t="s">
        <v>2786</v>
      </c>
      <c r="AL45" s="169" t="s">
        <v>14</v>
      </c>
      <c r="AM45" s="183">
        <v>1026</v>
      </c>
    </row>
    <row r="46" spans="1:39" s="2" customFormat="1">
      <c r="A46" s="179" t="s">
        <v>309</v>
      </c>
      <c r="B46" s="238" t="s">
        <v>163</v>
      </c>
      <c r="C46" s="164" t="s">
        <v>1378</v>
      </c>
      <c r="D46" s="236" t="s">
        <v>2788</v>
      </c>
      <c r="E46" s="180">
        <v>181</v>
      </c>
      <c r="F46" s="181">
        <v>173</v>
      </c>
      <c r="G46" s="182">
        <v>167</v>
      </c>
      <c r="H46" s="180">
        <v>181</v>
      </c>
      <c r="I46" s="181">
        <v>173</v>
      </c>
      <c r="J46" s="182">
        <v>167</v>
      </c>
      <c r="K46" s="180">
        <v>181</v>
      </c>
      <c r="L46" s="181">
        <v>173</v>
      </c>
      <c r="M46" s="182">
        <v>167</v>
      </c>
      <c r="N46" s="180">
        <v>181</v>
      </c>
      <c r="O46" s="181">
        <v>173</v>
      </c>
      <c r="P46" s="182">
        <v>167</v>
      </c>
      <c r="Q46" s="180">
        <v>181</v>
      </c>
      <c r="R46" s="181">
        <v>173</v>
      </c>
      <c r="S46" s="182">
        <v>167</v>
      </c>
      <c r="T46" s="180">
        <v>181</v>
      </c>
      <c r="U46" s="181">
        <v>173</v>
      </c>
      <c r="V46" s="182">
        <v>167</v>
      </c>
      <c r="W46" s="180">
        <v>181</v>
      </c>
      <c r="X46" s="181">
        <v>173</v>
      </c>
      <c r="Y46" s="182">
        <v>167</v>
      </c>
      <c r="Z46" s="180">
        <v>181</v>
      </c>
      <c r="AA46" s="181">
        <v>173</v>
      </c>
      <c r="AB46" s="182">
        <v>167</v>
      </c>
      <c r="AC46" s="180">
        <v>181</v>
      </c>
      <c r="AD46" s="181">
        <v>173</v>
      </c>
      <c r="AE46" s="182">
        <v>167</v>
      </c>
      <c r="AF46" s="180">
        <v>181</v>
      </c>
      <c r="AG46" s="181">
        <v>173</v>
      </c>
      <c r="AH46" s="182">
        <v>167</v>
      </c>
      <c r="AI46" s="168" t="s">
        <v>1379</v>
      </c>
      <c r="AJ46" s="169" t="s">
        <v>2555</v>
      </c>
      <c r="AK46" s="170" t="s">
        <v>2786</v>
      </c>
      <c r="AL46" s="169" t="s">
        <v>14</v>
      </c>
      <c r="AM46" s="183">
        <v>1026</v>
      </c>
    </row>
    <row r="47" spans="1:39" s="2" customFormat="1">
      <c r="A47" s="179" t="s">
        <v>309</v>
      </c>
      <c r="B47" s="238" t="s">
        <v>163</v>
      </c>
      <c r="C47" s="164" t="s">
        <v>1378</v>
      </c>
      <c r="D47" s="236" t="s">
        <v>2789</v>
      </c>
      <c r="E47" s="180">
        <v>181</v>
      </c>
      <c r="F47" s="181">
        <v>173</v>
      </c>
      <c r="G47" s="182">
        <v>167</v>
      </c>
      <c r="H47" s="180">
        <v>181</v>
      </c>
      <c r="I47" s="181">
        <v>173</v>
      </c>
      <c r="J47" s="182">
        <v>167</v>
      </c>
      <c r="K47" s="180">
        <v>181</v>
      </c>
      <c r="L47" s="181">
        <v>173</v>
      </c>
      <c r="M47" s="182">
        <v>167</v>
      </c>
      <c r="N47" s="180">
        <v>181</v>
      </c>
      <c r="O47" s="181">
        <v>173</v>
      </c>
      <c r="P47" s="182">
        <v>167</v>
      </c>
      <c r="Q47" s="180">
        <v>181</v>
      </c>
      <c r="R47" s="181">
        <v>173</v>
      </c>
      <c r="S47" s="182">
        <v>167</v>
      </c>
      <c r="T47" s="180">
        <v>181</v>
      </c>
      <c r="U47" s="181">
        <v>173</v>
      </c>
      <c r="V47" s="182">
        <v>167</v>
      </c>
      <c r="W47" s="180">
        <v>181</v>
      </c>
      <c r="X47" s="181">
        <v>173</v>
      </c>
      <c r="Y47" s="182">
        <v>167</v>
      </c>
      <c r="Z47" s="180">
        <v>181</v>
      </c>
      <c r="AA47" s="181">
        <v>173</v>
      </c>
      <c r="AB47" s="182">
        <v>167</v>
      </c>
      <c r="AC47" s="180">
        <v>181</v>
      </c>
      <c r="AD47" s="181">
        <v>173</v>
      </c>
      <c r="AE47" s="182">
        <v>167</v>
      </c>
      <c r="AF47" s="180">
        <v>181</v>
      </c>
      <c r="AG47" s="181">
        <v>173</v>
      </c>
      <c r="AH47" s="182">
        <v>167</v>
      </c>
      <c r="AI47" s="168" t="s">
        <v>1379</v>
      </c>
      <c r="AJ47" s="169" t="s">
        <v>2555</v>
      </c>
      <c r="AK47" s="170" t="s">
        <v>2786</v>
      </c>
      <c r="AL47" s="169" t="s">
        <v>14</v>
      </c>
      <c r="AM47" s="183">
        <v>1026</v>
      </c>
    </row>
    <row r="48" spans="1:39" s="2" customFormat="1" ht="20.6">
      <c r="A48" s="179" t="s">
        <v>309</v>
      </c>
      <c r="B48" s="238" t="s">
        <v>163</v>
      </c>
      <c r="C48" s="164" t="s">
        <v>2790</v>
      </c>
      <c r="D48" s="236" t="s">
        <v>2792</v>
      </c>
      <c r="E48" s="180">
        <v>173</v>
      </c>
      <c r="F48" s="181">
        <v>165</v>
      </c>
      <c r="G48" s="182">
        <v>165</v>
      </c>
      <c r="H48" s="180">
        <v>173</v>
      </c>
      <c r="I48" s="181">
        <v>165</v>
      </c>
      <c r="J48" s="182">
        <v>165</v>
      </c>
      <c r="K48" s="180">
        <v>173</v>
      </c>
      <c r="L48" s="181">
        <v>165</v>
      </c>
      <c r="M48" s="182">
        <v>165</v>
      </c>
      <c r="N48" s="180">
        <v>173</v>
      </c>
      <c r="O48" s="181">
        <v>165</v>
      </c>
      <c r="P48" s="182">
        <v>165</v>
      </c>
      <c r="Q48" s="180">
        <v>173</v>
      </c>
      <c r="R48" s="181">
        <v>165</v>
      </c>
      <c r="S48" s="182">
        <v>165</v>
      </c>
      <c r="T48" s="180">
        <v>173</v>
      </c>
      <c r="U48" s="181">
        <v>165</v>
      </c>
      <c r="V48" s="182">
        <v>165</v>
      </c>
      <c r="W48" s="180">
        <v>173</v>
      </c>
      <c r="X48" s="181">
        <v>165</v>
      </c>
      <c r="Y48" s="182">
        <v>165</v>
      </c>
      <c r="Z48" s="180">
        <v>173</v>
      </c>
      <c r="AA48" s="181">
        <v>165</v>
      </c>
      <c r="AB48" s="182">
        <v>165</v>
      </c>
      <c r="AC48" s="180">
        <v>173</v>
      </c>
      <c r="AD48" s="181">
        <v>165</v>
      </c>
      <c r="AE48" s="182">
        <v>165</v>
      </c>
      <c r="AF48" s="180">
        <v>173</v>
      </c>
      <c r="AG48" s="181">
        <v>165</v>
      </c>
      <c r="AH48" s="182">
        <v>165</v>
      </c>
      <c r="AI48" s="168" t="s">
        <v>2791</v>
      </c>
      <c r="AJ48" s="169" t="s">
        <v>2555</v>
      </c>
      <c r="AK48" s="170" t="s">
        <v>2786</v>
      </c>
      <c r="AL48" s="169" t="s">
        <v>14</v>
      </c>
      <c r="AM48" s="183">
        <v>1027</v>
      </c>
    </row>
    <row r="49" spans="1:39" s="2" customFormat="1" ht="20.6">
      <c r="A49" s="179" t="s">
        <v>309</v>
      </c>
      <c r="B49" s="238" t="s">
        <v>163</v>
      </c>
      <c r="C49" s="164" t="s">
        <v>2790</v>
      </c>
      <c r="D49" s="236" t="s">
        <v>2793</v>
      </c>
      <c r="E49" s="180">
        <v>173</v>
      </c>
      <c r="F49" s="181">
        <v>165</v>
      </c>
      <c r="G49" s="182">
        <v>165</v>
      </c>
      <c r="H49" s="180">
        <v>173</v>
      </c>
      <c r="I49" s="181">
        <v>165</v>
      </c>
      <c r="J49" s="182">
        <v>165</v>
      </c>
      <c r="K49" s="180">
        <v>173</v>
      </c>
      <c r="L49" s="181">
        <v>165</v>
      </c>
      <c r="M49" s="182">
        <v>165</v>
      </c>
      <c r="N49" s="180">
        <v>173</v>
      </c>
      <c r="O49" s="181">
        <v>165</v>
      </c>
      <c r="P49" s="182">
        <v>165</v>
      </c>
      <c r="Q49" s="180">
        <v>173</v>
      </c>
      <c r="R49" s="181">
        <v>165</v>
      </c>
      <c r="S49" s="182">
        <v>165</v>
      </c>
      <c r="T49" s="180">
        <v>173</v>
      </c>
      <c r="U49" s="181">
        <v>165</v>
      </c>
      <c r="V49" s="182">
        <v>165</v>
      </c>
      <c r="W49" s="180">
        <v>173</v>
      </c>
      <c r="X49" s="181">
        <v>165</v>
      </c>
      <c r="Y49" s="182">
        <v>165</v>
      </c>
      <c r="Z49" s="180">
        <v>173</v>
      </c>
      <c r="AA49" s="181">
        <v>165</v>
      </c>
      <c r="AB49" s="182">
        <v>165</v>
      </c>
      <c r="AC49" s="180">
        <v>173</v>
      </c>
      <c r="AD49" s="181">
        <v>165</v>
      </c>
      <c r="AE49" s="182">
        <v>165</v>
      </c>
      <c r="AF49" s="180">
        <v>173</v>
      </c>
      <c r="AG49" s="181">
        <v>165</v>
      </c>
      <c r="AH49" s="182">
        <v>165</v>
      </c>
      <c r="AI49" s="168" t="s">
        <v>2791</v>
      </c>
      <c r="AJ49" s="169" t="s">
        <v>2555</v>
      </c>
      <c r="AK49" s="170" t="s">
        <v>2786</v>
      </c>
      <c r="AL49" s="169" t="s">
        <v>14</v>
      </c>
      <c r="AM49" s="183">
        <v>1027</v>
      </c>
    </row>
    <row r="50" spans="1:39" s="2" customFormat="1" ht="20.6">
      <c r="A50" s="179" t="s">
        <v>309</v>
      </c>
      <c r="B50" s="238" t="s">
        <v>163</v>
      </c>
      <c r="C50" s="164" t="s">
        <v>2790</v>
      </c>
      <c r="D50" s="236" t="s">
        <v>2794</v>
      </c>
      <c r="E50" s="180">
        <v>173</v>
      </c>
      <c r="F50" s="181">
        <v>165</v>
      </c>
      <c r="G50" s="182">
        <v>165</v>
      </c>
      <c r="H50" s="180">
        <v>173</v>
      </c>
      <c r="I50" s="181">
        <v>165</v>
      </c>
      <c r="J50" s="182">
        <v>165</v>
      </c>
      <c r="K50" s="180">
        <v>173</v>
      </c>
      <c r="L50" s="181">
        <v>165</v>
      </c>
      <c r="M50" s="182">
        <v>165</v>
      </c>
      <c r="N50" s="180">
        <v>173</v>
      </c>
      <c r="O50" s="181">
        <v>165</v>
      </c>
      <c r="P50" s="182">
        <v>165</v>
      </c>
      <c r="Q50" s="180">
        <v>173</v>
      </c>
      <c r="R50" s="181">
        <v>165</v>
      </c>
      <c r="S50" s="182">
        <v>165</v>
      </c>
      <c r="T50" s="180">
        <v>173</v>
      </c>
      <c r="U50" s="181">
        <v>165</v>
      </c>
      <c r="V50" s="182">
        <v>165</v>
      </c>
      <c r="W50" s="180">
        <v>173</v>
      </c>
      <c r="X50" s="181">
        <v>165</v>
      </c>
      <c r="Y50" s="182">
        <v>165</v>
      </c>
      <c r="Z50" s="180">
        <v>173</v>
      </c>
      <c r="AA50" s="181">
        <v>165</v>
      </c>
      <c r="AB50" s="182">
        <v>165</v>
      </c>
      <c r="AC50" s="180">
        <v>173</v>
      </c>
      <c r="AD50" s="181">
        <v>165</v>
      </c>
      <c r="AE50" s="182">
        <v>165</v>
      </c>
      <c r="AF50" s="180">
        <v>173</v>
      </c>
      <c r="AG50" s="181">
        <v>165</v>
      </c>
      <c r="AH50" s="182">
        <v>165</v>
      </c>
      <c r="AI50" s="168" t="s">
        <v>2791</v>
      </c>
      <c r="AJ50" s="169" t="s">
        <v>2555</v>
      </c>
      <c r="AK50" s="170" t="s">
        <v>2786</v>
      </c>
      <c r="AL50" s="169" t="s">
        <v>14</v>
      </c>
      <c r="AM50" s="183">
        <v>1027</v>
      </c>
    </row>
    <row r="51" spans="1:39" s="2" customFormat="1">
      <c r="A51" s="179" t="s">
        <v>309</v>
      </c>
      <c r="B51" s="238" t="s">
        <v>2463</v>
      </c>
      <c r="C51" s="164" t="s">
        <v>310</v>
      </c>
      <c r="D51" s="236" t="s">
        <v>2807</v>
      </c>
      <c r="E51" s="180">
        <v>0</v>
      </c>
      <c r="F51" s="181">
        <v>0</v>
      </c>
      <c r="G51" s="182">
        <v>0</v>
      </c>
      <c r="H51" s="180">
        <v>204.96</v>
      </c>
      <c r="I51" s="181">
        <v>204.96</v>
      </c>
      <c r="J51" s="182">
        <v>204.96</v>
      </c>
      <c r="K51" s="180">
        <v>204.96</v>
      </c>
      <c r="L51" s="181">
        <v>204.96</v>
      </c>
      <c r="M51" s="182">
        <v>204.96</v>
      </c>
      <c r="N51" s="180">
        <v>204.96</v>
      </c>
      <c r="O51" s="181">
        <v>204.96</v>
      </c>
      <c r="P51" s="182">
        <v>204.96</v>
      </c>
      <c r="Q51" s="180">
        <v>204.96</v>
      </c>
      <c r="R51" s="181">
        <v>204.96</v>
      </c>
      <c r="S51" s="182">
        <v>204.96</v>
      </c>
      <c r="T51" s="180">
        <v>204.96</v>
      </c>
      <c r="U51" s="181">
        <v>204.96</v>
      </c>
      <c r="V51" s="182">
        <v>204.96</v>
      </c>
      <c r="W51" s="180">
        <v>204.96</v>
      </c>
      <c r="X51" s="181">
        <v>204.96</v>
      </c>
      <c r="Y51" s="182">
        <v>204.96</v>
      </c>
      <c r="Z51" s="180">
        <v>204.96</v>
      </c>
      <c r="AA51" s="181">
        <v>204.96</v>
      </c>
      <c r="AB51" s="182">
        <v>204.96</v>
      </c>
      <c r="AC51" s="180">
        <v>204.96</v>
      </c>
      <c r="AD51" s="181">
        <v>204.96</v>
      </c>
      <c r="AE51" s="182">
        <v>204.96</v>
      </c>
      <c r="AF51" s="180">
        <v>204.96</v>
      </c>
      <c r="AG51" s="181">
        <v>204.96</v>
      </c>
      <c r="AH51" s="182">
        <v>204.96</v>
      </c>
      <c r="AI51" s="168" t="s">
        <v>311</v>
      </c>
      <c r="AJ51" s="169" t="s">
        <v>2466</v>
      </c>
      <c r="AK51" s="170" t="s">
        <v>2467</v>
      </c>
      <c r="AL51" s="169" t="s">
        <v>20</v>
      </c>
      <c r="AM51" s="183">
        <v>2526</v>
      </c>
    </row>
    <row r="52" spans="1:39" s="2" customFormat="1">
      <c r="A52" s="179" t="s">
        <v>309</v>
      </c>
      <c r="B52" s="238" t="s">
        <v>2463</v>
      </c>
      <c r="C52" s="164" t="s">
        <v>329</v>
      </c>
      <c r="D52" s="236" t="s">
        <v>5182</v>
      </c>
      <c r="E52" s="180">
        <v>0</v>
      </c>
      <c r="F52" s="181">
        <v>0</v>
      </c>
      <c r="G52" s="182">
        <v>0</v>
      </c>
      <c r="H52" s="180">
        <v>295.964</v>
      </c>
      <c r="I52" s="181">
        <v>295.964</v>
      </c>
      <c r="J52" s="182">
        <v>295.964</v>
      </c>
      <c r="K52" s="180">
        <v>295.964</v>
      </c>
      <c r="L52" s="181">
        <v>295.964</v>
      </c>
      <c r="M52" s="182">
        <v>295.964</v>
      </c>
      <c r="N52" s="180">
        <v>295.964</v>
      </c>
      <c r="O52" s="181">
        <v>295.964</v>
      </c>
      <c r="P52" s="182">
        <v>295.964</v>
      </c>
      <c r="Q52" s="180">
        <v>295.964</v>
      </c>
      <c r="R52" s="181">
        <v>295.964</v>
      </c>
      <c r="S52" s="182">
        <v>295.964</v>
      </c>
      <c r="T52" s="180">
        <v>295.964</v>
      </c>
      <c r="U52" s="181">
        <v>295.964</v>
      </c>
      <c r="V52" s="182">
        <v>295.964</v>
      </c>
      <c r="W52" s="180">
        <v>295.964</v>
      </c>
      <c r="X52" s="181">
        <v>295.964</v>
      </c>
      <c r="Y52" s="182">
        <v>295.964</v>
      </c>
      <c r="Z52" s="180">
        <v>295.964</v>
      </c>
      <c r="AA52" s="181">
        <v>295.964</v>
      </c>
      <c r="AB52" s="182">
        <v>295.964</v>
      </c>
      <c r="AC52" s="180">
        <v>295.964</v>
      </c>
      <c r="AD52" s="181">
        <v>295.964</v>
      </c>
      <c r="AE52" s="182">
        <v>295.964</v>
      </c>
      <c r="AF52" s="180">
        <v>295.964</v>
      </c>
      <c r="AG52" s="181">
        <v>295.964</v>
      </c>
      <c r="AH52" s="182">
        <v>295.964</v>
      </c>
      <c r="AI52" s="168" t="s">
        <v>330</v>
      </c>
      <c r="AJ52" s="169" t="s">
        <v>2491</v>
      </c>
      <c r="AK52" s="170" t="s">
        <v>2477</v>
      </c>
      <c r="AL52" s="169" t="s">
        <v>2479</v>
      </c>
      <c r="AM52" s="183">
        <v>1718</v>
      </c>
    </row>
    <row r="53" spans="1:39" s="2" customFormat="1">
      <c r="A53" s="179" t="s">
        <v>7</v>
      </c>
      <c r="B53" s="238" t="s">
        <v>163</v>
      </c>
      <c r="C53" s="164" t="s">
        <v>958</v>
      </c>
      <c r="D53" s="236" t="s">
        <v>2826</v>
      </c>
      <c r="E53" s="180">
        <v>50</v>
      </c>
      <c r="F53" s="181">
        <v>50</v>
      </c>
      <c r="G53" s="182">
        <v>50</v>
      </c>
      <c r="H53" s="180">
        <v>50</v>
      </c>
      <c r="I53" s="181">
        <v>50</v>
      </c>
      <c r="J53" s="182">
        <v>50</v>
      </c>
      <c r="K53" s="180">
        <v>50</v>
      </c>
      <c r="L53" s="181">
        <v>50</v>
      </c>
      <c r="M53" s="182">
        <v>50</v>
      </c>
      <c r="N53" s="180">
        <v>50</v>
      </c>
      <c r="O53" s="181">
        <v>50</v>
      </c>
      <c r="P53" s="182">
        <v>50</v>
      </c>
      <c r="Q53" s="180">
        <v>50</v>
      </c>
      <c r="R53" s="181">
        <v>50</v>
      </c>
      <c r="S53" s="182">
        <v>50</v>
      </c>
      <c r="T53" s="180">
        <v>50</v>
      </c>
      <c r="U53" s="181">
        <v>50</v>
      </c>
      <c r="V53" s="182">
        <v>50</v>
      </c>
      <c r="W53" s="180">
        <v>50</v>
      </c>
      <c r="X53" s="181">
        <v>50</v>
      </c>
      <c r="Y53" s="182">
        <v>50</v>
      </c>
      <c r="Z53" s="180">
        <v>50</v>
      </c>
      <c r="AA53" s="181">
        <v>50</v>
      </c>
      <c r="AB53" s="182">
        <v>50</v>
      </c>
      <c r="AC53" s="180">
        <v>50</v>
      </c>
      <c r="AD53" s="181">
        <v>50</v>
      </c>
      <c r="AE53" s="182">
        <v>50</v>
      </c>
      <c r="AF53" s="180">
        <v>50</v>
      </c>
      <c r="AG53" s="181">
        <v>50</v>
      </c>
      <c r="AH53" s="182">
        <v>50</v>
      </c>
      <c r="AI53" s="168" t="s">
        <v>205</v>
      </c>
      <c r="AJ53" s="169" t="s">
        <v>2466</v>
      </c>
      <c r="AK53" s="170" t="s">
        <v>2467</v>
      </c>
      <c r="AL53" s="169" t="s">
        <v>20</v>
      </c>
      <c r="AM53" s="183">
        <v>2172</v>
      </c>
    </row>
    <row r="54" spans="1:39" s="2" customFormat="1">
      <c r="A54" s="179" t="s">
        <v>7</v>
      </c>
      <c r="B54" s="238" t="s">
        <v>163</v>
      </c>
      <c r="C54" s="164" t="s">
        <v>2251</v>
      </c>
      <c r="D54" s="236" t="s">
        <v>2831</v>
      </c>
      <c r="E54" s="180">
        <v>53</v>
      </c>
      <c r="F54" s="181">
        <v>53</v>
      </c>
      <c r="G54" s="182">
        <v>53</v>
      </c>
      <c r="H54" s="180">
        <v>53</v>
      </c>
      <c r="I54" s="181">
        <v>53</v>
      </c>
      <c r="J54" s="182">
        <v>53</v>
      </c>
      <c r="K54" s="180">
        <v>53</v>
      </c>
      <c r="L54" s="181">
        <v>53</v>
      </c>
      <c r="M54" s="182">
        <v>53</v>
      </c>
      <c r="N54" s="180">
        <v>53</v>
      </c>
      <c r="O54" s="181">
        <v>53</v>
      </c>
      <c r="P54" s="182">
        <v>53</v>
      </c>
      <c r="Q54" s="180">
        <v>53</v>
      </c>
      <c r="R54" s="181">
        <v>53</v>
      </c>
      <c r="S54" s="182">
        <v>53</v>
      </c>
      <c r="T54" s="180">
        <v>53</v>
      </c>
      <c r="U54" s="181">
        <v>53</v>
      </c>
      <c r="V54" s="182">
        <v>53</v>
      </c>
      <c r="W54" s="180">
        <v>53</v>
      </c>
      <c r="X54" s="181">
        <v>53</v>
      </c>
      <c r="Y54" s="182">
        <v>53</v>
      </c>
      <c r="Z54" s="180">
        <v>53</v>
      </c>
      <c r="AA54" s="181">
        <v>53</v>
      </c>
      <c r="AB54" s="182">
        <v>53</v>
      </c>
      <c r="AC54" s="180">
        <v>53</v>
      </c>
      <c r="AD54" s="181">
        <v>53</v>
      </c>
      <c r="AE54" s="182">
        <v>53</v>
      </c>
      <c r="AF54" s="180">
        <v>53</v>
      </c>
      <c r="AG54" s="181">
        <v>53</v>
      </c>
      <c r="AH54" s="182">
        <v>53</v>
      </c>
      <c r="AI54" s="168" t="s">
        <v>1388</v>
      </c>
      <c r="AJ54" s="169" t="s">
        <v>2476</v>
      </c>
      <c r="AK54" s="170" t="s">
        <v>2477</v>
      </c>
      <c r="AL54" s="169" t="s">
        <v>2479</v>
      </c>
      <c r="AM54" s="183">
        <v>1266</v>
      </c>
    </row>
    <row r="55" spans="1:39" s="2" customFormat="1">
      <c r="A55" s="179" t="s">
        <v>7</v>
      </c>
      <c r="B55" s="238" t="s">
        <v>2463</v>
      </c>
      <c r="C55" s="164" t="s">
        <v>2837</v>
      </c>
      <c r="D55" s="236" t="s">
        <v>5182</v>
      </c>
      <c r="E55" s="180">
        <v>300</v>
      </c>
      <c r="F55" s="181">
        <v>0</v>
      </c>
      <c r="G55" s="182">
        <v>300</v>
      </c>
      <c r="H55" s="180">
        <v>300</v>
      </c>
      <c r="I55" s="181">
        <v>0</v>
      </c>
      <c r="J55" s="182">
        <v>300</v>
      </c>
      <c r="K55" s="180">
        <v>300</v>
      </c>
      <c r="L55" s="181">
        <v>0</v>
      </c>
      <c r="M55" s="182">
        <v>300</v>
      </c>
      <c r="N55" s="180">
        <v>300</v>
      </c>
      <c r="O55" s="181">
        <v>0</v>
      </c>
      <c r="P55" s="182">
        <v>300</v>
      </c>
      <c r="Q55" s="180">
        <v>300</v>
      </c>
      <c r="R55" s="181">
        <v>0</v>
      </c>
      <c r="S55" s="182">
        <v>300</v>
      </c>
      <c r="T55" s="180">
        <v>300</v>
      </c>
      <c r="U55" s="181">
        <v>0</v>
      </c>
      <c r="V55" s="182">
        <v>300</v>
      </c>
      <c r="W55" s="180">
        <v>300</v>
      </c>
      <c r="X55" s="181">
        <v>0</v>
      </c>
      <c r="Y55" s="182">
        <v>300</v>
      </c>
      <c r="Z55" s="180">
        <v>300</v>
      </c>
      <c r="AA55" s="181">
        <v>0</v>
      </c>
      <c r="AB55" s="182">
        <v>300</v>
      </c>
      <c r="AC55" s="180">
        <v>300</v>
      </c>
      <c r="AD55" s="181">
        <v>0</v>
      </c>
      <c r="AE55" s="182">
        <v>300</v>
      </c>
      <c r="AF55" s="180">
        <v>300</v>
      </c>
      <c r="AG55" s="181">
        <v>0</v>
      </c>
      <c r="AH55" s="182">
        <v>300</v>
      </c>
      <c r="AI55" s="168" t="s">
        <v>2838</v>
      </c>
      <c r="AJ55" s="169" t="s">
        <v>2466</v>
      </c>
      <c r="AK55" s="170" t="s">
        <v>2467</v>
      </c>
      <c r="AL55" s="169" t="s">
        <v>20</v>
      </c>
      <c r="AM55" s="183">
        <v>3025</v>
      </c>
    </row>
    <row r="56" spans="1:39" s="2" customFormat="1">
      <c r="A56" s="179" t="s">
        <v>423</v>
      </c>
      <c r="B56" s="238" t="s">
        <v>163</v>
      </c>
      <c r="C56" s="164" t="s">
        <v>1493</v>
      </c>
      <c r="D56" s="236" t="s">
        <v>2841</v>
      </c>
      <c r="E56" s="180">
        <v>20</v>
      </c>
      <c r="F56" s="181">
        <v>20</v>
      </c>
      <c r="G56" s="182">
        <v>20</v>
      </c>
      <c r="H56" s="180">
        <v>20</v>
      </c>
      <c r="I56" s="181">
        <v>20</v>
      </c>
      <c r="J56" s="182">
        <v>20</v>
      </c>
      <c r="K56" s="180">
        <v>20</v>
      </c>
      <c r="L56" s="181">
        <v>20</v>
      </c>
      <c r="M56" s="182">
        <v>20</v>
      </c>
      <c r="N56" s="180">
        <v>20</v>
      </c>
      <c r="O56" s="181">
        <v>20</v>
      </c>
      <c r="P56" s="182">
        <v>20</v>
      </c>
      <c r="Q56" s="180">
        <v>20</v>
      </c>
      <c r="R56" s="181">
        <v>20</v>
      </c>
      <c r="S56" s="182">
        <v>20</v>
      </c>
      <c r="T56" s="180">
        <v>20</v>
      </c>
      <c r="U56" s="181">
        <v>20</v>
      </c>
      <c r="V56" s="182">
        <v>20</v>
      </c>
      <c r="W56" s="180">
        <v>20</v>
      </c>
      <c r="X56" s="181">
        <v>20</v>
      </c>
      <c r="Y56" s="182">
        <v>20</v>
      </c>
      <c r="Z56" s="180">
        <v>20</v>
      </c>
      <c r="AA56" s="181">
        <v>20</v>
      </c>
      <c r="AB56" s="182">
        <v>20</v>
      </c>
      <c r="AC56" s="180">
        <v>20</v>
      </c>
      <c r="AD56" s="181">
        <v>20</v>
      </c>
      <c r="AE56" s="182">
        <v>20</v>
      </c>
      <c r="AF56" s="180">
        <v>20</v>
      </c>
      <c r="AG56" s="181">
        <v>20</v>
      </c>
      <c r="AH56" s="182">
        <v>20</v>
      </c>
      <c r="AI56" s="168" t="s">
        <v>1494</v>
      </c>
      <c r="AJ56" s="169" t="s">
        <v>2466</v>
      </c>
      <c r="AK56" s="170" t="s">
        <v>2467</v>
      </c>
      <c r="AL56" s="169" t="s">
        <v>20</v>
      </c>
      <c r="AM56" s="183">
        <v>1590</v>
      </c>
    </row>
    <row r="57" spans="1:39" s="2" customFormat="1">
      <c r="A57" s="179" t="s">
        <v>423</v>
      </c>
      <c r="B57" s="238" t="s">
        <v>163</v>
      </c>
      <c r="C57" s="164" t="s">
        <v>1653</v>
      </c>
      <c r="D57" s="236" t="s">
        <v>1654</v>
      </c>
      <c r="E57" s="180">
        <v>204.4</v>
      </c>
      <c r="F57" s="181">
        <v>204.4</v>
      </c>
      <c r="G57" s="182">
        <v>204.4</v>
      </c>
      <c r="H57" s="180">
        <v>204.4</v>
      </c>
      <c r="I57" s="181">
        <v>204.4</v>
      </c>
      <c r="J57" s="182">
        <v>204.4</v>
      </c>
      <c r="K57" s="180">
        <v>204.4</v>
      </c>
      <c r="L57" s="181">
        <v>204.4</v>
      </c>
      <c r="M57" s="182">
        <v>204.4</v>
      </c>
      <c r="N57" s="180">
        <v>204.4</v>
      </c>
      <c r="O57" s="181">
        <v>204.4</v>
      </c>
      <c r="P57" s="182">
        <v>204.4</v>
      </c>
      <c r="Q57" s="180">
        <v>204.4</v>
      </c>
      <c r="R57" s="181">
        <v>204.4</v>
      </c>
      <c r="S57" s="182">
        <v>204.4</v>
      </c>
      <c r="T57" s="180">
        <v>204.4</v>
      </c>
      <c r="U57" s="181">
        <v>204.4</v>
      </c>
      <c r="V57" s="182">
        <v>204.4</v>
      </c>
      <c r="W57" s="180">
        <v>204.4</v>
      </c>
      <c r="X57" s="181">
        <v>204.4</v>
      </c>
      <c r="Y57" s="182">
        <v>204.4</v>
      </c>
      <c r="Z57" s="180">
        <v>204.4</v>
      </c>
      <c r="AA57" s="181">
        <v>204.4</v>
      </c>
      <c r="AB57" s="182">
        <v>204.4</v>
      </c>
      <c r="AC57" s="180">
        <v>204.4</v>
      </c>
      <c r="AD57" s="181">
        <v>204.4</v>
      </c>
      <c r="AE57" s="182">
        <v>204.4</v>
      </c>
      <c r="AF57" s="180">
        <v>204.4</v>
      </c>
      <c r="AG57" s="181">
        <v>204.4</v>
      </c>
      <c r="AH57" s="182">
        <v>204.4</v>
      </c>
      <c r="AI57" s="168" t="s">
        <v>1494</v>
      </c>
      <c r="AJ57" s="169" t="s">
        <v>2485</v>
      </c>
      <c r="AK57" s="170" t="s">
        <v>2486</v>
      </c>
      <c r="AL57" s="169" t="s">
        <v>17</v>
      </c>
      <c r="AM57" s="183">
        <v>1289</v>
      </c>
    </row>
    <row r="58" spans="1:39" s="2" customFormat="1">
      <c r="A58" s="179" t="s">
        <v>309</v>
      </c>
      <c r="B58" s="238" t="s">
        <v>2463</v>
      </c>
      <c r="C58" s="164" t="s">
        <v>312</v>
      </c>
      <c r="D58" s="236" t="s">
        <v>5182</v>
      </c>
      <c r="E58" s="180">
        <v>0</v>
      </c>
      <c r="F58" s="181">
        <v>78</v>
      </c>
      <c r="G58" s="182">
        <v>78</v>
      </c>
      <c r="H58" s="180">
        <v>78</v>
      </c>
      <c r="I58" s="181">
        <v>78</v>
      </c>
      <c r="J58" s="182">
        <v>78</v>
      </c>
      <c r="K58" s="180">
        <v>78</v>
      </c>
      <c r="L58" s="181">
        <v>78</v>
      </c>
      <c r="M58" s="182">
        <v>78</v>
      </c>
      <c r="N58" s="180">
        <v>78</v>
      </c>
      <c r="O58" s="181">
        <v>78</v>
      </c>
      <c r="P58" s="182">
        <v>78</v>
      </c>
      <c r="Q58" s="180">
        <v>78</v>
      </c>
      <c r="R58" s="181">
        <v>78</v>
      </c>
      <c r="S58" s="182">
        <v>78</v>
      </c>
      <c r="T58" s="180">
        <v>78</v>
      </c>
      <c r="U58" s="181">
        <v>78</v>
      </c>
      <c r="V58" s="182">
        <v>78</v>
      </c>
      <c r="W58" s="180">
        <v>78</v>
      </c>
      <c r="X58" s="181">
        <v>78</v>
      </c>
      <c r="Y58" s="182">
        <v>78</v>
      </c>
      <c r="Z58" s="180">
        <v>78</v>
      </c>
      <c r="AA58" s="181">
        <v>78</v>
      </c>
      <c r="AB58" s="182">
        <v>78</v>
      </c>
      <c r="AC58" s="180">
        <v>78</v>
      </c>
      <c r="AD58" s="181">
        <v>78</v>
      </c>
      <c r="AE58" s="182">
        <v>78</v>
      </c>
      <c r="AF58" s="180">
        <v>78</v>
      </c>
      <c r="AG58" s="181">
        <v>78</v>
      </c>
      <c r="AH58" s="182">
        <v>78</v>
      </c>
      <c r="AI58" s="168" t="s">
        <v>313</v>
      </c>
      <c r="AJ58" s="169" t="s">
        <v>2491</v>
      </c>
      <c r="AK58" s="170" t="s">
        <v>2477</v>
      </c>
      <c r="AL58" s="169" t="s">
        <v>2479</v>
      </c>
      <c r="AM58" s="183">
        <v>1711</v>
      </c>
    </row>
    <row r="59" spans="1:39" s="2" customFormat="1" ht="20.6">
      <c r="A59" s="179" t="s">
        <v>380</v>
      </c>
      <c r="B59" s="238" t="s">
        <v>163</v>
      </c>
      <c r="C59" s="164" t="s">
        <v>1883</v>
      </c>
      <c r="D59" s="236" t="s">
        <v>1884</v>
      </c>
      <c r="E59" s="180">
        <v>109.62</v>
      </c>
      <c r="F59" s="181">
        <v>109.62</v>
      </c>
      <c r="G59" s="182">
        <v>104.76</v>
      </c>
      <c r="H59" s="180">
        <v>109.62</v>
      </c>
      <c r="I59" s="181">
        <v>109.62</v>
      </c>
      <c r="J59" s="182">
        <v>104.76</v>
      </c>
      <c r="K59" s="180">
        <v>109.62</v>
      </c>
      <c r="L59" s="181">
        <v>109.62</v>
      </c>
      <c r="M59" s="182">
        <v>104.76</v>
      </c>
      <c r="N59" s="180">
        <v>109.62</v>
      </c>
      <c r="O59" s="181">
        <v>109.62</v>
      </c>
      <c r="P59" s="182">
        <v>104.76</v>
      </c>
      <c r="Q59" s="180">
        <v>109.62</v>
      </c>
      <c r="R59" s="181">
        <v>109.62</v>
      </c>
      <c r="S59" s="182">
        <v>104.76</v>
      </c>
      <c r="T59" s="180">
        <v>109.62</v>
      </c>
      <c r="U59" s="181">
        <v>109.62</v>
      </c>
      <c r="V59" s="182">
        <v>104.76</v>
      </c>
      <c r="W59" s="180">
        <v>109.62</v>
      </c>
      <c r="X59" s="181">
        <v>109.62</v>
      </c>
      <c r="Y59" s="182">
        <v>104.76</v>
      </c>
      <c r="Z59" s="180">
        <v>109.62</v>
      </c>
      <c r="AA59" s="181">
        <v>109.62</v>
      </c>
      <c r="AB59" s="182">
        <v>104.76</v>
      </c>
      <c r="AC59" s="180">
        <v>109.62</v>
      </c>
      <c r="AD59" s="181">
        <v>109.62</v>
      </c>
      <c r="AE59" s="182">
        <v>104.76</v>
      </c>
      <c r="AF59" s="180">
        <v>109.62</v>
      </c>
      <c r="AG59" s="181">
        <v>109.62</v>
      </c>
      <c r="AH59" s="182">
        <v>104.76</v>
      </c>
      <c r="AI59" s="168" t="s">
        <v>2873</v>
      </c>
      <c r="AJ59" s="169" t="s">
        <v>2491</v>
      </c>
      <c r="AK59" s="170" t="s">
        <v>2477</v>
      </c>
      <c r="AL59" s="169" t="s">
        <v>2479</v>
      </c>
      <c r="AM59" s="183">
        <v>1589</v>
      </c>
    </row>
    <row r="60" spans="1:39" s="2" customFormat="1" ht="20.6">
      <c r="A60" s="179" t="s">
        <v>380</v>
      </c>
      <c r="B60" s="238" t="s">
        <v>163</v>
      </c>
      <c r="C60" s="164" t="s">
        <v>1402</v>
      </c>
      <c r="D60" s="236" t="s">
        <v>1404</v>
      </c>
      <c r="E60" s="180">
        <v>109.62</v>
      </c>
      <c r="F60" s="181">
        <v>109.62</v>
      </c>
      <c r="G60" s="182">
        <v>104.76</v>
      </c>
      <c r="H60" s="180">
        <v>109.62</v>
      </c>
      <c r="I60" s="181">
        <v>109.62</v>
      </c>
      <c r="J60" s="182">
        <v>104.76</v>
      </c>
      <c r="K60" s="180">
        <v>109.62</v>
      </c>
      <c r="L60" s="181">
        <v>109.62</v>
      </c>
      <c r="M60" s="182">
        <v>104.76</v>
      </c>
      <c r="N60" s="180">
        <v>109.62</v>
      </c>
      <c r="O60" s="181">
        <v>109.62</v>
      </c>
      <c r="P60" s="182">
        <v>104.76</v>
      </c>
      <c r="Q60" s="180">
        <v>109.62</v>
      </c>
      <c r="R60" s="181">
        <v>109.62</v>
      </c>
      <c r="S60" s="182">
        <v>104.76</v>
      </c>
      <c r="T60" s="180">
        <v>109.62</v>
      </c>
      <c r="U60" s="181">
        <v>109.62</v>
      </c>
      <c r="V60" s="182">
        <v>104.76</v>
      </c>
      <c r="W60" s="180">
        <v>109.62</v>
      </c>
      <c r="X60" s="181">
        <v>109.62</v>
      </c>
      <c r="Y60" s="182">
        <v>104.76</v>
      </c>
      <c r="Z60" s="180">
        <v>109.62</v>
      </c>
      <c r="AA60" s="181">
        <v>109.62</v>
      </c>
      <c r="AB60" s="182">
        <v>104.76</v>
      </c>
      <c r="AC60" s="180">
        <v>109.62</v>
      </c>
      <c r="AD60" s="181">
        <v>109.62</v>
      </c>
      <c r="AE60" s="182">
        <v>104.76</v>
      </c>
      <c r="AF60" s="180">
        <v>109.62</v>
      </c>
      <c r="AG60" s="181">
        <v>109.62</v>
      </c>
      <c r="AH60" s="182">
        <v>104.76</v>
      </c>
      <c r="AI60" s="168" t="s">
        <v>2874</v>
      </c>
      <c r="AJ60" s="169" t="s">
        <v>2491</v>
      </c>
      <c r="AK60" s="170" t="s">
        <v>2477</v>
      </c>
      <c r="AL60" s="169" t="s">
        <v>2479</v>
      </c>
      <c r="AM60" s="183">
        <v>1587</v>
      </c>
    </row>
    <row r="61" spans="1:39" s="2" customFormat="1">
      <c r="A61" s="179" t="s">
        <v>380</v>
      </c>
      <c r="B61" s="238" t="s">
        <v>2463</v>
      </c>
      <c r="C61" s="164" t="s">
        <v>397</v>
      </c>
      <c r="D61" s="236" t="s">
        <v>5418</v>
      </c>
      <c r="E61" s="180">
        <v>0</v>
      </c>
      <c r="F61" s="181">
        <v>0</v>
      </c>
      <c r="G61" s="182">
        <v>0</v>
      </c>
      <c r="H61" s="180">
        <v>150</v>
      </c>
      <c r="I61" s="181">
        <v>150</v>
      </c>
      <c r="J61" s="182">
        <v>150</v>
      </c>
      <c r="K61" s="180">
        <v>150</v>
      </c>
      <c r="L61" s="181">
        <v>150</v>
      </c>
      <c r="M61" s="182">
        <v>150</v>
      </c>
      <c r="N61" s="180">
        <v>150</v>
      </c>
      <c r="O61" s="181">
        <v>150</v>
      </c>
      <c r="P61" s="182">
        <v>150</v>
      </c>
      <c r="Q61" s="180">
        <v>150</v>
      </c>
      <c r="R61" s="181">
        <v>150</v>
      </c>
      <c r="S61" s="182">
        <v>150</v>
      </c>
      <c r="T61" s="180">
        <v>150</v>
      </c>
      <c r="U61" s="181">
        <v>150</v>
      </c>
      <c r="V61" s="182">
        <v>150</v>
      </c>
      <c r="W61" s="180">
        <v>150</v>
      </c>
      <c r="X61" s="181">
        <v>150</v>
      </c>
      <c r="Y61" s="182">
        <v>150</v>
      </c>
      <c r="Z61" s="180">
        <v>150</v>
      </c>
      <c r="AA61" s="181">
        <v>150</v>
      </c>
      <c r="AB61" s="182">
        <v>150</v>
      </c>
      <c r="AC61" s="180">
        <v>150</v>
      </c>
      <c r="AD61" s="181">
        <v>150</v>
      </c>
      <c r="AE61" s="182">
        <v>150</v>
      </c>
      <c r="AF61" s="180">
        <v>150</v>
      </c>
      <c r="AG61" s="181">
        <v>150</v>
      </c>
      <c r="AH61" s="182">
        <v>150</v>
      </c>
      <c r="AI61" s="168" t="s">
        <v>553</v>
      </c>
      <c r="AJ61" s="169" t="s">
        <v>2466</v>
      </c>
      <c r="AK61" s="170" t="s">
        <v>2467</v>
      </c>
      <c r="AL61" s="169" t="s">
        <v>20</v>
      </c>
      <c r="AM61" s="183">
        <v>2049</v>
      </c>
    </row>
    <row r="62" spans="1:39" s="2" customFormat="1">
      <c r="A62" s="179" t="s">
        <v>7</v>
      </c>
      <c r="B62" s="238" t="s">
        <v>2463</v>
      </c>
      <c r="C62" s="164" t="s">
        <v>200</v>
      </c>
      <c r="D62" s="236" t="s">
        <v>5182</v>
      </c>
      <c r="E62" s="180">
        <v>0</v>
      </c>
      <c r="F62" s="181">
        <v>0</v>
      </c>
      <c r="G62" s="182">
        <v>0</v>
      </c>
      <c r="H62" s="180">
        <v>0</v>
      </c>
      <c r="I62" s="181">
        <v>0</v>
      </c>
      <c r="J62" s="182">
        <v>0</v>
      </c>
      <c r="K62" s="180">
        <v>100</v>
      </c>
      <c r="L62" s="181">
        <v>100</v>
      </c>
      <c r="M62" s="182">
        <v>100</v>
      </c>
      <c r="N62" s="180">
        <v>100</v>
      </c>
      <c r="O62" s="181">
        <v>100</v>
      </c>
      <c r="P62" s="182">
        <v>100</v>
      </c>
      <c r="Q62" s="180">
        <v>100</v>
      </c>
      <c r="R62" s="181">
        <v>100</v>
      </c>
      <c r="S62" s="182">
        <v>100</v>
      </c>
      <c r="T62" s="180">
        <v>100</v>
      </c>
      <c r="U62" s="181">
        <v>100</v>
      </c>
      <c r="V62" s="182">
        <v>100</v>
      </c>
      <c r="W62" s="180">
        <v>100</v>
      </c>
      <c r="X62" s="181">
        <v>100</v>
      </c>
      <c r="Y62" s="182">
        <v>100</v>
      </c>
      <c r="Z62" s="180">
        <v>100</v>
      </c>
      <c r="AA62" s="181">
        <v>100</v>
      </c>
      <c r="AB62" s="182">
        <v>100</v>
      </c>
      <c r="AC62" s="180">
        <v>100</v>
      </c>
      <c r="AD62" s="181">
        <v>100</v>
      </c>
      <c r="AE62" s="182">
        <v>100</v>
      </c>
      <c r="AF62" s="180">
        <v>100</v>
      </c>
      <c r="AG62" s="181">
        <v>100</v>
      </c>
      <c r="AH62" s="182">
        <v>100</v>
      </c>
      <c r="AI62" s="168" t="s">
        <v>201</v>
      </c>
      <c r="AJ62" s="169" t="s">
        <v>2466</v>
      </c>
      <c r="AK62" s="170" t="s">
        <v>2467</v>
      </c>
      <c r="AL62" s="169" t="s">
        <v>20</v>
      </c>
      <c r="AM62" s="183">
        <v>2646</v>
      </c>
    </row>
    <row r="63" spans="1:39" s="2" customFormat="1">
      <c r="A63" s="179" t="s">
        <v>7</v>
      </c>
      <c r="B63" s="238" t="s">
        <v>2463</v>
      </c>
      <c r="C63" s="164" t="s">
        <v>203</v>
      </c>
      <c r="D63" s="236" t="s">
        <v>5182</v>
      </c>
      <c r="E63" s="180">
        <v>0</v>
      </c>
      <c r="F63" s="181">
        <v>0</v>
      </c>
      <c r="G63" s="182">
        <v>0</v>
      </c>
      <c r="H63" s="180">
        <v>0</v>
      </c>
      <c r="I63" s="181">
        <v>0</v>
      </c>
      <c r="J63" s="182">
        <v>0</v>
      </c>
      <c r="K63" s="180">
        <v>150</v>
      </c>
      <c r="L63" s="181">
        <v>150</v>
      </c>
      <c r="M63" s="182">
        <v>150</v>
      </c>
      <c r="N63" s="180">
        <v>150</v>
      </c>
      <c r="O63" s="181">
        <v>150</v>
      </c>
      <c r="P63" s="182">
        <v>150</v>
      </c>
      <c r="Q63" s="180">
        <v>150</v>
      </c>
      <c r="R63" s="181">
        <v>150</v>
      </c>
      <c r="S63" s="182">
        <v>150</v>
      </c>
      <c r="T63" s="180">
        <v>150</v>
      </c>
      <c r="U63" s="181">
        <v>150</v>
      </c>
      <c r="V63" s="182">
        <v>150</v>
      </c>
      <c r="W63" s="180">
        <v>150</v>
      </c>
      <c r="X63" s="181">
        <v>150</v>
      </c>
      <c r="Y63" s="182">
        <v>150</v>
      </c>
      <c r="Z63" s="180">
        <v>150</v>
      </c>
      <c r="AA63" s="181">
        <v>150</v>
      </c>
      <c r="AB63" s="182">
        <v>150</v>
      </c>
      <c r="AC63" s="180">
        <v>150</v>
      </c>
      <c r="AD63" s="181">
        <v>150</v>
      </c>
      <c r="AE63" s="182">
        <v>150</v>
      </c>
      <c r="AF63" s="180">
        <v>150</v>
      </c>
      <c r="AG63" s="181">
        <v>150</v>
      </c>
      <c r="AH63" s="182">
        <v>150</v>
      </c>
      <c r="AI63" s="168" t="s">
        <v>2915</v>
      </c>
      <c r="AJ63" s="169" t="s">
        <v>2466</v>
      </c>
      <c r="AK63" s="170" t="s">
        <v>2467</v>
      </c>
      <c r="AL63" s="169" t="s">
        <v>20</v>
      </c>
      <c r="AM63" s="183">
        <v>2647</v>
      </c>
    </row>
    <row r="64" spans="1:39" s="2" customFormat="1">
      <c r="A64" s="179" t="s">
        <v>309</v>
      </c>
      <c r="B64" s="238" t="s">
        <v>163</v>
      </c>
      <c r="C64" s="164" t="s">
        <v>673</v>
      </c>
      <c r="D64" s="236" t="s">
        <v>2916</v>
      </c>
      <c r="E64" s="180">
        <v>350</v>
      </c>
      <c r="F64" s="181">
        <v>350</v>
      </c>
      <c r="G64" s="182">
        <v>325</v>
      </c>
      <c r="H64" s="180">
        <v>350</v>
      </c>
      <c r="I64" s="181">
        <v>350</v>
      </c>
      <c r="J64" s="182">
        <v>325</v>
      </c>
      <c r="K64" s="180">
        <v>350</v>
      </c>
      <c r="L64" s="181">
        <v>350</v>
      </c>
      <c r="M64" s="182">
        <v>325</v>
      </c>
      <c r="N64" s="180">
        <v>350</v>
      </c>
      <c r="O64" s="181">
        <v>350</v>
      </c>
      <c r="P64" s="182">
        <v>350</v>
      </c>
      <c r="Q64" s="180">
        <v>350</v>
      </c>
      <c r="R64" s="181">
        <v>350</v>
      </c>
      <c r="S64" s="182">
        <v>350</v>
      </c>
      <c r="T64" s="180">
        <v>350</v>
      </c>
      <c r="U64" s="181">
        <v>350</v>
      </c>
      <c r="V64" s="182">
        <v>350</v>
      </c>
      <c r="W64" s="180">
        <v>350</v>
      </c>
      <c r="X64" s="181">
        <v>0</v>
      </c>
      <c r="Y64" s="182">
        <v>0</v>
      </c>
      <c r="Z64" s="180">
        <v>0</v>
      </c>
      <c r="AA64" s="181">
        <v>0</v>
      </c>
      <c r="AB64" s="182">
        <v>0</v>
      </c>
      <c r="AC64" s="180">
        <v>0</v>
      </c>
      <c r="AD64" s="181">
        <v>0</v>
      </c>
      <c r="AE64" s="182">
        <v>0</v>
      </c>
      <c r="AF64" s="180">
        <v>0</v>
      </c>
      <c r="AG64" s="181">
        <v>0</v>
      </c>
      <c r="AH64" s="182">
        <v>0</v>
      </c>
      <c r="AI64" s="168" t="s">
        <v>674</v>
      </c>
      <c r="AJ64" s="169" t="s">
        <v>2639</v>
      </c>
      <c r="AK64" s="170" t="s">
        <v>2640</v>
      </c>
      <c r="AL64" s="169" t="s">
        <v>12</v>
      </c>
      <c r="AM64" s="183">
        <v>1035</v>
      </c>
    </row>
    <row r="65" spans="1:39" s="2" customFormat="1">
      <c r="A65" s="179" t="s">
        <v>309</v>
      </c>
      <c r="B65" s="238" t="s">
        <v>163</v>
      </c>
      <c r="C65" s="164" t="s">
        <v>673</v>
      </c>
      <c r="D65" s="236" t="s">
        <v>2917</v>
      </c>
      <c r="E65" s="180">
        <v>350</v>
      </c>
      <c r="F65" s="181">
        <v>350</v>
      </c>
      <c r="G65" s="182">
        <v>325</v>
      </c>
      <c r="H65" s="180">
        <v>350</v>
      </c>
      <c r="I65" s="181">
        <v>350</v>
      </c>
      <c r="J65" s="182">
        <v>325</v>
      </c>
      <c r="K65" s="180">
        <v>350</v>
      </c>
      <c r="L65" s="181">
        <v>350</v>
      </c>
      <c r="M65" s="182">
        <v>325</v>
      </c>
      <c r="N65" s="180">
        <v>350</v>
      </c>
      <c r="O65" s="181">
        <v>350</v>
      </c>
      <c r="P65" s="182">
        <v>350</v>
      </c>
      <c r="Q65" s="180">
        <v>350</v>
      </c>
      <c r="R65" s="181">
        <v>350</v>
      </c>
      <c r="S65" s="182">
        <v>350</v>
      </c>
      <c r="T65" s="180">
        <v>350</v>
      </c>
      <c r="U65" s="181">
        <v>350</v>
      </c>
      <c r="V65" s="182">
        <v>350</v>
      </c>
      <c r="W65" s="180">
        <v>350</v>
      </c>
      <c r="X65" s="181">
        <v>0</v>
      </c>
      <c r="Y65" s="182">
        <v>0</v>
      </c>
      <c r="Z65" s="180">
        <v>0</v>
      </c>
      <c r="AA65" s="181">
        <v>0</v>
      </c>
      <c r="AB65" s="182">
        <v>0</v>
      </c>
      <c r="AC65" s="180">
        <v>0</v>
      </c>
      <c r="AD65" s="181">
        <v>0</v>
      </c>
      <c r="AE65" s="182">
        <v>0</v>
      </c>
      <c r="AF65" s="180">
        <v>0</v>
      </c>
      <c r="AG65" s="181">
        <v>0</v>
      </c>
      <c r="AH65" s="182">
        <v>0</v>
      </c>
      <c r="AI65" s="168" t="s">
        <v>674</v>
      </c>
      <c r="AJ65" s="169" t="s">
        <v>2639</v>
      </c>
      <c r="AK65" s="170" t="s">
        <v>2640</v>
      </c>
      <c r="AL65" s="169" t="s">
        <v>12</v>
      </c>
      <c r="AM65" s="183">
        <v>1035</v>
      </c>
    </row>
    <row r="66" spans="1:39" s="2" customFormat="1" ht="20.6">
      <c r="A66" s="179" t="s">
        <v>309</v>
      </c>
      <c r="B66" s="238" t="s">
        <v>163</v>
      </c>
      <c r="C66" s="164" t="s">
        <v>1295</v>
      </c>
      <c r="D66" s="236" t="s">
        <v>2919</v>
      </c>
      <c r="E66" s="180">
        <v>424</v>
      </c>
      <c r="F66" s="181">
        <v>466</v>
      </c>
      <c r="G66" s="182">
        <v>434</v>
      </c>
      <c r="H66" s="180">
        <v>466</v>
      </c>
      <c r="I66" s="181">
        <v>466</v>
      </c>
      <c r="J66" s="182">
        <v>434</v>
      </c>
      <c r="K66" s="180">
        <v>466</v>
      </c>
      <c r="L66" s="181">
        <v>466</v>
      </c>
      <c r="M66" s="182">
        <v>434</v>
      </c>
      <c r="N66" s="180">
        <v>466</v>
      </c>
      <c r="O66" s="181">
        <v>466</v>
      </c>
      <c r="P66" s="182">
        <v>434</v>
      </c>
      <c r="Q66" s="180">
        <v>466</v>
      </c>
      <c r="R66" s="181">
        <v>466</v>
      </c>
      <c r="S66" s="182">
        <v>434</v>
      </c>
      <c r="T66" s="180">
        <v>466</v>
      </c>
      <c r="U66" s="181">
        <v>466</v>
      </c>
      <c r="V66" s="182">
        <v>434</v>
      </c>
      <c r="W66" s="180">
        <v>466</v>
      </c>
      <c r="X66" s="181">
        <v>466</v>
      </c>
      <c r="Y66" s="182">
        <v>434</v>
      </c>
      <c r="Z66" s="180">
        <v>466</v>
      </c>
      <c r="AA66" s="181">
        <v>466</v>
      </c>
      <c r="AB66" s="182">
        <v>434</v>
      </c>
      <c r="AC66" s="180">
        <v>466</v>
      </c>
      <c r="AD66" s="181">
        <v>466</v>
      </c>
      <c r="AE66" s="182">
        <v>434</v>
      </c>
      <c r="AF66" s="180">
        <v>466</v>
      </c>
      <c r="AG66" s="181">
        <v>466</v>
      </c>
      <c r="AH66" s="182">
        <v>434</v>
      </c>
      <c r="AI66" s="168" t="s">
        <v>1296</v>
      </c>
      <c r="AJ66" s="169" t="s">
        <v>2918</v>
      </c>
      <c r="AK66" s="170" t="s">
        <v>2640</v>
      </c>
      <c r="AL66" s="169" t="s">
        <v>12</v>
      </c>
      <c r="AM66" s="183">
        <v>1036</v>
      </c>
    </row>
    <row r="67" spans="1:39" s="2" customFormat="1" ht="20.6">
      <c r="A67" s="179" t="s">
        <v>309</v>
      </c>
      <c r="B67" s="238" t="s">
        <v>163</v>
      </c>
      <c r="C67" s="164" t="s">
        <v>1295</v>
      </c>
      <c r="D67" s="236" t="s">
        <v>2920</v>
      </c>
      <c r="E67" s="180">
        <v>466</v>
      </c>
      <c r="F67" s="181">
        <v>466</v>
      </c>
      <c r="G67" s="182">
        <v>434</v>
      </c>
      <c r="H67" s="180">
        <v>466</v>
      </c>
      <c r="I67" s="181">
        <v>466</v>
      </c>
      <c r="J67" s="182">
        <v>434</v>
      </c>
      <c r="K67" s="180">
        <v>466</v>
      </c>
      <c r="L67" s="181">
        <v>466</v>
      </c>
      <c r="M67" s="182">
        <v>434</v>
      </c>
      <c r="N67" s="180">
        <v>466</v>
      </c>
      <c r="O67" s="181">
        <v>466</v>
      </c>
      <c r="P67" s="182">
        <v>434</v>
      </c>
      <c r="Q67" s="180">
        <v>466</v>
      </c>
      <c r="R67" s="181">
        <v>466</v>
      </c>
      <c r="S67" s="182">
        <v>434</v>
      </c>
      <c r="T67" s="180">
        <v>466</v>
      </c>
      <c r="U67" s="181">
        <v>466</v>
      </c>
      <c r="V67" s="182">
        <v>434</v>
      </c>
      <c r="W67" s="180">
        <v>466</v>
      </c>
      <c r="X67" s="181">
        <v>466</v>
      </c>
      <c r="Y67" s="182">
        <v>434</v>
      </c>
      <c r="Z67" s="180">
        <v>466</v>
      </c>
      <c r="AA67" s="181">
        <v>466</v>
      </c>
      <c r="AB67" s="182">
        <v>434</v>
      </c>
      <c r="AC67" s="180">
        <v>466</v>
      </c>
      <c r="AD67" s="181">
        <v>466</v>
      </c>
      <c r="AE67" s="182">
        <v>434</v>
      </c>
      <c r="AF67" s="180">
        <v>466</v>
      </c>
      <c r="AG67" s="181">
        <v>466</v>
      </c>
      <c r="AH67" s="182">
        <v>434</v>
      </c>
      <c r="AI67" s="168" t="s">
        <v>1296</v>
      </c>
      <c r="AJ67" s="169" t="s">
        <v>2918</v>
      </c>
      <c r="AK67" s="170" t="s">
        <v>2640</v>
      </c>
      <c r="AL67" s="169" t="s">
        <v>12</v>
      </c>
      <c r="AM67" s="183">
        <v>1036</v>
      </c>
    </row>
    <row r="68" spans="1:39" s="2" customFormat="1">
      <c r="A68" s="179" t="s">
        <v>380</v>
      </c>
      <c r="B68" s="238" t="s">
        <v>163</v>
      </c>
      <c r="C68" s="164" t="s">
        <v>2947</v>
      </c>
      <c r="D68" s="236" t="s">
        <v>2949</v>
      </c>
      <c r="E68" s="180">
        <v>46</v>
      </c>
      <c r="F68" s="181">
        <v>46</v>
      </c>
      <c r="G68" s="182">
        <v>0</v>
      </c>
      <c r="H68" s="180">
        <v>46</v>
      </c>
      <c r="I68" s="181">
        <v>46</v>
      </c>
      <c r="J68" s="182">
        <v>0</v>
      </c>
      <c r="K68" s="180">
        <v>46</v>
      </c>
      <c r="L68" s="181">
        <v>46</v>
      </c>
      <c r="M68" s="182">
        <v>0</v>
      </c>
      <c r="N68" s="180">
        <v>46</v>
      </c>
      <c r="O68" s="181">
        <v>46</v>
      </c>
      <c r="P68" s="182">
        <v>0</v>
      </c>
      <c r="Q68" s="180">
        <v>46</v>
      </c>
      <c r="R68" s="181">
        <v>46</v>
      </c>
      <c r="S68" s="182">
        <v>0</v>
      </c>
      <c r="T68" s="180">
        <v>46</v>
      </c>
      <c r="U68" s="181">
        <v>46</v>
      </c>
      <c r="V68" s="182">
        <v>0</v>
      </c>
      <c r="W68" s="180">
        <v>46</v>
      </c>
      <c r="X68" s="181">
        <v>46</v>
      </c>
      <c r="Y68" s="182">
        <v>0</v>
      </c>
      <c r="Z68" s="180">
        <v>46</v>
      </c>
      <c r="AA68" s="181">
        <v>46</v>
      </c>
      <c r="AB68" s="182">
        <v>0</v>
      </c>
      <c r="AC68" s="180">
        <v>46</v>
      </c>
      <c r="AD68" s="181">
        <v>46</v>
      </c>
      <c r="AE68" s="182">
        <v>0</v>
      </c>
      <c r="AF68" s="180">
        <v>46</v>
      </c>
      <c r="AG68" s="181">
        <v>46</v>
      </c>
      <c r="AH68" s="182">
        <v>0</v>
      </c>
      <c r="AI68" s="168" t="s">
        <v>2948</v>
      </c>
      <c r="AJ68" s="169" t="s">
        <v>2485</v>
      </c>
      <c r="AK68" s="170" t="s">
        <v>2486</v>
      </c>
      <c r="AL68" s="169" t="s">
        <v>17</v>
      </c>
      <c r="AM68" s="183">
        <v>1037</v>
      </c>
    </row>
    <row r="69" spans="1:39" s="2" customFormat="1">
      <c r="A69" s="179" t="s">
        <v>7</v>
      </c>
      <c r="B69" s="238" t="s">
        <v>163</v>
      </c>
      <c r="C69" s="164" t="s">
        <v>273</v>
      </c>
      <c r="D69" s="236" t="s">
        <v>275</v>
      </c>
      <c r="E69" s="180">
        <v>99.99</v>
      </c>
      <c r="F69" s="181">
        <v>99.99</v>
      </c>
      <c r="G69" s="182">
        <v>95.7</v>
      </c>
      <c r="H69" s="180">
        <v>99.99</v>
      </c>
      <c r="I69" s="181">
        <v>99.99</v>
      </c>
      <c r="J69" s="182">
        <v>95.7</v>
      </c>
      <c r="K69" s="180">
        <v>99.99</v>
      </c>
      <c r="L69" s="181">
        <v>99.99</v>
      </c>
      <c r="M69" s="182">
        <v>95.7</v>
      </c>
      <c r="N69" s="180">
        <v>99.99</v>
      </c>
      <c r="O69" s="181">
        <v>99.99</v>
      </c>
      <c r="P69" s="182">
        <v>95.7</v>
      </c>
      <c r="Q69" s="180">
        <v>99.99</v>
      </c>
      <c r="R69" s="181">
        <v>99.99</v>
      </c>
      <c r="S69" s="182">
        <v>95.7</v>
      </c>
      <c r="T69" s="180">
        <v>99.99</v>
      </c>
      <c r="U69" s="181">
        <v>99.99</v>
      </c>
      <c r="V69" s="182">
        <v>95.7</v>
      </c>
      <c r="W69" s="180">
        <v>99.99</v>
      </c>
      <c r="X69" s="181">
        <v>99.99</v>
      </c>
      <c r="Y69" s="182">
        <v>95.7</v>
      </c>
      <c r="Z69" s="180">
        <v>99.99</v>
      </c>
      <c r="AA69" s="181">
        <v>99.99</v>
      </c>
      <c r="AB69" s="182">
        <v>95.7</v>
      </c>
      <c r="AC69" s="180">
        <v>99.99</v>
      </c>
      <c r="AD69" s="181">
        <v>99.99</v>
      </c>
      <c r="AE69" s="182">
        <v>95.7</v>
      </c>
      <c r="AF69" s="180">
        <v>99.99</v>
      </c>
      <c r="AG69" s="181">
        <v>99.99</v>
      </c>
      <c r="AH69" s="182">
        <v>95.7</v>
      </c>
      <c r="AI69" s="168" t="s">
        <v>274</v>
      </c>
      <c r="AJ69" s="169" t="s">
        <v>2466</v>
      </c>
      <c r="AK69" s="170" t="s">
        <v>2467</v>
      </c>
      <c r="AL69" s="169" t="s">
        <v>20</v>
      </c>
      <c r="AM69" s="183">
        <v>1890</v>
      </c>
    </row>
    <row r="70" spans="1:39" s="2" customFormat="1">
      <c r="A70" s="179" t="s">
        <v>565</v>
      </c>
      <c r="B70" s="238" t="s">
        <v>163</v>
      </c>
      <c r="C70" s="164" t="s">
        <v>2989</v>
      </c>
      <c r="D70" s="236" t="s">
        <v>2990</v>
      </c>
      <c r="E70" s="180">
        <v>174</v>
      </c>
      <c r="F70" s="181">
        <v>161</v>
      </c>
      <c r="G70" s="182">
        <v>161</v>
      </c>
      <c r="H70" s="180">
        <v>174</v>
      </c>
      <c r="I70" s="181">
        <v>161</v>
      </c>
      <c r="J70" s="182">
        <v>161</v>
      </c>
      <c r="K70" s="180">
        <v>174</v>
      </c>
      <c r="L70" s="181">
        <v>174</v>
      </c>
      <c r="M70" s="182">
        <v>174</v>
      </c>
      <c r="N70" s="180">
        <v>174</v>
      </c>
      <c r="O70" s="181">
        <v>174</v>
      </c>
      <c r="P70" s="182">
        <v>174</v>
      </c>
      <c r="Q70" s="180">
        <v>174</v>
      </c>
      <c r="R70" s="181">
        <v>174</v>
      </c>
      <c r="S70" s="182">
        <v>174</v>
      </c>
      <c r="T70" s="180">
        <v>126</v>
      </c>
      <c r="U70" s="181">
        <v>174</v>
      </c>
      <c r="V70" s="182">
        <v>174</v>
      </c>
      <c r="W70" s="180">
        <v>174</v>
      </c>
      <c r="X70" s="181">
        <v>145</v>
      </c>
      <c r="Y70" s="182">
        <v>145</v>
      </c>
      <c r="Z70" s="180">
        <v>174</v>
      </c>
      <c r="AA70" s="181">
        <v>174</v>
      </c>
      <c r="AB70" s="182">
        <v>174</v>
      </c>
      <c r="AC70" s="180">
        <v>174</v>
      </c>
      <c r="AD70" s="181">
        <v>119</v>
      </c>
      <c r="AE70" s="182">
        <v>119</v>
      </c>
      <c r="AF70" s="180">
        <v>174</v>
      </c>
      <c r="AG70" s="181">
        <v>132</v>
      </c>
      <c r="AH70" s="182">
        <v>132</v>
      </c>
      <c r="AI70" s="168" t="s">
        <v>1137</v>
      </c>
      <c r="AJ70" s="169" t="s">
        <v>2593</v>
      </c>
      <c r="AK70" s="170" t="s">
        <v>2482</v>
      </c>
      <c r="AL70" s="169" t="s">
        <v>18</v>
      </c>
      <c r="AM70" s="183">
        <v>1041</v>
      </c>
    </row>
    <row r="71" spans="1:39" s="2" customFormat="1" ht="20.6">
      <c r="A71" s="179" t="s">
        <v>380</v>
      </c>
      <c r="B71" s="238" t="s">
        <v>163</v>
      </c>
      <c r="C71" s="164" t="s">
        <v>2991</v>
      </c>
      <c r="D71" s="236" t="s">
        <v>2993</v>
      </c>
      <c r="E71" s="180">
        <v>62</v>
      </c>
      <c r="F71" s="181">
        <v>62</v>
      </c>
      <c r="G71" s="182">
        <v>0</v>
      </c>
      <c r="H71" s="180">
        <v>62</v>
      </c>
      <c r="I71" s="181">
        <v>62</v>
      </c>
      <c r="J71" s="182">
        <v>0</v>
      </c>
      <c r="K71" s="180">
        <v>62</v>
      </c>
      <c r="L71" s="181">
        <v>62</v>
      </c>
      <c r="M71" s="182">
        <v>0</v>
      </c>
      <c r="N71" s="180">
        <v>62</v>
      </c>
      <c r="O71" s="181">
        <v>62</v>
      </c>
      <c r="P71" s="182">
        <v>0</v>
      </c>
      <c r="Q71" s="180">
        <v>62</v>
      </c>
      <c r="R71" s="181">
        <v>62</v>
      </c>
      <c r="S71" s="182">
        <v>0</v>
      </c>
      <c r="T71" s="180">
        <v>62</v>
      </c>
      <c r="U71" s="181">
        <v>62</v>
      </c>
      <c r="V71" s="182">
        <v>0</v>
      </c>
      <c r="W71" s="180">
        <v>62</v>
      </c>
      <c r="X71" s="181">
        <v>62</v>
      </c>
      <c r="Y71" s="182">
        <v>0</v>
      </c>
      <c r="Z71" s="180">
        <v>62</v>
      </c>
      <c r="AA71" s="181">
        <v>62</v>
      </c>
      <c r="AB71" s="182">
        <v>0</v>
      </c>
      <c r="AC71" s="180">
        <v>62</v>
      </c>
      <c r="AD71" s="181">
        <v>62</v>
      </c>
      <c r="AE71" s="182">
        <v>0</v>
      </c>
      <c r="AF71" s="180">
        <v>62</v>
      </c>
      <c r="AG71" s="181">
        <v>62</v>
      </c>
      <c r="AH71" s="182">
        <v>0</v>
      </c>
      <c r="AI71" s="168" t="s">
        <v>2992</v>
      </c>
      <c r="AJ71" s="169" t="s">
        <v>2485</v>
      </c>
      <c r="AK71" s="170" t="s">
        <v>2486</v>
      </c>
      <c r="AL71" s="169" t="s">
        <v>17</v>
      </c>
      <c r="AM71" s="183">
        <v>1042</v>
      </c>
    </row>
    <row r="72" spans="1:39" s="2" customFormat="1">
      <c r="A72" s="179" t="s">
        <v>565</v>
      </c>
      <c r="B72" s="238" t="s">
        <v>163</v>
      </c>
      <c r="C72" s="164" t="s">
        <v>1687</v>
      </c>
      <c r="D72" s="236" t="s">
        <v>1689</v>
      </c>
      <c r="E72" s="180">
        <v>144</v>
      </c>
      <c r="F72" s="181">
        <v>144</v>
      </c>
      <c r="G72" s="182">
        <v>144</v>
      </c>
      <c r="H72" s="180">
        <v>144</v>
      </c>
      <c r="I72" s="181">
        <v>144</v>
      </c>
      <c r="J72" s="182">
        <v>144</v>
      </c>
      <c r="K72" s="180">
        <v>144</v>
      </c>
      <c r="L72" s="181">
        <v>144</v>
      </c>
      <c r="M72" s="182">
        <v>144</v>
      </c>
      <c r="N72" s="180">
        <v>144</v>
      </c>
      <c r="O72" s="181">
        <v>144</v>
      </c>
      <c r="P72" s="182">
        <v>144</v>
      </c>
      <c r="Q72" s="180">
        <v>144</v>
      </c>
      <c r="R72" s="181">
        <v>144</v>
      </c>
      <c r="S72" s="182">
        <v>144</v>
      </c>
      <c r="T72" s="180">
        <v>144</v>
      </c>
      <c r="U72" s="181">
        <v>144</v>
      </c>
      <c r="V72" s="182">
        <v>144</v>
      </c>
      <c r="W72" s="180">
        <v>144</v>
      </c>
      <c r="X72" s="181">
        <v>144</v>
      </c>
      <c r="Y72" s="182">
        <v>144</v>
      </c>
      <c r="Z72" s="180">
        <v>144</v>
      </c>
      <c r="AA72" s="181">
        <v>144</v>
      </c>
      <c r="AB72" s="182">
        <v>144</v>
      </c>
      <c r="AC72" s="180">
        <v>144</v>
      </c>
      <c r="AD72" s="181">
        <v>144</v>
      </c>
      <c r="AE72" s="182">
        <v>144</v>
      </c>
      <c r="AF72" s="180">
        <v>144</v>
      </c>
      <c r="AG72" s="181">
        <v>144</v>
      </c>
      <c r="AH72" s="182">
        <v>144</v>
      </c>
      <c r="AI72" s="168" t="s">
        <v>1688</v>
      </c>
      <c r="AJ72" s="169" t="s">
        <v>2485</v>
      </c>
      <c r="AK72" s="170" t="s">
        <v>2486</v>
      </c>
      <c r="AL72" s="169" t="s">
        <v>17</v>
      </c>
      <c r="AM72" s="183">
        <v>1260</v>
      </c>
    </row>
    <row r="73" spans="1:39" s="2" customFormat="1">
      <c r="A73" s="179" t="s">
        <v>565</v>
      </c>
      <c r="B73" s="238" t="s">
        <v>163</v>
      </c>
      <c r="C73" s="164" t="s">
        <v>3010</v>
      </c>
      <c r="D73" s="236" t="s">
        <v>3011</v>
      </c>
      <c r="E73" s="180">
        <v>95</v>
      </c>
      <c r="F73" s="181">
        <v>0</v>
      </c>
      <c r="G73" s="182">
        <v>0</v>
      </c>
      <c r="H73" s="180">
        <v>0</v>
      </c>
      <c r="I73" s="181">
        <v>95</v>
      </c>
      <c r="J73" s="182">
        <v>95</v>
      </c>
      <c r="K73" s="180">
        <v>95</v>
      </c>
      <c r="L73" s="181">
        <v>95</v>
      </c>
      <c r="M73" s="182">
        <v>95</v>
      </c>
      <c r="N73" s="180">
        <v>95</v>
      </c>
      <c r="O73" s="181">
        <v>95</v>
      </c>
      <c r="P73" s="182">
        <v>95</v>
      </c>
      <c r="Q73" s="180">
        <v>95</v>
      </c>
      <c r="R73" s="181">
        <v>95</v>
      </c>
      <c r="S73" s="182">
        <v>95</v>
      </c>
      <c r="T73" s="180">
        <v>95</v>
      </c>
      <c r="U73" s="181">
        <v>95</v>
      </c>
      <c r="V73" s="182">
        <v>95</v>
      </c>
      <c r="W73" s="180">
        <v>95</v>
      </c>
      <c r="X73" s="181">
        <v>95</v>
      </c>
      <c r="Y73" s="182">
        <v>95</v>
      </c>
      <c r="Z73" s="180">
        <v>95</v>
      </c>
      <c r="AA73" s="181">
        <v>95</v>
      </c>
      <c r="AB73" s="182">
        <v>95</v>
      </c>
      <c r="AC73" s="180">
        <v>95</v>
      </c>
      <c r="AD73" s="181">
        <v>95</v>
      </c>
      <c r="AE73" s="182">
        <v>95</v>
      </c>
      <c r="AF73" s="180">
        <v>95</v>
      </c>
      <c r="AG73" s="181">
        <v>95</v>
      </c>
      <c r="AH73" s="182">
        <v>95</v>
      </c>
      <c r="AI73" s="168" t="s">
        <v>1137</v>
      </c>
      <c r="AJ73" s="169" t="s">
        <v>2593</v>
      </c>
      <c r="AK73" s="170" t="s">
        <v>2482</v>
      </c>
      <c r="AL73" s="169" t="s">
        <v>18</v>
      </c>
      <c r="AM73" s="183">
        <v>1043</v>
      </c>
    </row>
    <row r="74" spans="1:39" s="2" customFormat="1" ht="20.6">
      <c r="A74" s="179" t="s">
        <v>423</v>
      </c>
      <c r="B74" s="238" t="s">
        <v>163</v>
      </c>
      <c r="C74" s="164" t="s">
        <v>1732</v>
      </c>
      <c r="D74" s="236" t="s">
        <v>1734</v>
      </c>
      <c r="E74" s="180">
        <v>57.6</v>
      </c>
      <c r="F74" s="181">
        <v>53.6</v>
      </c>
      <c r="G74" s="182">
        <v>43.2</v>
      </c>
      <c r="H74" s="180">
        <v>57.6</v>
      </c>
      <c r="I74" s="181">
        <v>53.6</v>
      </c>
      <c r="J74" s="182">
        <v>43.2</v>
      </c>
      <c r="K74" s="180">
        <v>57.6</v>
      </c>
      <c r="L74" s="181">
        <v>53.6</v>
      </c>
      <c r="M74" s="182">
        <v>43.2</v>
      </c>
      <c r="N74" s="180">
        <v>57.6</v>
      </c>
      <c r="O74" s="181">
        <v>53.6</v>
      </c>
      <c r="P74" s="182">
        <v>43.2</v>
      </c>
      <c r="Q74" s="180">
        <v>57.6</v>
      </c>
      <c r="R74" s="181">
        <v>53.6</v>
      </c>
      <c r="S74" s="182">
        <v>43.2</v>
      </c>
      <c r="T74" s="180">
        <v>57.6</v>
      </c>
      <c r="U74" s="181">
        <v>53.6</v>
      </c>
      <c r="V74" s="182">
        <v>43.2</v>
      </c>
      <c r="W74" s="180">
        <v>57.6</v>
      </c>
      <c r="X74" s="181">
        <v>53.6</v>
      </c>
      <c r="Y74" s="182">
        <v>43.2</v>
      </c>
      <c r="Z74" s="180">
        <v>57.6</v>
      </c>
      <c r="AA74" s="181">
        <v>53.6</v>
      </c>
      <c r="AB74" s="182">
        <v>43.2</v>
      </c>
      <c r="AC74" s="180">
        <v>57.6</v>
      </c>
      <c r="AD74" s="181">
        <v>53.6</v>
      </c>
      <c r="AE74" s="182">
        <v>43.2</v>
      </c>
      <c r="AF74" s="180">
        <v>57.6</v>
      </c>
      <c r="AG74" s="181">
        <v>53.6</v>
      </c>
      <c r="AH74" s="182">
        <v>43.2</v>
      </c>
      <c r="AI74" s="168" t="s">
        <v>1733</v>
      </c>
      <c r="AJ74" s="169" t="s">
        <v>2485</v>
      </c>
      <c r="AK74" s="170" t="s">
        <v>2486</v>
      </c>
      <c r="AL74" s="169" t="s">
        <v>17</v>
      </c>
      <c r="AM74" s="183">
        <v>1263</v>
      </c>
    </row>
    <row r="75" spans="1:39" s="2" customFormat="1">
      <c r="A75" s="179" t="s">
        <v>309</v>
      </c>
      <c r="B75" s="238" t="s">
        <v>163</v>
      </c>
      <c r="C75" s="164" t="s">
        <v>1844</v>
      </c>
      <c r="D75" s="236" t="s">
        <v>1846</v>
      </c>
      <c r="E75" s="180">
        <v>55.87</v>
      </c>
      <c r="F75" s="181">
        <v>55.87</v>
      </c>
      <c r="G75" s="182">
        <v>55.87</v>
      </c>
      <c r="H75" s="180">
        <v>55.87</v>
      </c>
      <c r="I75" s="181">
        <v>55.87</v>
      </c>
      <c r="J75" s="182">
        <v>55.87</v>
      </c>
      <c r="K75" s="180">
        <v>55.87</v>
      </c>
      <c r="L75" s="181">
        <v>55.87</v>
      </c>
      <c r="M75" s="182">
        <v>55.87</v>
      </c>
      <c r="N75" s="180">
        <v>55.87</v>
      </c>
      <c r="O75" s="181">
        <v>55.87</v>
      </c>
      <c r="P75" s="182">
        <v>55.87</v>
      </c>
      <c r="Q75" s="180">
        <v>55.87</v>
      </c>
      <c r="R75" s="181">
        <v>55.87</v>
      </c>
      <c r="S75" s="182">
        <v>55.87</v>
      </c>
      <c r="T75" s="180">
        <v>55.87</v>
      </c>
      <c r="U75" s="181">
        <v>55.87</v>
      </c>
      <c r="V75" s="182">
        <v>55.87</v>
      </c>
      <c r="W75" s="180">
        <v>55.87</v>
      </c>
      <c r="X75" s="181">
        <v>55.87</v>
      </c>
      <c r="Y75" s="182">
        <v>55.87</v>
      </c>
      <c r="Z75" s="180">
        <v>55.87</v>
      </c>
      <c r="AA75" s="181">
        <v>55.87</v>
      </c>
      <c r="AB75" s="182">
        <v>55.87</v>
      </c>
      <c r="AC75" s="180">
        <v>55.87</v>
      </c>
      <c r="AD75" s="181">
        <v>55.87</v>
      </c>
      <c r="AE75" s="182">
        <v>55.87</v>
      </c>
      <c r="AF75" s="180">
        <v>55.87</v>
      </c>
      <c r="AG75" s="181">
        <v>55.87</v>
      </c>
      <c r="AH75" s="182">
        <v>55.87</v>
      </c>
      <c r="AI75" s="168" t="s">
        <v>3023</v>
      </c>
      <c r="AJ75" s="169" t="s">
        <v>2491</v>
      </c>
      <c r="AK75" s="170" t="s">
        <v>2477</v>
      </c>
      <c r="AL75" s="169" t="s">
        <v>2479</v>
      </c>
      <c r="AM75" s="183">
        <v>1441</v>
      </c>
    </row>
    <row r="76" spans="1:39" s="2" customFormat="1">
      <c r="A76" s="179" t="s">
        <v>309</v>
      </c>
      <c r="B76" s="238" t="s">
        <v>163</v>
      </c>
      <c r="C76" s="164" t="s">
        <v>1184</v>
      </c>
      <c r="D76" s="236" t="s">
        <v>3024</v>
      </c>
      <c r="E76" s="180">
        <v>100</v>
      </c>
      <c r="F76" s="181">
        <v>100</v>
      </c>
      <c r="G76" s="182">
        <v>100</v>
      </c>
      <c r="H76" s="180">
        <v>100</v>
      </c>
      <c r="I76" s="181">
        <v>100</v>
      </c>
      <c r="J76" s="182">
        <v>100</v>
      </c>
      <c r="K76" s="180">
        <v>100</v>
      </c>
      <c r="L76" s="181">
        <v>100</v>
      </c>
      <c r="M76" s="182">
        <v>100</v>
      </c>
      <c r="N76" s="180">
        <v>100</v>
      </c>
      <c r="O76" s="181">
        <v>100</v>
      </c>
      <c r="P76" s="182">
        <v>100</v>
      </c>
      <c r="Q76" s="180">
        <v>100</v>
      </c>
      <c r="R76" s="181">
        <v>100</v>
      </c>
      <c r="S76" s="182">
        <v>100</v>
      </c>
      <c r="T76" s="180">
        <v>100</v>
      </c>
      <c r="U76" s="181">
        <v>100</v>
      </c>
      <c r="V76" s="182">
        <v>100</v>
      </c>
      <c r="W76" s="180">
        <v>100</v>
      </c>
      <c r="X76" s="181">
        <v>100</v>
      </c>
      <c r="Y76" s="182">
        <v>100</v>
      </c>
      <c r="Z76" s="180">
        <v>100</v>
      </c>
      <c r="AA76" s="181">
        <v>100</v>
      </c>
      <c r="AB76" s="182">
        <v>100</v>
      </c>
      <c r="AC76" s="180">
        <v>100</v>
      </c>
      <c r="AD76" s="181">
        <v>100</v>
      </c>
      <c r="AE76" s="182">
        <v>100</v>
      </c>
      <c r="AF76" s="180">
        <v>100</v>
      </c>
      <c r="AG76" s="181">
        <v>100</v>
      </c>
      <c r="AH76" s="182">
        <v>100</v>
      </c>
      <c r="AI76" s="168" t="s">
        <v>722</v>
      </c>
      <c r="AJ76" s="169" t="s">
        <v>2466</v>
      </c>
      <c r="AK76" s="170" t="s">
        <v>2467</v>
      </c>
      <c r="AL76" s="169" t="s">
        <v>20</v>
      </c>
      <c r="AM76" s="183">
        <v>2031</v>
      </c>
    </row>
    <row r="77" spans="1:39" s="2" customFormat="1">
      <c r="A77" s="179" t="s">
        <v>380</v>
      </c>
      <c r="B77" s="238" t="s">
        <v>163</v>
      </c>
      <c r="C77" s="164" t="s">
        <v>399</v>
      </c>
      <c r="D77" s="236" t="s">
        <v>401</v>
      </c>
      <c r="E77" s="180">
        <v>2</v>
      </c>
      <c r="F77" s="181">
        <v>2</v>
      </c>
      <c r="G77" s="182">
        <v>2</v>
      </c>
      <c r="H77" s="180">
        <v>2</v>
      </c>
      <c r="I77" s="181">
        <v>2</v>
      </c>
      <c r="J77" s="182">
        <v>2</v>
      </c>
      <c r="K77" s="180">
        <v>2</v>
      </c>
      <c r="L77" s="181">
        <v>2</v>
      </c>
      <c r="M77" s="182">
        <v>2</v>
      </c>
      <c r="N77" s="180">
        <v>2</v>
      </c>
      <c r="O77" s="181">
        <v>2</v>
      </c>
      <c r="P77" s="182">
        <v>2</v>
      </c>
      <c r="Q77" s="180">
        <v>2</v>
      </c>
      <c r="R77" s="181">
        <v>2</v>
      </c>
      <c r="S77" s="182">
        <v>2</v>
      </c>
      <c r="T77" s="180">
        <v>2</v>
      </c>
      <c r="U77" s="181">
        <v>2</v>
      </c>
      <c r="V77" s="182">
        <v>2</v>
      </c>
      <c r="W77" s="180">
        <v>2</v>
      </c>
      <c r="X77" s="181">
        <v>2</v>
      </c>
      <c r="Y77" s="182">
        <v>2</v>
      </c>
      <c r="Z77" s="180">
        <v>2</v>
      </c>
      <c r="AA77" s="181">
        <v>2</v>
      </c>
      <c r="AB77" s="182">
        <v>2</v>
      </c>
      <c r="AC77" s="180">
        <v>2</v>
      </c>
      <c r="AD77" s="181">
        <v>2</v>
      </c>
      <c r="AE77" s="182">
        <v>2</v>
      </c>
      <c r="AF77" s="180">
        <v>2</v>
      </c>
      <c r="AG77" s="181">
        <v>2</v>
      </c>
      <c r="AH77" s="182">
        <v>2</v>
      </c>
      <c r="AI77" s="168" t="s">
        <v>400</v>
      </c>
      <c r="AJ77" s="169" t="s">
        <v>2466</v>
      </c>
      <c r="AK77" s="170" t="s">
        <v>2467</v>
      </c>
      <c r="AL77" s="169" t="s">
        <v>20</v>
      </c>
      <c r="AM77" s="183">
        <v>1845</v>
      </c>
    </row>
    <row r="78" spans="1:39" s="2" customFormat="1">
      <c r="A78" s="179" t="s">
        <v>309</v>
      </c>
      <c r="B78" s="238" t="s">
        <v>163</v>
      </c>
      <c r="C78" s="164" t="s">
        <v>1866</v>
      </c>
      <c r="D78" s="236" t="s">
        <v>3036</v>
      </c>
      <c r="E78" s="180">
        <v>99.980999999999995</v>
      </c>
      <c r="F78" s="181">
        <v>96.6</v>
      </c>
      <c r="G78" s="182">
        <v>95.22</v>
      </c>
      <c r="H78" s="180">
        <v>99.980999999999995</v>
      </c>
      <c r="I78" s="181">
        <v>96.6</v>
      </c>
      <c r="J78" s="182">
        <v>95.22</v>
      </c>
      <c r="K78" s="180">
        <v>99.980999999999995</v>
      </c>
      <c r="L78" s="181">
        <v>96.6</v>
      </c>
      <c r="M78" s="182">
        <v>95.22</v>
      </c>
      <c r="N78" s="180">
        <v>99.980999999999995</v>
      </c>
      <c r="O78" s="181">
        <v>96.6</v>
      </c>
      <c r="P78" s="182">
        <v>95.22</v>
      </c>
      <c r="Q78" s="180">
        <v>99.980999999999995</v>
      </c>
      <c r="R78" s="181">
        <v>96.6</v>
      </c>
      <c r="S78" s="182">
        <v>95.22</v>
      </c>
      <c r="T78" s="180">
        <v>99.980999999999995</v>
      </c>
      <c r="U78" s="181">
        <v>96.6</v>
      </c>
      <c r="V78" s="182">
        <v>95.22</v>
      </c>
      <c r="W78" s="180">
        <v>99.980999999999995</v>
      </c>
      <c r="X78" s="181">
        <v>96.6</v>
      </c>
      <c r="Y78" s="182">
        <v>95.22</v>
      </c>
      <c r="Z78" s="180">
        <v>99.980999999999995</v>
      </c>
      <c r="AA78" s="181">
        <v>96.6</v>
      </c>
      <c r="AB78" s="182">
        <v>95.22</v>
      </c>
      <c r="AC78" s="180">
        <v>99.980999999999995</v>
      </c>
      <c r="AD78" s="181">
        <v>96.6</v>
      </c>
      <c r="AE78" s="182">
        <v>95.22</v>
      </c>
      <c r="AF78" s="180">
        <v>99.980999999999995</v>
      </c>
      <c r="AG78" s="181">
        <v>96.6</v>
      </c>
      <c r="AH78" s="182">
        <v>95.22</v>
      </c>
      <c r="AI78" s="168" t="s">
        <v>1867</v>
      </c>
      <c r="AJ78" s="169" t="s">
        <v>2491</v>
      </c>
      <c r="AK78" s="170" t="s">
        <v>2477</v>
      </c>
      <c r="AL78" s="169" t="s">
        <v>2479</v>
      </c>
      <c r="AM78" s="183">
        <v>1383</v>
      </c>
    </row>
    <row r="79" spans="1:39" s="2" customFormat="1">
      <c r="A79" s="179" t="s">
        <v>309</v>
      </c>
      <c r="B79" s="238" t="s">
        <v>163</v>
      </c>
      <c r="C79" s="164" t="s">
        <v>719</v>
      </c>
      <c r="D79" s="236" t="s">
        <v>1514</v>
      </c>
      <c r="E79" s="180">
        <v>166.78200000000001</v>
      </c>
      <c r="F79" s="181">
        <v>338.03</v>
      </c>
      <c r="G79" s="182">
        <v>338.03</v>
      </c>
      <c r="H79" s="180">
        <v>338.03</v>
      </c>
      <c r="I79" s="181">
        <v>338.03</v>
      </c>
      <c r="J79" s="182">
        <v>338.03</v>
      </c>
      <c r="K79" s="180">
        <v>338.03</v>
      </c>
      <c r="L79" s="181">
        <v>338.03</v>
      </c>
      <c r="M79" s="182">
        <v>338.03</v>
      </c>
      <c r="N79" s="180">
        <v>338.03</v>
      </c>
      <c r="O79" s="181">
        <v>338.03</v>
      </c>
      <c r="P79" s="182">
        <v>338.03</v>
      </c>
      <c r="Q79" s="180">
        <v>338.03</v>
      </c>
      <c r="R79" s="181">
        <v>338.03</v>
      </c>
      <c r="S79" s="182">
        <v>338.03</v>
      </c>
      <c r="T79" s="180">
        <v>338.03</v>
      </c>
      <c r="U79" s="181">
        <v>338.03</v>
      </c>
      <c r="V79" s="182">
        <v>338.03</v>
      </c>
      <c r="W79" s="180">
        <v>338.03</v>
      </c>
      <c r="X79" s="181">
        <v>338.03</v>
      </c>
      <c r="Y79" s="182">
        <v>338.03</v>
      </c>
      <c r="Z79" s="180">
        <v>338.03</v>
      </c>
      <c r="AA79" s="181">
        <v>338.03</v>
      </c>
      <c r="AB79" s="182">
        <v>338.03</v>
      </c>
      <c r="AC79" s="180">
        <v>338.03</v>
      </c>
      <c r="AD79" s="181">
        <v>338.03</v>
      </c>
      <c r="AE79" s="182">
        <v>338.03</v>
      </c>
      <c r="AF79" s="180">
        <v>338.03</v>
      </c>
      <c r="AG79" s="181">
        <v>338.03</v>
      </c>
      <c r="AH79" s="182">
        <v>338.03</v>
      </c>
      <c r="AI79" s="168" t="s">
        <v>690</v>
      </c>
      <c r="AJ79" s="169" t="s">
        <v>2485</v>
      </c>
      <c r="AK79" s="170" t="s">
        <v>2486</v>
      </c>
      <c r="AL79" s="169" t="s">
        <v>17</v>
      </c>
      <c r="AM79" s="183">
        <v>1988</v>
      </c>
    </row>
    <row r="80" spans="1:39" s="2" customFormat="1">
      <c r="A80" s="179" t="s">
        <v>309</v>
      </c>
      <c r="B80" s="238" t="s">
        <v>163</v>
      </c>
      <c r="C80" s="164" t="s">
        <v>719</v>
      </c>
      <c r="D80" s="236" t="s">
        <v>1515</v>
      </c>
      <c r="E80" s="180">
        <v>0</v>
      </c>
      <c r="F80" s="181">
        <v>100.97</v>
      </c>
      <c r="G80" s="182">
        <v>100.97</v>
      </c>
      <c r="H80" s="180">
        <v>100.97</v>
      </c>
      <c r="I80" s="181">
        <v>100.97</v>
      </c>
      <c r="J80" s="182">
        <v>100.97</v>
      </c>
      <c r="K80" s="180">
        <v>100.97</v>
      </c>
      <c r="L80" s="181">
        <v>100.97</v>
      </c>
      <c r="M80" s="182">
        <v>100.97</v>
      </c>
      <c r="N80" s="180">
        <v>100.97</v>
      </c>
      <c r="O80" s="181">
        <v>100.97</v>
      </c>
      <c r="P80" s="182">
        <v>100.97</v>
      </c>
      <c r="Q80" s="180">
        <v>100.97</v>
      </c>
      <c r="R80" s="181">
        <v>100.97</v>
      </c>
      <c r="S80" s="182">
        <v>100.97</v>
      </c>
      <c r="T80" s="180">
        <v>100.97</v>
      </c>
      <c r="U80" s="181">
        <v>100.97</v>
      </c>
      <c r="V80" s="182">
        <v>100.97</v>
      </c>
      <c r="W80" s="180">
        <v>100.97</v>
      </c>
      <c r="X80" s="181">
        <v>100.97</v>
      </c>
      <c r="Y80" s="182">
        <v>100.97</v>
      </c>
      <c r="Z80" s="180">
        <v>100.97</v>
      </c>
      <c r="AA80" s="181">
        <v>100.97</v>
      </c>
      <c r="AB80" s="182">
        <v>100.97</v>
      </c>
      <c r="AC80" s="180">
        <v>100.97</v>
      </c>
      <c r="AD80" s="181">
        <v>100.97</v>
      </c>
      <c r="AE80" s="182">
        <v>100.97</v>
      </c>
      <c r="AF80" s="180">
        <v>100.97</v>
      </c>
      <c r="AG80" s="181">
        <v>100.97</v>
      </c>
      <c r="AH80" s="182">
        <v>100.97</v>
      </c>
      <c r="AI80" s="168" t="s">
        <v>690</v>
      </c>
      <c r="AJ80" s="169" t="s">
        <v>2485</v>
      </c>
      <c r="AK80" s="170" t="s">
        <v>2486</v>
      </c>
      <c r="AL80" s="169" t="s">
        <v>17</v>
      </c>
      <c r="AM80" s="183">
        <v>1988</v>
      </c>
    </row>
    <row r="81" spans="1:39" s="2" customFormat="1">
      <c r="A81" s="179" t="s">
        <v>380</v>
      </c>
      <c r="B81" s="238" t="s">
        <v>2463</v>
      </c>
      <c r="C81" s="164" t="s">
        <v>384</v>
      </c>
      <c r="D81" s="236" t="s">
        <v>5182</v>
      </c>
      <c r="E81" s="180">
        <v>0</v>
      </c>
      <c r="F81" s="181">
        <v>0</v>
      </c>
      <c r="G81" s="182">
        <v>0</v>
      </c>
      <c r="H81" s="180">
        <v>60</v>
      </c>
      <c r="I81" s="181">
        <v>60</v>
      </c>
      <c r="J81" s="182">
        <v>60</v>
      </c>
      <c r="K81" s="180">
        <v>60</v>
      </c>
      <c r="L81" s="181">
        <v>60</v>
      </c>
      <c r="M81" s="182">
        <v>60</v>
      </c>
      <c r="N81" s="180">
        <v>60</v>
      </c>
      <c r="O81" s="181">
        <v>60</v>
      </c>
      <c r="P81" s="182">
        <v>60</v>
      </c>
      <c r="Q81" s="180">
        <v>60</v>
      </c>
      <c r="R81" s="181">
        <v>60</v>
      </c>
      <c r="S81" s="182">
        <v>60</v>
      </c>
      <c r="T81" s="180">
        <v>60</v>
      </c>
      <c r="U81" s="181">
        <v>60</v>
      </c>
      <c r="V81" s="182">
        <v>60</v>
      </c>
      <c r="W81" s="180">
        <v>60</v>
      </c>
      <c r="X81" s="181">
        <v>60</v>
      </c>
      <c r="Y81" s="182">
        <v>60</v>
      </c>
      <c r="Z81" s="180">
        <v>60</v>
      </c>
      <c r="AA81" s="181">
        <v>60</v>
      </c>
      <c r="AB81" s="182">
        <v>60</v>
      </c>
      <c r="AC81" s="180">
        <v>60</v>
      </c>
      <c r="AD81" s="181">
        <v>60</v>
      </c>
      <c r="AE81" s="182">
        <v>60</v>
      </c>
      <c r="AF81" s="180">
        <v>60</v>
      </c>
      <c r="AG81" s="181">
        <v>60</v>
      </c>
      <c r="AH81" s="182">
        <v>60</v>
      </c>
      <c r="AI81" s="168" t="s">
        <v>385</v>
      </c>
      <c r="AJ81" s="169" t="s">
        <v>2466</v>
      </c>
      <c r="AK81" s="170" t="s">
        <v>2467</v>
      </c>
      <c r="AL81" s="169" t="s">
        <v>20</v>
      </c>
      <c r="AM81" s="183">
        <v>1993</v>
      </c>
    </row>
    <row r="82" spans="1:39" s="2" customFormat="1">
      <c r="A82" s="179" t="s">
        <v>380</v>
      </c>
      <c r="B82" s="238" t="s">
        <v>163</v>
      </c>
      <c r="C82" s="164" t="s">
        <v>3048</v>
      </c>
      <c r="D82" s="236" t="s">
        <v>3049</v>
      </c>
      <c r="E82" s="180">
        <v>56.7</v>
      </c>
      <c r="F82" s="181">
        <v>56.7</v>
      </c>
      <c r="G82" s="182">
        <v>56.7</v>
      </c>
      <c r="H82" s="180">
        <v>56.7</v>
      </c>
      <c r="I82" s="181">
        <v>56.7</v>
      </c>
      <c r="J82" s="182">
        <v>56.7</v>
      </c>
      <c r="K82" s="180">
        <v>56.7</v>
      </c>
      <c r="L82" s="181">
        <v>56.7</v>
      </c>
      <c r="M82" s="182">
        <v>56.7</v>
      </c>
      <c r="N82" s="180">
        <v>56.7</v>
      </c>
      <c r="O82" s="181">
        <v>56.7</v>
      </c>
      <c r="P82" s="182">
        <v>56.7</v>
      </c>
      <c r="Q82" s="180">
        <v>56.7</v>
      </c>
      <c r="R82" s="181">
        <v>56.7</v>
      </c>
      <c r="S82" s="182">
        <v>56.7</v>
      </c>
      <c r="T82" s="180">
        <v>56.7</v>
      </c>
      <c r="U82" s="181">
        <v>56.7</v>
      </c>
      <c r="V82" s="182">
        <v>56.7</v>
      </c>
      <c r="W82" s="180">
        <v>56.7</v>
      </c>
      <c r="X82" s="181">
        <v>56.7</v>
      </c>
      <c r="Y82" s="182">
        <v>56.7</v>
      </c>
      <c r="Z82" s="180">
        <v>56.7</v>
      </c>
      <c r="AA82" s="181">
        <v>56.7</v>
      </c>
      <c r="AB82" s="182">
        <v>56.7</v>
      </c>
      <c r="AC82" s="180">
        <v>56.7</v>
      </c>
      <c r="AD82" s="181">
        <v>56.7</v>
      </c>
      <c r="AE82" s="182">
        <v>56.7</v>
      </c>
      <c r="AF82" s="180">
        <v>56.7</v>
      </c>
      <c r="AG82" s="181">
        <v>56.7</v>
      </c>
      <c r="AH82" s="182">
        <v>56.7</v>
      </c>
      <c r="AI82" s="168" t="s">
        <v>385</v>
      </c>
      <c r="AJ82" s="169" t="s">
        <v>2485</v>
      </c>
      <c r="AK82" s="170" t="s">
        <v>2486</v>
      </c>
      <c r="AL82" s="169" t="s">
        <v>17</v>
      </c>
      <c r="AM82" s="183">
        <v>1047</v>
      </c>
    </row>
    <row r="83" spans="1:39" s="2" customFormat="1" ht="20.6">
      <c r="A83" s="179" t="s">
        <v>309</v>
      </c>
      <c r="B83" s="238" t="s">
        <v>163</v>
      </c>
      <c r="C83" s="164" t="s">
        <v>1847</v>
      </c>
      <c r="D83" s="236" t="s">
        <v>1849</v>
      </c>
      <c r="E83" s="180">
        <v>74.998999999999995</v>
      </c>
      <c r="F83" s="181">
        <v>72.89</v>
      </c>
      <c r="G83" s="182">
        <v>71.41</v>
      </c>
      <c r="H83" s="180">
        <v>74.998999999999995</v>
      </c>
      <c r="I83" s="181">
        <v>72.89</v>
      </c>
      <c r="J83" s="182">
        <v>71.41</v>
      </c>
      <c r="K83" s="180">
        <v>74.998999999999995</v>
      </c>
      <c r="L83" s="181">
        <v>72.89</v>
      </c>
      <c r="M83" s="182">
        <v>71.41</v>
      </c>
      <c r="N83" s="180">
        <v>74.998999999999995</v>
      </c>
      <c r="O83" s="181">
        <v>72.89</v>
      </c>
      <c r="P83" s="182">
        <v>71.41</v>
      </c>
      <c r="Q83" s="180">
        <v>74.998999999999995</v>
      </c>
      <c r="R83" s="181">
        <v>72.89</v>
      </c>
      <c r="S83" s="182">
        <v>71.41</v>
      </c>
      <c r="T83" s="180">
        <v>74.998999999999995</v>
      </c>
      <c r="U83" s="181">
        <v>72.89</v>
      </c>
      <c r="V83" s="182">
        <v>71.41</v>
      </c>
      <c r="W83" s="180">
        <v>74.998999999999995</v>
      </c>
      <c r="X83" s="181">
        <v>72.89</v>
      </c>
      <c r="Y83" s="182">
        <v>71.41</v>
      </c>
      <c r="Z83" s="180">
        <v>74.998999999999995</v>
      </c>
      <c r="AA83" s="181">
        <v>72.89</v>
      </c>
      <c r="AB83" s="182">
        <v>71.41</v>
      </c>
      <c r="AC83" s="180">
        <v>74.998999999999995</v>
      </c>
      <c r="AD83" s="181">
        <v>72.89</v>
      </c>
      <c r="AE83" s="182">
        <v>71.41</v>
      </c>
      <c r="AF83" s="180">
        <v>74.998999999999995</v>
      </c>
      <c r="AG83" s="181">
        <v>72.89</v>
      </c>
      <c r="AH83" s="182">
        <v>71.41</v>
      </c>
      <c r="AI83" s="168" t="s">
        <v>1848</v>
      </c>
      <c r="AJ83" s="169" t="s">
        <v>2491</v>
      </c>
      <c r="AK83" s="170" t="s">
        <v>2477</v>
      </c>
      <c r="AL83" s="169" t="s">
        <v>2479</v>
      </c>
      <c r="AM83" s="183">
        <v>1562</v>
      </c>
    </row>
    <row r="84" spans="1:39" s="2" customFormat="1" ht="20.6">
      <c r="A84" s="179" t="s">
        <v>423</v>
      </c>
      <c r="B84" s="238" t="s">
        <v>163</v>
      </c>
      <c r="C84" s="164" t="s">
        <v>455</v>
      </c>
      <c r="D84" s="236" t="s">
        <v>457</v>
      </c>
      <c r="E84" s="180">
        <v>27.17</v>
      </c>
      <c r="F84" s="181">
        <v>27.17</v>
      </c>
      <c r="G84" s="182">
        <v>24.51</v>
      </c>
      <c r="H84" s="180">
        <v>27.17</v>
      </c>
      <c r="I84" s="181">
        <v>27.17</v>
      </c>
      <c r="J84" s="182">
        <v>24.51</v>
      </c>
      <c r="K84" s="180">
        <v>27.17</v>
      </c>
      <c r="L84" s="181">
        <v>27.17</v>
      </c>
      <c r="M84" s="182">
        <v>24.51</v>
      </c>
      <c r="N84" s="180">
        <v>27.17</v>
      </c>
      <c r="O84" s="181">
        <v>27.17</v>
      </c>
      <c r="P84" s="182">
        <v>24.51</v>
      </c>
      <c r="Q84" s="180">
        <v>27.17</v>
      </c>
      <c r="R84" s="181">
        <v>27.17</v>
      </c>
      <c r="S84" s="182">
        <v>24.51</v>
      </c>
      <c r="T84" s="180">
        <v>27.17</v>
      </c>
      <c r="U84" s="181">
        <v>27.17</v>
      </c>
      <c r="V84" s="182">
        <v>24.51</v>
      </c>
      <c r="W84" s="180">
        <v>27.17</v>
      </c>
      <c r="X84" s="181">
        <v>27.17</v>
      </c>
      <c r="Y84" s="182">
        <v>24.51</v>
      </c>
      <c r="Z84" s="180">
        <v>27.17</v>
      </c>
      <c r="AA84" s="181">
        <v>27.17</v>
      </c>
      <c r="AB84" s="182">
        <v>24.51</v>
      </c>
      <c r="AC84" s="180">
        <v>27.17</v>
      </c>
      <c r="AD84" s="181">
        <v>27.17</v>
      </c>
      <c r="AE84" s="182">
        <v>24.51</v>
      </c>
      <c r="AF84" s="180">
        <v>27.17</v>
      </c>
      <c r="AG84" s="181">
        <v>27.17</v>
      </c>
      <c r="AH84" s="182">
        <v>24.51</v>
      </c>
      <c r="AI84" s="168" t="s">
        <v>456</v>
      </c>
      <c r="AJ84" s="169" t="s">
        <v>2491</v>
      </c>
      <c r="AK84" s="170" t="s">
        <v>2477</v>
      </c>
      <c r="AL84" s="169" t="s">
        <v>2479</v>
      </c>
      <c r="AM84" s="183">
        <v>1691</v>
      </c>
    </row>
    <row r="85" spans="1:39" s="2" customFormat="1">
      <c r="A85" s="179" t="s">
        <v>7</v>
      </c>
      <c r="B85" s="238" t="s">
        <v>163</v>
      </c>
      <c r="C85" s="164" t="s">
        <v>1817</v>
      </c>
      <c r="D85" s="236" t="s">
        <v>3068</v>
      </c>
      <c r="E85" s="180">
        <v>150.03</v>
      </c>
      <c r="F85" s="181">
        <v>150.03</v>
      </c>
      <c r="G85" s="182">
        <v>150.03</v>
      </c>
      <c r="H85" s="180">
        <v>150.03</v>
      </c>
      <c r="I85" s="181">
        <v>150.03</v>
      </c>
      <c r="J85" s="182">
        <v>150.03</v>
      </c>
      <c r="K85" s="180">
        <v>150.03</v>
      </c>
      <c r="L85" s="181">
        <v>150.03</v>
      </c>
      <c r="M85" s="182">
        <v>150.03</v>
      </c>
      <c r="N85" s="180">
        <v>150.03</v>
      </c>
      <c r="O85" s="181">
        <v>150.03</v>
      </c>
      <c r="P85" s="182">
        <v>150.03</v>
      </c>
      <c r="Q85" s="180">
        <v>150.03</v>
      </c>
      <c r="R85" s="181">
        <v>150.93</v>
      </c>
      <c r="S85" s="182">
        <v>150.93</v>
      </c>
      <c r="T85" s="180">
        <v>150.03</v>
      </c>
      <c r="U85" s="181">
        <v>150.03</v>
      </c>
      <c r="V85" s="182">
        <v>150.03</v>
      </c>
      <c r="W85" s="180">
        <v>150.03</v>
      </c>
      <c r="X85" s="181">
        <v>150.03</v>
      </c>
      <c r="Y85" s="182">
        <v>150.03</v>
      </c>
      <c r="Z85" s="180">
        <v>150.03</v>
      </c>
      <c r="AA85" s="181">
        <v>150.03</v>
      </c>
      <c r="AB85" s="182">
        <v>150.03</v>
      </c>
      <c r="AC85" s="180">
        <v>150.03</v>
      </c>
      <c r="AD85" s="181">
        <v>150.03</v>
      </c>
      <c r="AE85" s="182">
        <v>150.03</v>
      </c>
      <c r="AF85" s="180">
        <v>150.03</v>
      </c>
      <c r="AG85" s="181">
        <v>150.03</v>
      </c>
      <c r="AH85" s="182">
        <v>150.03</v>
      </c>
      <c r="AI85" s="168" t="s">
        <v>1818</v>
      </c>
      <c r="AJ85" s="169" t="s">
        <v>2491</v>
      </c>
      <c r="AK85" s="170" t="s">
        <v>2477</v>
      </c>
      <c r="AL85" s="169" t="s">
        <v>2479</v>
      </c>
      <c r="AM85" s="183">
        <v>1420</v>
      </c>
    </row>
    <row r="86" spans="1:39" s="2" customFormat="1">
      <c r="A86" s="179" t="s">
        <v>7</v>
      </c>
      <c r="B86" s="238" t="s">
        <v>163</v>
      </c>
      <c r="C86" s="164" t="s">
        <v>1610</v>
      </c>
      <c r="D86" s="236" t="s">
        <v>1611</v>
      </c>
      <c r="E86" s="180">
        <v>218.7</v>
      </c>
      <c r="F86" s="181">
        <v>210.6</v>
      </c>
      <c r="G86" s="182">
        <v>124.2</v>
      </c>
      <c r="H86" s="180">
        <v>218.7</v>
      </c>
      <c r="I86" s="181">
        <v>210.6</v>
      </c>
      <c r="J86" s="182">
        <v>124.2</v>
      </c>
      <c r="K86" s="180">
        <v>218.7</v>
      </c>
      <c r="L86" s="181">
        <v>210.6</v>
      </c>
      <c r="M86" s="182">
        <v>124.2</v>
      </c>
      <c r="N86" s="180">
        <v>218.7</v>
      </c>
      <c r="O86" s="181">
        <v>210.6</v>
      </c>
      <c r="P86" s="182">
        <v>124.2</v>
      </c>
      <c r="Q86" s="180">
        <v>218.7</v>
      </c>
      <c r="R86" s="181">
        <v>210.6</v>
      </c>
      <c r="S86" s="182">
        <v>124.2</v>
      </c>
      <c r="T86" s="180">
        <v>218.7</v>
      </c>
      <c r="U86" s="181">
        <v>210.6</v>
      </c>
      <c r="V86" s="182">
        <v>124.2</v>
      </c>
      <c r="W86" s="180">
        <v>218.7</v>
      </c>
      <c r="X86" s="181">
        <v>210.6</v>
      </c>
      <c r="Y86" s="182">
        <v>124.2</v>
      </c>
      <c r="Z86" s="180">
        <v>218.7</v>
      </c>
      <c r="AA86" s="181">
        <v>124.2</v>
      </c>
      <c r="AB86" s="182">
        <v>124.2</v>
      </c>
      <c r="AC86" s="180">
        <v>218.7</v>
      </c>
      <c r="AD86" s="181">
        <v>124.2</v>
      </c>
      <c r="AE86" s="182">
        <v>124.2</v>
      </c>
      <c r="AF86" s="180">
        <v>218.7</v>
      </c>
      <c r="AG86" s="181">
        <v>124.2</v>
      </c>
      <c r="AH86" s="182">
        <v>124.2</v>
      </c>
      <c r="AI86" s="168" t="s">
        <v>1100</v>
      </c>
      <c r="AJ86" s="169" t="s">
        <v>2485</v>
      </c>
      <c r="AK86" s="170" t="s">
        <v>2486</v>
      </c>
      <c r="AL86" s="169" t="s">
        <v>17</v>
      </c>
      <c r="AM86" s="183">
        <v>1052</v>
      </c>
    </row>
    <row r="87" spans="1:39" s="2" customFormat="1">
      <c r="A87" s="179" t="s">
        <v>309</v>
      </c>
      <c r="B87" s="238" t="s">
        <v>163</v>
      </c>
      <c r="C87" s="164" t="s">
        <v>1850</v>
      </c>
      <c r="D87" s="236" t="s">
        <v>3075</v>
      </c>
      <c r="E87" s="180">
        <v>42.5</v>
      </c>
      <c r="F87" s="181">
        <v>41.31</v>
      </c>
      <c r="G87" s="182">
        <v>39.950000000000003</v>
      </c>
      <c r="H87" s="180">
        <v>42.5</v>
      </c>
      <c r="I87" s="181">
        <v>41.31</v>
      </c>
      <c r="J87" s="182">
        <v>39.950000000000003</v>
      </c>
      <c r="K87" s="180">
        <v>42.5</v>
      </c>
      <c r="L87" s="181">
        <v>41.31</v>
      </c>
      <c r="M87" s="182">
        <v>39.950000000000003</v>
      </c>
      <c r="N87" s="180">
        <v>42.5</v>
      </c>
      <c r="O87" s="181">
        <v>41.31</v>
      </c>
      <c r="P87" s="182">
        <v>39.950000000000003</v>
      </c>
      <c r="Q87" s="180">
        <v>42.5</v>
      </c>
      <c r="R87" s="181">
        <v>41.31</v>
      </c>
      <c r="S87" s="182">
        <v>39.950000000000003</v>
      </c>
      <c r="T87" s="180">
        <v>42.5</v>
      </c>
      <c r="U87" s="181">
        <v>41.31</v>
      </c>
      <c r="V87" s="182">
        <v>39.950000000000003</v>
      </c>
      <c r="W87" s="180">
        <v>42.5</v>
      </c>
      <c r="X87" s="181">
        <v>41.31</v>
      </c>
      <c r="Y87" s="182">
        <v>39.950000000000003</v>
      </c>
      <c r="Z87" s="180">
        <v>42.5</v>
      </c>
      <c r="AA87" s="181">
        <v>41.31</v>
      </c>
      <c r="AB87" s="182">
        <v>39.950000000000003</v>
      </c>
      <c r="AC87" s="180">
        <v>42.5</v>
      </c>
      <c r="AD87" s="181">
        <v>41.31</v>
      </c>
      <c r="AE87" s="182">
        <v>39.950000000000003</v>
      </c>
      <c r="AF87" s="180">
        <v>42.5</v>
      </c>
      <c r="AG87" s="181">
        <v>41.31</v>
      </c>
      <c r="AH87" s="182">
        <v>39.950000000000003</v>
      </c>
      <c r="AI87" s="168" t="s">
        <v>1100</v>
      </c>
      <c r="AJ87" s="169" t="s">
        <v>2476</v>
      </c>
      <c r="AK87" s="170" t="s">
        <v>2477</v>
      </c>
      <c r="AL87" s="169" t="s">
        <v>2479</v>
      </c>
      <c r="AM87" s="183">
        <v>1349</v>
      </c>
    </row>
    <row r="88" spans="1:39" s="2" customFormat="1">
      <c r="A88" s="179" t="s">
        <v>7</v>
      </c>
      <c r="B88" s="238" t="s">
        <v>163</v>
      </c>
      <c r="C88" s="164" t="s">
        <v>3076</v>
      </c>
      <c r="D88" s="236" t="s">
        <v>3077</v>
      </c>
      <c r="E88" s="180">
        <v>178</v>
      </c>
      <c r="F88" s="181">
        <v>167</v>
      </c>
      <c r="G88" s="182">
        <v>164</v>
      </c>
      <c r="H88" s="180">
        <v>178</v>
      </c>
      <c r="I88" s="181">
        <v>167</v>
      </c>
      <c r="J88" s="182">
        <v>164</v>
      </c>
      <c r="K88" s="180">
        <v>178</v>
      </c>
      <c r="L88" s="181">
        <v>167</v>
      </c>
      <c r="M88" s="182">
        <v>164</v>
      </c>
      <c r="N88" s="180">
        <v>178</v>
      </c>
      <c r="O88" s="181">
        <v>167</v>
      </c>
      <c r="P88" s="182">
        <v>164</v>
      </c>
      <c r="Q88" s="180">
        <v>178</v>
      </c>
      <c r="R88" s="181">
        <v>167</v>
      </c>
      <c r="S88" s="182">
        <v>164</v>
      </c>
      <c r="T88" s="180">
        <v>178</v>
      </c>
      <c r="U88" s="181">
        <v>167</v>
      </c>
      <c r="V88" s="182">
        <v>164</v>
      </c>
      <c r="W88" s="180">
        <v>178</v>
      </c>
      <c r="X88" s="181">
        <v>167</v>
      </c>
      <c r="Y88" s="182">
        <v>164</v>
      </c>
      <c r="Z88" s="180">
        <v>178</v>
      </c>
      <c r="AA88" s="181">
        <v>167</v>
      </c>
      <c r="AB88" s="182">
        <v>164</v>
      </c>
      <c r="AC88" s="180">
        <v>178</v>
      </c>
      <c r="AD88" s="181">
        <v>167</v>
      </c>
      <c r="AE88" s="182">
        <v>164</v>
      </c>
      <c r="AF88" s="180">
        <v>178</v>
      </c>
      <c r="AG88" s="181">
        <v>167</v>
      </c>
      <c r="AH88" s="182">
        <v>164</v>
      </c>
      <c r="AI88" s="168" t="s">
        <v>218</v>
      </c>
      <c r="AJ88" s="169" t="s">
        <v>2555</v>
      </c>
      <c r="AK88" s="170" t="s">
        <v>2556</v>
      </c>
      <c r="AL88" s="169" t="s">
        <v>14</v>
      </c>
      <c r="AM88" s="183">
        <v>1053</v>
      </c>
    </row>
    <row r="89" spans="1:39" s="2" customFormat="1">
      <c r="A89" s="179" t="s">
        <v>7</v>
      </c>
      <c r="B89" s="238" t="s">
        <v>163</v>
      </c>
      <c r="C89" s="164" t="s">
        <v>3076</v>
      </c>
      <c r="D89" s="236" t="s">
        <v>3078</v>
      </c>
      <c r="E89" s="180">
        <v>178</v>
      </c>
      <c r="F89" s="181">
        <v>167</v>
      </c>
      <c r="G89" s="182">
        <v>164</v>
      </c>
      <c r="H89" s="180">
        <v>178</v>
      </c>
      <c r="I89" s="181">
        <v>167</v>
      </c>
      <c r="J89" s="182">
        <v>164</v>
      </c>
      <c r="K89" s="180">
        <v>178</v>
      </c>
      <c r="L89" s="181">
        <v>167</v>
      </c>
      <c r="M89" s="182">
        <v>164</v>
      </c>
      <c r="N89" s="180">
        <v>178</v>
      </c>
      <c r="O89" s="181">
        <v>167</v>
      </c>
      <c r="P89" s="182">
        <v>164</v>
      </c>
      <c r="Q89" s="180">
        <v>178</v>
      </c>
      <c r="R89" s="181">
        <v>167</v>
      </c>
      <c r="S89" s="182">
        <v>164</v>
      </c>
      <c r="T89" s="180">
        <v>178</v>
      </c>
      <c r="U89" s="181">
        <v>167</v>
      </c>
      <c r="V89" s="182">
        <v>164</v>
      </c>
      <c r="W89" s="180">
        <v>178</v>
      </c>
      <c r="X89" s="181">
        <v>167</v>
      </c>
      <c r="Y89" s="182">
        <v>164</v>
      </c>
      <c r="Z89" s="180">
        <v>178</v>
      </c>
      <c r="AA89" s="181">
        <v>167</v>
      </c>
      <c r="AB89" s="182">
        <v>164</v>
      </c>
      <c r="AC89" s="180">
        <v>178</v>
      </c>
      <c r="AD89" s="181">
        <v>167</v>
      </c>
      <c r="AE89" s="182">
        <v>164</v>
      </c>
      <c r="AF89" s="180">
        <v>178</v>
      </c>
      <c r="AG89" s="181">
        <v>167</v>
      </c>
      <c r="AH89" s="182">
        <v>164</v>
      </c>
      <c r="AI89" s="168" t="s">
        <v>218</v>
      </c>
      <c r="AJ89" s="169" t="s">
        <v>2555</v>
      </c>
      <c r="AK89" s="170" t="s">
        <v>2556</v>
      </c>
      <c r="AL89" s="169" t="s">
        <v>14</v>
      </c>
      <c r="AM89" s="183">
        <v>1053</v>
      </c>
    </row>
    <row r="90" spans="1:39" s="2" customFormat="1">
      <c r="A90" s="179" t="s">
        <v>7</v>
      </c>
      <c r="B90" s="238" t="s">
        <v>163</v>
      </c>
      <c r="C90" s="164" t="s">
        <v>3076</v>
      </c>
      <c r="D90" s="236" t="s">
        <v>3079</v>
      </c>
      <c r="E90" s="180">
        <v>178</v>
      </c>
      <c r="F90" s="181">
        <v>167</v>
      </c>
      <c r="G90" s="182">
        <v>164</v>
      </c>
      <c r="H90" s="180">
        <v>178</v>
      </c>
      <c r="I90" s="181">
        <v>167</v>
      </c>
      <c r="J90" s="182">
        <v>164</v>
      </c>
      <c r="K90" s="180">
        <v>178</v>
      </c>
      <c r="L90" s="181">
        <v>167</v>
      </c>
      <c r="M90" s="182">
        <v>164</v>
      </c>
      <c r="N90" s="180">
        <v>178</v>
      </c>
      <c r="O90" s="181">
        <v>167</v>
      </c>
      <c r="P90" s="182">
        <v>164</v>
      </c>
      <c r="Q90" s="180">
        <v>178</v>
      </c>
      <c r="R90" s="181">
        <v>167</v>
      </c>
      <c r="S90" s="182">
        <v>164</v>
      </c>
      <c r="T90" s="180">
        <v>178</v>
      </c>
      <c r="U90" s="181">
        <v>167</v>
      </c>
      <c r="V90" s="182">
        <v>164</v>
      </c>
      <c r="W90" s="180">
        <v>178</v>
      </c>
      <c r="X90" s="181">
        <v>167</v>
      </c>
      <c r="Y90" s="182">
        <v>164</v>
      </c>
      <c r="Z90" s="180">
        <v>178</v>
      </c>
      <c r="AA90" s="181">
        <v>167</v>
      </c>
      <c r="AB90" s="182">
        <v>164</v>
      </c>
      <c r="AC90" s="180">
        <v>178</v>
      </c>
      <c r="AD90" s="181">
        <v>167</v>
      </c>
      <c r="AE90" s="182">
        <v>164</v>
      </c>
      <c r="AF90" s="180">
        <v>178</v>
      </c>
      <c r="AG90" s="181">
        <v>167</v>
      </c>
      <c r="AH90" s="182">
        <v>164</v>
      </c>
      <c r="AI90" s="168" t="s">
        <v>218</v>
      </c>
      <c r="AJ90" s="169" t="s">
        <v>2555</v>
      </c>
      <c r="AK90" s="170" t="s">
        <v>2556</v>
      </c>
      <c r="AL90" s="169" t="s">
        <v>14</v>
      </c>
      <c r="AM90" s="183">
        <v>1053</v>
      </c>
    </row>
    <row r="91" spans="1:39" s="2" customFormat="1">
      <c r="A91" s="179" t="s">
        <v>7</v>
      </c>
      <c r="B91" s="238" t="s">
        <v>163</v>
      </c>
      <c r="C91" s="164" t="s">
        <v>3076</v>
      </c>
      <c r="D91" s="236" t="s">
        <v>3080</v>
      </c>
      <c r="E91" s="180">
        <v>178</v>
      </c>
      <c r="F91" s="181">
        <v>167</v>
      </c>
      <c r="G91" s="182">
        <v>164</v>
      </c>
      <c r="H91" s="180">
        <v>178</v>
      </c>
      <c r="I91" s="181">
        <v>167</v>
      </c>
      <c r="J91" s="182">
        <v>164</v>
      </c>
      <c r="K91" s="180">
        <v>178</v>
      </c>
      <c r="L91" s="181">
        <v>167</v>
      </c>
      <c r="M91" s="182">
        <v>164</v>
      </c>
      <c r="N91" s="180">
        <v>178</v>
      </c>
      <c r="O91" s="181">
        <v>167</v>
      </c>
      <c r="P91" s="182">
        <v>164</v>
      </c>
      <c r="Q91" s="180">
        <v>178</v>
      </c>
      <c r="R91" s="181">
        <v>167</v>
      </c>
      <c r="S91" s="182">
        <v>164</v>
      </c>
      <c r="T91" s="180">
        <v>178</v>
      </c>
      <c r="U91" s="181">
        <v>167</v>
      </c>
      <c r="V91" s="182">
        <v>164</v>
      </c>
      <c r="W91" s="180">
        <v>178</v>
      </c>
      <c r="X91" s="181">
        <v>167</v>
      </c>
      <c r="Y91" s="182">
        <v>164</v>
      </c>
      <c r="Z91" s="180">
        <v>178</v>
      </c>
      <c r="AA91" s="181">
        <v>167</v>
      </c>
      <c r="AB91" s="182">
        <v>164</v>
      </c>
      <c r="AC91" s="180">
        <v>178</v>
      </c>
      <c r="AD91" s="181">
        <v>167</v>
      </c>
      <c r="AE91" s="182">
        <v>164</v>
      </c>
      <c r="AF91" s="180">
        <v>178</v>
      </c>
      <c r="AG91" s="181">
        <v>167</v>
      </c>
      <c r="AH91" s="182">
        <v>164</v>
      </c>
      <c r="AI91" s="168" t="s">
        <v>218</v>
      </c>
      <c r="AJ91" s="169" t="s">
        <v>2555</v>
      </c>
      <c r="AK91" s="170" t="s">
        <v>2556</v>
      </c>
      <c r="AL91" s="169" t="s">
        <v>14</v>
      </c>
      <c r="AM91" s="183">
        <v>1053</v>
      </c>
    </row>
    <row r="92" spans="1:39" s="2" customFormat="1">
      <c r="A92" s="179" t="s">
        <v>309</v>
      </c>
      <c r="B92" s="238" t="s">
        <v>163</v>
      </c>
      <c r="C92" s="164" t="s">
        <v>1256</v>
      </c>
      <c r="D92" s="236" t="s">
        <v>3089</v>
      </c>
      <c r="E92" s="180">
        <v>161.94999999999999</v>
      </c>
      <c r="F92" s="181">
        <v>161.94999999999999</v>
      </c>
      <c r="G92" s="182">
        <v>161.94999999999999</v>
      </c>
      <c r="H92" s="180">
        <v>161.94999999999999</v>
      </c>
      <c r="I92" s="181">
        <v>161.94999999999999</v>
      </c>
      <c r="J92" s="182">
        <v>161.94999999999999</v>
      </c>
      <c r="K92" s="180">
        <v>161.94999999999999</v>
      </c>
      <c r="L92" s="181">
        <v>161.94999999999999</v>
      </c>
      <c r="M92" s="182">
        <v>161.94999999999999</v>
      </c>
      <c r="N92" s="180">
        <v>161.94999999999999</v>
      </c>
      <c r="O92" s="181">
        <v>161.94999999999999</v>
      </c>
      <c r="P92" s="182">
        <v>161.94999999999999</v>
      </c>
      <c r="Q92" s="180">
        <v>161.94999999999999</v>
      </c>
      <c r="R92" s="181">
        <v>161.94999999999999</v>
      </c>
      <c r="S92" s="182">
        <v>161.94999999999999</v>
      </c>
      <c r="T92" s="180">
        <v>161.94999999999999</v>
      </c>
      <c r="U92" s="181">
        <v>161.94999999999999</v>
      </c>
      <c r="V92" s="182">
        <v>161.94999999999999</v>
      </c>
      <c r="W92" s="180">
        <v>161.94999999999999</v>
      </c>
      <c r="X92" s="181">
        <v>161.94999999999999</v>
      </c>
      <c r="Y92" s="182">
        <v>161.94999999999999</v>
      </c>
      <c r="Z92" s="180">
        <v>161.94999999999999</v>
      </c>
      <c r="AA92" s="181">
        <v>161.94999999999999</v>
      </c>
      <c r="AB92" s="182">
        <v>161.94999999999999</v>
      </c>
      <c r="AC92" s="180">
        <v>161.94999999999999</v>
      </c>
      <c r="AD92" s="181">
        <v>161.94999999999999</v>
      </c>
      <c r="AE92" s="182">
        <v>161.94999999999999</v>
      </c>
      <c r="AF92" s="180">
        <v>161.94999999999999</v>
      </c>
      <c r="AG92" s="181">
        <v>161.94999999999999</v>
      </c>
      <c r="AH92" s="182">
        <v>161.94999999999999</v>
      </c>
      <c r="AI92" s="168" t="s">
        <v>1257</v>
      </c>
      <c r="AJ92" s="169" t="s">
        <v>2491</v>
      </c>
      <c r="AK92" s="170" t="s">
        <v>2477</v>
      </c>
      <c r="AL92" s="169" t="s">
        <v>2479</v>
      </c>
      <c r="AM92" s="183">
        <v>1459</v>
      </c>
    </row>
    <row r="93" spans="1:39" s="2" customFormat="1">
      <c r="A93" s="179" t="s">
        <v>309</v>
      </c>
      <c r="B93" s="238" t="s">
        <v>163</v>
      </c>
      <c r="C93" s="164" t="s">
        <v>3098</v>
      </c>
      <c r="D93" s="236" t="s">
        <v>3101</v>
      </c>
      <c r="E93" s="180">
        <v>87.813999999999993</v>
      </c>
      <c r="F93" s="181">
        <v>83.781999999999996</v>
      </c>
      <c r="G93" s="182">
        <v>83.573999999999998</v>
      </c>
      <c r="H93" s="180">
        <v>87.813999999999993</v>
      </c>
      <c r="I93" s="181">
        <v>83.781999999999996</v>
      </c>
      <c r="J93" s="182">
        <v>83.573999999999998</v>
      </c>
      <c r="K93" s="180">
        <v>87.813999999999993</v>
      </c>
      <c r="L93" s="181">
        <v>83.781999999999996</v>
      </c>
      <c r="M93" s="182">
        <v>83.573999999999998</v>
      </c>
      <c r="N93" s="180">
        <v>87.813999999999993</v>
      </c>
      <c r="O93" s="181">
        <v>83.781999999999996</v>
      </c>
      <c r="P93" s="182">
        <v>83.573999999999998</v>
      </c>
      <c r="Q93" s="180">
        <v>87.813999999999993</v>
      </c>
      <c r="R93" s="181">
        <v>83.781999999999996</v>
      </c>
      <c r="S93" s="182">
        <v>83.573999999999998</v>
      </c>
      <c r="T93" s="180">
        <v>87.813999999999993</v>
      </c>
      <c r="U93" s="181">
        <v>83.781999999999996</v>
      </c>
      <c r="V93" s="182">
        <v>83.573999999999998</v>
      </c>
      <c r="W93" s="180">
        <v>87.813999999999993</v>
      </c>
      <c r="X93" s="181">
        <v>83.781999999999996</v>
      </c>
      <c r="Y93" s="182">
        <v>83.573999999999998</v>
      </c>
      <c r="Z93" s="180">
        <v>87.813999999999993</v>
      </c>
      <c r="AA93" s="181">
        <v>83.781999999999996</v>
      </c>
      <c r="AB93" s="182">
        <v>83.573999999999998</v>
      </c>
      <c r="AC93" s="180">
        <v>87.813999999999993</v>
      </c>
      <c r="AD93" s="181">
        <v>83.781999999999996</v>
      </c>
      <c r="AE93" s="182">
        <v>83.573999999999998</v>
      </c>
      <c r="AF93" s="180">
        <v>87.813999999999993</v>
      </c>
      <c r="AG93" s="181">
        <v>83.781999999999996</v>
      </c>
      <c r="AH93" s="182">
        <v>83.573999999999998</v>
      </c>
      <c r="AI93" s="168" t="s">
        <v>3099</v>
      </c>
      <c r="AJ93" s="169" t="s">
        <v>3100</v>
      </c>
      <c r="AK93" s="170" t="s">
        <v>2786</v>
      </c>
      <c r="AL93" s="169" t="s">
        <v>13</v>
      </c>
      <c r="AM93" s="183">
        <v>1054</v>
      </c>
    </row>
    <row r="94" spans="1:39" s="2" customFormat="1">
      <c r="A94" s="179" t="s">
        <v>309</v>
      </c>
      <c r="B94" s="238" t="s">
        <v>163</v>
      </c>
      <c r="C94" s="164" t="s">
        <v>3098</v>
      </c>
      <c r="D94" s="236" t="s">
        <v>3101</v>
      </c>
      <c r="E94" s="180">
        <v>0</v>
      </c>
      <c r="F94" s="181">
        <v>0</v>
      </c>
      <c r="G94" s="182">
        <v>0</v>
      </c>
      <c r="H94" s="180">
        <v>0</v>
      </c>
      <c r="I94" s="181">
        <v>0</v>
      </c>
      <c r="J94" s="182">
        <v>0</v>
      </c>
      <c r="K94" s="180">
        <v>0</v>
      </c>
      <c r="L94" s="181">
        <v>0</v>
      </c>
      <c r="M94" s="182">
        <v>0</v>
      </c>
      <c r="N94" s="180">
        <v>0</v>
      </c>
      <c r="O94" s="181">
        <v>54.970999999999997</v>
      </c>
      <c r="P94" s="182">
        <v>54.970999999999997</v>
      </c>
      <c r="Q94" s="180">
        <v>56.433</v>
      </c>
      <c r="R94" s="181">
        <v>54.970999999999997</v>
      </c>
      <c r="S94" s="182">
        <v>54.970999999999997</v>
      </c>
      <c r="T94" s="180">
        <v>56.433</v>
      </c>
      <c r="U94" s="181">
        <v>54.970999999999997</v>
      </c>
      <c r="V94" s="182">
        <v>54.970999999999997</v>
      </c>
      <c r="W94" s="180">
        <v>56.433</v>
      </c>
      <c r="X94" s="181">
        <v>54.970999999999997</v>
      </c>
      <c r="Y94" s="182">
        <v>54.970999999999997</v>
      </c>
      <c r="Z94" s="180">
        <v>56.433</v>
      </c>
      <c r="AA94" s="181">
        <v>54.970999999999997</v>
      </c>
      <c r="AB94" s="182">
        <v>54.970999999999997</v>
      </c>
      <c r="AC94" s="180">
        <v>56.433</v>
      </c>
      <c r="AD94" s="181">
        <v>54.970999999999997</v>
      </c>
      <c r="AE94" s="182">
        <v>54.970999999999997</v>
      </c>
      <c r="AF94" s="180">
        <v>56.433</v>
      </c>
      <c r="AG94" s="181">
        <v>54.970999999999997</v>
      </c>
      <c r="AH94" s="182">
        <v>54.970999999999997</v>
      </c>
      <c r="AI94" s="168" t="s">
        <v>3099</v>
      </c>
      <c r="AJ94" s="169" t="s">
        <v>2639</v>
      </c>
      <c r="AK94" s="170" t="s">
        <v>2786</v>
      </c>
      <c r="AL94" s="169" t="s">
        <v>15</v>
      </c>
      <c r="AM94" s="183">
        <v>1054</v>
      </c>
    </row>
    <row r="95" spans="1:39" s="2" customFormat="1">
      <c r="A95" s="179" t="s">
        <v>309</v>
      </c>
      <c r="B95" s="238" t="s">
        <v>163</v>
      </c>
      <c r="C95" s="164" t="s">
        <v>1387</v>
      </c>
      <c r="D95" s="236" t="s">
        <v>1389</v>
      </c>
      <c r="E95" s="180">
        <v>439.97500000000002</v>
      </c>
      <c r="F95" s="181">
        <v>439.97500000000002</v>
      </c>
      <c r="G95" s="182">
        <v>439.97500000000002</v>
      </c>
      <c r="H95" s="180">
        <v>439.97500000000002</v>
      </c>
      <c r="I95" s="181">
        <v>439.97500000000002</v>
      </c>
      <c r="J95" s="182">
        <v>439.97500000000002</v>
      </c>
      <c r="K95" s="180">
        <v>439.97500000000002</v>
      </c>
      <c r="L95" s="181">
        <v>439.97500000000002</v>
      </c>
      <c r="M95" s="182">
        <v>439.97500000000002</v>
      </c>
      <c r="N95" s="180">
        <v>439.97500000000002</v>
      </c>
      <c r="O95" s="181">
        <v>439.97500000000002</v>
      </c>
      <c r="P95" s="182">
        <v>439.97500000000002</v>
      </c>
      <c r="Q95" s="180">
        <v>439.97500000000002</v>
      </c>
      <c r="R95" s="181">
        <v>439.97500000000002</v>
      </c>
      <c r="S95" s="182">
        <v>439.97500000000002</v>
      </c>
      <c r="T95" s="180">
        <v>439.97500000000002</v>
      </c>
      <c r="U95" s="181">
        <v>439.97500000000002</v>
      </c>
      <c r="V95" s="182">
        <v>439.97500000000002</v>
      </c>
      <c r="W95" s="180">
        <v>439.97500000000002</v>
      </c>
      <c r="X95" s="181">
        <v>439.97500000000002</v>
      </c>
      <c r="Y95" s="182">
        <v>439.97500000000002</v>
      </c>
      <c r="Z95" s="180">
        <v>439.97500000000002</v>
      </c>
      <c r="AA95" s="181">
        <v>439.97500000000002</v>
      </c>
      <c r="AB95" s="182">
        <v>439.97500000000002</v>
      </c>
      <c r="AC95" s="180">
        <v>439.97500000000002</v>
      </c>
      <c r="AD95" s="181">
        <v>439.97500000000002</v>
      </c>
      <c r="AE95" s="182">
        <v>439.97500000000002</v>
      </c>
      <c r="AF95" s="180">
        <v>439.97500000000002</v>
      </c>
      <c r="AG95" s="181">
        <v>439.97500000000002</v>
      </c>
      <c r="AH95" s="182">
        <v>439.97500000000002</v>
      </c>
      <c r="AI95" s="168" t="s">
        <v>1388</v>
      </c>
      <c r="AJ95" s="169" t="s">
        <v>2485</v>
      </c>
      <c r="AK95" s="170" t="s">
        <v>2486</v>
      </c>
      <c r="AL95" s="169" t="s">
        <v>17</v>
      </c>
      <c r="AM95" s="183">
        <v>1057</v>
      </c>
    </row>
    <row r="96" spans="1:39" s="2" customFormat="1" ht="20.6">
      <c r="A96" s="179" t="s">
        <v>7</v>
      </c>
      <c r="B96" s="238" t="s">
        <v>163</v>
      </c>
      <c r="C96" s="164" t="s">
        <v>837</v>
      </c>
      <c r="D96" s="236" t="s">
        <v>839</v>
      </c>
      <c r="E96" s="180">
        <v>30.007999999999999</v>
      </c>
      <c r="F96" s="181">
        <v>30.007999999999999</v>
      </c>
      <c r="G96" s="182">
        <v>30.007999999999999</v>
      </c>
      <c r="H96" s="180">
        <v>30.007999999999999</v>
      </c>
      <c r="I96" s="181">
        <v>30.007999999999999</v>
      </c>
      <c r="J96" s="182">
        <v>30.007999999999999</v>
      </c>
      <c r="K96" s="180">
        <v>30.007999999999999</v>
      </c>
      <c r="L96" s="181">
        <v>30.007999999999999</v>
      </c>
      <c r="M96" s="182">
        <v>30.007999999999999</v>
      </c>
      <c r="N96" s="180">
        <v>30.007999999999999</v>
      </c>
      <c r="O96" s="181">
        <v>30.007999999999999</v>
      </c>
      <c r="P96" s="182">
        <v>30.007999999999999</v>
      </c>
      <c r="Q96" s="180">
        <v>30.007999999999999</v>
      </c>
      <c r="R96" s="181">
        <v>30.007999999999999</v>
      </c>
      <c r="S96" s="182">
        <v>30.007999999999999</v>
      </c>
      <c r="T96" s="180">
        <v>30.007999999999999</v>
      </c>
      <c r="U96" s="181">
        <v>30.007999999999999</v>
      </c>
      <c r="V96" s="182">
        <v>30.007999999999999</v>
      </c>
      <c r="W96" s="180">
        <v>30.007999999999999</v>
      </c>
      <c r="X96" s="181">
        <v>30.007999999999999</v>
      </c>
      <c r="Y96" s="182">
        <v>30.007999999999999</v>
      </c>
      <c r="Z96" s="180">
        <v>30.007999999999999</v>
      </c>
      <c r="AA96" s="181">
        <v>30.007999999999999</v>
      </c>
      <c r="AB96" s="182">
        <v>30.007999999999999</v>
      </c>
      <c r="AC96" s="180">
        <v>30.007999999999999</v>
      </c>
      <c r="AD96" s="181">
        <v>30.007999999999999</v>
      </c>
      <c r="AE96" s="182">
        <v>30.007999999999999</v>
      </c>
      <c r="AF96" s="180">
        <v>30.007999999999999</v>
      </c>
      <c r="AG96" s="181">
        <v>30.007999999999999</v>
      </c>
      <c r="AH96" s="182">
        <v>30.007999999999999</v>
      </c>
      <c r="AI96" s="168" t="s">
        <v>838</v>
      </c>
      <c r="AJ96" s="169" t="s">
        <v>2491</v>
      </c>
      <c r="AK96" s="170" t="s">
        <v>2477</v>
      </c>
      <c r="AL96" s="169" t="s">
        <v>2479</v>
      </c>
      <c r="AM96" s="183">
        <v>1520</v>
      </c>
    </row>
    <row r="97" spans="1:39" s="2" customFormat="1">
      <c r="A97" s="179" t="s">
        <v>7</v>
      </c>
      <c r="B97" s="238" t="s">
        <v>163</v>
      </c>
      <c r="C97" s="164" t="s">
        <v>1821</v>
      </c>
      <c r="D97" s="236" t="s">
        <v>3134</v>
      </c>
      <c r="E97" s="180">
        <v>91</v>
      </c>
      <c r="F97" s="181">
        <v>91</v>
      </c>
      <c r="G97" s="182">
        <v>91</v>
      </c>
      <c r="H97" s="180">
        <v>91</v>
      </c>
      <c r="I97" s="181">
        <v>91</v>
      </c>
      <c r="J97" s="182">
        <v>91</v>
      </c>
      <c r="K97" s="180">
        <v>91</v>
      </c>
      <c r="L97" s="181">
        <v>91</v>
      </c>
      <c r="M97" s="182">
        <v>91</v>
      </c>
      <c r="N97" s="180">
        <v>91</v>
      </c>
      <c r="O97" s="181">
        <v>91</v>
      </c>
      <c r="P97" s="182">
        <v>91</v>
      </c>
      <c r="Q97" s="180">
        <v>91</v>
      </c>
      <c r="R97" s="181">
        <v>91</v>
      </c>
      <c r="S97" s="182">
        <v>91</v>
      </c>
      <c r="T97" s="180">
        <v>91</v>
      </c>
      <c r="U97" s="181">
        <v>91</v>
      </c>
      <c r="V97" s="182">
        <v>91</v>
      </c>
      <c r="W97" s="180">
        <v>91</v>
      </c>
      <c r="X97" s="181">
        <v>91</v>
      </c>
      <c r="Y97" s="182">
        <v>91</v>
      </c>
      <c r="Z97" s="180">
        <v>91</v>
      </c>
      <c r="AA97" s="181">
        <v>91</v>
      </c>
      <c r="AB97" s="182">
        <v>91</v>
      </c>
      <c r="AC97" s="180">
        <v>91</v>
      </c>
      <c r="AD97" s="181">
        <v>91</v>
      </c>
      <c r="AE97" s="182">
        <v>91</v>
      </c>
      <c r="AF97" s="180">
        <v>91</v>
      </c>
      <c r="AG97" s="181">
        <v>91</v>
      </c>
      <c r="AH97" s="182">
        <v>91</v>
      </c>
      <c r="AI97" s="168" t="s">
        <v>1822</v>
      </c>
      <c r="AJ97" s="169" t="s">
        <v>2485</v>
      </c>
      <c r="AK97" s="170" t="s">
        <v>2486</v>
      </c>
      <c r="AL97" s="169" t="s">
        <v>17</v>
      </c>
      <c r="AM97" s="183">
        <v>1061</v>
      </c>
    </row>
    <row r="98" spans="1:39" s="2" customFormat="1">
      <c r="A98" s="179" t="s">
        <v>7</v>
      </c>
      <c r="B98" s="238" t="s">
        <v>163</v>
      </c>
      <c r="C98" s="164" t="s">
        <v>277</v>
      </c>
      <c r="D98" s="236" t="s">
        <v>279</v>
      </c>
      <c r="E98" s="180">
        <v>56</v>
      </c>
      <c r="F98" s="181">
        <v>56</v>
      </c>
      <c r="G98" s="182">
        <v>56</v>
      </c>
      <c r="H98" s="180">
        <v>56</v>
      </c>
      <c r="I98" s="181">
        <v>56</v>
      </c>
      <c r="J98" s="182">
        <v>56</v>
      </c>
      <c r="K98" s="180">
        <v>56</v>
      </c>
      <c r="L98" s="181">
        <v>56</v>
      </c>
      <c r="M98" s="182">
        <v>56</v>
      </c>
      <c r="N98" s="180">
        <v>56</v>
      </c>
      <c r="O98" s="181">
        <v>56</v>
      </c>
      <c r="P98" s="182">
        <v>56</v>
      </c>
      <c r="Q98" s="180">
        <v>56</v>
      </c>
      <c r="R98" s="181">
        <v>56</v>
      </c>
      <c r="S98" s="182">
        <v>56</v>
      </c>
      <c r="T98" s="180">
        <v>56</v>
      </c>
      <c r="U98" s="181">
        <v>56</v>
      </c>
      <c r="V98" s="182">
        <v>56</v>
      </c>
      <c r="W98" s="180">
        <v>56</v>
      </c>
      <c r="X98" s="181">
        <v>56</v>
      </c>
      <c r="Y98" s="182">
        <v>56</v>
      </c>
      <c r="Z98" s="180">
        <v>56</v>
      </c>
      <c r="AA98" s="181">
        <v>56</v>
      </c>
      <c r="AB98" s="182">
        <v>56</v>
      </c>
      <c r="AC98" s="180">
        <v>56</v>
      </c>
      <c r="AD98" s="181">
        <v>56</v>
      </c>
      <c r="AE98" s="182">
        <v>56</v>
      </c>
      <c r="AF98" s="180">
        <v>56</v>
      </c>
      <c r="AG98" s="181">
        <v>56</v>
      </c>
      <c r="AH98" s="182">
        <v>56</v>
      </c>
      <c r="AI98" s="168" t="s">
        <v>278</v>
      </c>
      <c r="AJ98" s="169" t="s">
        <v>2485</v>
      </c>
      <c r="AK98" s="170" t="s">
        <v>2486</v>
      </c>
      <c r="AL98" s="169" t="s">
        <v>17</v>
      </c>
      <c r="AM98" s="183">
        <v>1062</v>
      </c>
    </row>
    <row r="99" spans="1:39" s="2" customFormat="1">
      <c r="A99" s="179" t="s">
        <v>423</v>
      </c>
      <c r="B99" s="238" t="s">
        <v>163</v>
      </c>
      <c r="C99" s="164" t="s">
        <v>1060</v>
      </c>
      <c r="D99" s="236" t="s">
        <v>1062</v>
      </c>
      <c r="E99" s="180">
        <v>79.95</v>
      </c>
      <c r="F99" s="181">
        <v>79.95</v>
      </c>
      <c r="G99" s="182">
        <v>79.95</v>
      </c>
      <c r="H99" s="180">
        <v>79.95</v>
      </c>
      <c r="I99" s="181">
        <v>79.95</v>
      </c>
      <c r="J99" s="182">
        <v>79.95</v>
      </c>
      <c r="K99" s="180">
        <v>79.95</v>
      </c>
      <c r="L99" s="181">
        <v>79.95</v>
      </c>
      <c r="M99" s="182">
        <v>79.95</v>
      </c>
      <c r="N99" s="180">
        <v>79.95</v>
      </c>
      <c r="O99" s="181">
        <v>79.95</v>
      </c>
      <c r="P99" s="182">
        <v>79.95</v>
      </c>
      <c r="Q99" s="180">
        <v>79.95</v>
      </c>
      <c r="R99" s="181">
        <v>79.95</v>
      </c>
      <c r="S99" s="182">
        <v>79.95</v>
      </c>
      <c r="T99" s="180">
        <v>79.95</v>
      </c>
      <c r="U99" s="181">
        <v>79.95</v>
      </c>
      <c r="V99" s="182">
        <v>79.95</v>
      </c>
      <c r="W99" s="180">
        <v>79.95</v>
      </c>
      <c r="X99" s="181">
        <v>79.95</v>
      </c>
      <c r="Y99" s="182">
        <v>79.95</v>
      </c>
      <c r="Z99" s="180">
        <v>79.95</v>
      </c>
      <c r="AA99" s="181">
        <v>79.95</v>
      </c>
      <c r="AB99" s="182">
        <v>79.95</v>
      </c>
      <c r="AC99" s="180">
        <v>79.95</v>
      </c>
      <c r="AD99" s="181">
        <v>79.95</v>
      </c>
      <c r="AE99" s="182">
        <v>79.95</v>
      </c>
      <c r="AF99" s="180">
        <v>79.95</v>
      </c>
      <c r="AG99" s="181">
        <v>79.95</v>
      </c>
      <c r="AH99" s="182">
        <v>79.95</v>
      </c>
      <c r="AI99" s="168" t="s">
        <v>1061</v>
      </c>
      <c r="AJ99" s="169" t="s">
        <v>2485</v>
      </c>
      <c r="AK99" s="170" t="s">
        <v>2486</v>
      </c>
      <c r="AL99" s="169" t="s">
        <v>17</v>
      </c>
      <c r="AM99" s="183">
        <v>1566</v>
      </c>
    </row>
    <row r="100" spans="1:39" s="2" customFormat="1">
      <c r="A100" s="179" t="s">
        <v>7</v>
      </c>
      <c r="B100" s="238" t="s">
        <v>163</v>
      </c>
      <c r="C100" s="164" t="s">
        <v>1584</v>
      </c>
      <c r="D100" s="236" t="s">
        <v>1586</v>
      </c>
      <c r="E100" s="180">
        <v>138.01</v>
      </c>
      <c r="F100" s="181">
        <v>138.01</v>
      </c>
      <c r="G100" s="182">
        <v>0</v>
      </c>
      <c r="H100" s="180">
        <v>138.01</v>
      </c>
      <c r="I100" s="181">
        <v>138.01</v>
      </c>
      <c r="J100" s="182">
        <v>0</v>
      </c>
      <c r="K100" s="180">
        <v>138.01</v>
      </c>
      <c r="L100" s="181">
        <v>138.01</v>
      </c>
      <c r="M100" s="182">
        <v>0</v>
      </c>
      <c r="N100" s="180">
        <v>138.01</v>
      </c>
      <c r="O100" s="181">
        <v>138.01</v>
      </c>
      <c r="P100" s="182">
        <v>0</v>
      </c>
      <c r="Q100" s="180">
        <v>138.01</v>
      </c>
      <c r="R100" s="181">
        <v>138.01</v>
      </c>
      <c r="S100" s="182">
        <v>0</v>
      </c>
      <c r="T100" s="180">
        <v>138.01</v>
      </c>
      <c r="U100" s="181">
        <v>138.01</v>
      </c>
      <c r="V100" s="182">
        <v>0</v>
      </c>
      <c r="W100" s="180">
        <v>138.01</v>
      </c>
      <c r="X100" s="181">
        <v>138.01</v>
      </c>
      <c r="Y100" s="182">
        <v>0</v>
      </c>
      <c r="Z100" s="180">
        <v>138.01</v>
      </c>
      <c r="AA100" s="181">
        <v>138.01</v>
      </c>
      <c r="AB100" s="182">
        <v>0</v>
      </c>
      <c r="AC100" s="180">
        <v>138.01</v>
      </c>
      <c r="AD100" s="181">
        <v>138.01</v>
      </c>
      <c r="AE100" s="182">
        <v>0</v>
      </c>
      <c r="AF100" s="180">
        <v>138.01</v>
      </c>
      <c r="AG100" s="181">
        <v>138.01</v>
      </c>
      <c r="AH100" s="182">
        <v>0</v>
      </c>
      <c r="AI100" s="168" t="s">
        <v>1585</v>
      </c>
      <c r="AJ100" s="169" t="s">
        <v>2485</v>
      </c>
      <c r="AK100" s="170" t="s">
        <v>2486</v>
      </c>
      <c r="AL100" s="169" t="s">
        <v>17</v>
      </c>
      <c r="AM100" s="183">
        <v>1281</v>
      </c>
    </row>
    <row r="101" spans="1:39" s="2" customFormat="1" ht="20.6">
      <c r="A101" s="179" t="s">
        <v>7</v>
      </c>
      <c r="B101" s="238" t="s">
        <v>163</v>
      </c>
      <c r="C101" s="164" t="s">
        <v>494</v>
      </c>
      <c r="D101" s="236" t="s">
        <v>496</v>
      </c>
      <c r="E101" s="180">
        <v>19.98</v>
      </c>
      <c r="F101" s="181">
        <v>244.2</v>
      </c>
      <c r="G101" s="182">
        <v>222</v>
      </c>
      <c r="H101" s="180">
        <v>349.983</v>
      </c>
      <c r="I101" s="181">
        <v>349.983</v>
      </c>
      <c r="J101" s="182">
        <v>332.44499999999999</v>
      </c>
      <c r="K101" s="180">
        <v>349.983</v>
      </c>
      <c r="L101" s="181">
        <v>349.983</v>
      </c>
      <c r="M101" s="182">
        <v>332.44499999999999</v>
      </c>
      <c r="N101" s="180">
        <v>349.983</v>
      </c>
      <c r="O101" s="181">
        <v>349.983</v>
      </c>
      <c r="P101" s="182">
        <v>332.44499999999999</v>
      </c>
      <c r="Q101" s="180">
        <v>349.983</v>
      </c>
      <c r="R101" s="181">
        <v>349.983</v>
      </c>
      <c r="S101" s="182">
        <v>332.44499999999999</v>
      </c>
      <c r="T101" s="180">
        <v>349.983</v>
      </c>
      <c r="U101" s="181">
        <v>349.983</v>
      </c>
      <c r="V101" s="182">
        <v>332.44499999999999</v>
      </c>
      <c r="W101" s="180">
        <v>349.983</v>
      </c>
      <c r="X101" s="181">
        <v>349.983</v>
      </c>
      <c r="Y101" s="182">
        <v>332.44499999999999</v>
      </c>
      <c r="Z101" s="180">
        <v>349.983</v>
      </c>
      <c r="AA101" s="181">
        <v>349.983</v>
      </c>
      <c r="AB101" s="182">
        <v>332.44499999999999</v>
      </c>
      <c r="AC101" s="180">
        <v>349.983</v>
      </c>
      <c r="AD101" s="181">
        <v>349.983</v>
      </c>
      <c r="AE101" s="182">
        <v>332.44499999999999</v>
      </c>
      <c r="AF101" s="180">
        <v>349.983</v>
      </c>
      <c r="AG101" s="181">
        <v>349.983</v>
      </c>
      <c r="AH101" s="182">
        <v>332.44499999999999</v>
      </c>
      <c r="AI101" s="168" t="s">
        <v>495</v>
      </c>
      <c r="AJ101" s="169" t="s">
        <v>2491</v>
      </c>
      <c r="AK101" s="170" t="s">
        <v>2477</v>
      </c>
      <c r="AL101" s="169" t="s">
        <v>2479</v>
      </c>
      <c r="AM101" s="183">
        <v>2630</v>
      </c>
    </row>
    <row r="102" spans="1:39" s="2" customFormat="1">
      <c r="A102" s="179" t="s">
        <v>380</v>
      </c>
      <c r="B102" s="238" t="s">
        <v>163</v>
      </c>
      <c r="C102" s="164" t="s">
        <v>3150</v>
      </c>
      <c r="D102" s="236" t="s">
        <v>3152</v>
      </c>
      <c r="E102" s="180">
        <v>30</v>
      </c>
      <c r="F102" s="181">
        <v>30</v>
      </c>
      <c r="G102" s="182">
        <v>30</v>
      </c>
      <c r="H102" s="180">
        <v>30</v>
      </c>
      <c r="I102" s="181">
        <v>30</v>
      </c>
      <c r="J102" s="182">
        <v>30</v>
      </c>
      <c r="K102" s="180">
        <v>30</v>
      </c>
      <c r="L102" s="181">
        <v>30</v>
      </c>
      <c r="M102" s="182">
        <v>30</v>
      </c>
      <c r="N102" s="180">
        <v>30</v>
      </c>
      <c r="O102" s="181">
        <v>30</v>
      </c>
      <c r="P102" s="182">
        <v>30</v>
      </c>
      <c r="Q102" s="180">
        <v>30</v>
      </c>
      <c r="R102" s="181">
        <v>30</v>
      </c>
      <c r="S102" s="182">
        <v>30</v>
      </c>
      <c r="T102" s="180">
        <v>30</v>
      </c>
      <c r="U102" s="181">
        <v>0</v>
      </c>
      <c r="V102" s="182">
        <v>0</v>
      </c>
      <c r="W102" s="180">
        <v>0</v>
      </c>
      <c r="X102" s="181">
        <v>0</v>
      </c>
      <c r="Y102" s="182">
        <v>0</v>
      </c>
      <c r="Z102" s="180">
        <v>0</v>
      </c>
      <c r="AA102" s="181">
        <v>0</v>
      </c>
      <c r="AB102" s="182">
        <v>0</v>
      </c>
      <c r="AC102" s="180">
        <v>0</v>
      </c>
      <c r="AD102" s="181">
        <v>0</v>
      </c>
      <c r="AE102" s="182">
        <v>0</v>
      </c>
      <c r="AF102" s="180">
        <v>0</v>
      </c>
      <c r="AG102" s="181">
        <v>0</v>
      </c>
      <c r="AH102" s="182">
        <v>0</v>
      </c>
      <c r="AI102" s="168" t="s">
        <v>3151</v>
      </c>
      <c r="AJ102" s="169" t="s">
        <v>2466</v>
      </c>
      <c r="AK102" s="170" t="s">
        <v>2467</v>
      </c>
      <c r="AL102" s="169" t="s">
        <v>20</v>
      </c>
      <c r="AM102" s="183">
        <v>1553</v>
      </c>
    </row>
    <row r="103" spans="1:39" s="2" customFormat="1">
      <c r="A103" s="179" t="s">
        <v>309</v>
      </c>
      <c r="B103" s="238" t="s">
        <v>163</v>
      </c>
      <c r="C103" s="164" t="s">
        <v>3157</v>
      </c>
      <c r="D103" s="236" t="s">
        <v>3158</v>
      </c>
      <c r="E103" s="180">
        <v>630</v>
      </c>
      <c r="F103" s="181">
        <v>579</v>
      </c>
      <c r="G103" s="182">
        <v>563</v>
      </c>
      <c r="H103" s="180">
        <v>630</v>
      </c>
      <c r="I103" s="181">
        <v>579</v>
      </c>
      <c r="J103" s="182">
        <v>563</v>
      </c>
      <c r="K103" s="180">
        <v>630</v>
      </c>
      <c r="L103" s="181">
        <v>579</v>
      </c>
      <c r="M103" s="182">
        <v>563</v>
      </c>
      <c r="N103" s="180">
        <v>630</v>
      </c>
      <c r="O103" s="181">
        <v>579</v>
      </c>
      <c r="P103" s="182">
        <v>563</v>
      </c>
      <c r="Q103" s="180">
        <v>630</v>
      </c>
      <c r="R103" s="181">
        <v>579</v>
      </c>
      <c r="S103" s="182">
        <v>563</v>
      </c>
      <c r="T103" s="180">
        <v>630</v>
      </c>
      <c r="U103" s="181">
        <v>579</v>
      </c>
      <c r="V103" s="182">
        <v>563</v>
      </c>
      <c r="W103" s="180">
        <v>630</v>
      </c>
      <c r="X103" s="181">
        <v>579</v>
      </c>
      <c r="Y103" s="182">
        <v>563</v>
      </c>
      <c r="Z103" s="180">
        <v>630</v>
      </c>
      <c r="AA103" s="181">
        <v>579</v>
      </c>
      <c r="AB103" s="182">
        <v>563</v>
      </c>
      <c r="AC103" s="180">
        <v>630</v>
      </c>
      <c r="AD103" s="181">
        <v>579</v>
      </c>
      <c r="AE103" s="182">
        <v>563</v>
      </c>
      <c r="AF103" s="180">
        <v>630</v>
      </c>
      <c r="AG103" s="181">
        <v>579</v>
      </c>
      <c r="AH103" s="182">
        <v>563</v>
      </c>
      <c r="AI103" s="168" t="s">
        <v>1759</v>
      </c>
      <c r="AJ103" s="169" t="s">
        <v>3100</v>
      </c>
      <c r="AK103" s="170" t="s">
        <v>2786</v>
      </c>
      <c r="AL103" s="169" t="s">
        <v>13</v>
      </c>
      <c r="AM103" s="183">
        <v>1066</v>
      </c>
    </row>
    <row r="104" spans="1:39" s="2" customFormat="1">
      <c r="A104" s="179" t="s">
        <v>309</v>
      </c>
      <c r="B104" s="238" t="s">
        <v>163</v>
      </c>
      <c r="C104" s="164" t="s">
        <v>1870</v>
      </c>
      <c r="D104" s="236" t="s">
        <v>3167</v>
      </c>
      <c r="E104" s="180">
        <v>110</v>
      </c>
      <c r="F104" s="181">
        <v>108.504</v>
      </c>
      <c r="G104" s="182">
        <v>108.504</v>
      </c>
      <c r="H104" s="180">
        <v>110</v>
      </c>
      <c r="I104" s="181">
        <v>108.504</v>
      </c>
      <c r="J104" s="182">
        <v>108.504</v>
      </c>
      <c r="K104" s="180">
        <v>110</v>
      </c>
      <c r="L104" s="181">
        <v>108.504</v>
      </c>
      <c r="M104" s="182">
        <v>108.504</v>
      </c>
      <c r="N104" s="180">
        <v>110</v>
      </c>
      <c r="O104" s="181">
        <v>108.504</v>
      </c>
      <c r="P104" s="182">
        <v>108.504</v>
      </c>
      <c r="Q104" s="180">
        <v>110</v>
      </c>
      <c r="R104" s="181">
        <v>108.504</v>
      </c>
      <c r="S104" s="182">
        <v>108.504</v>
      </c>
      <c r="T104" s="180">
        <v>110</v>
      </c>
      <c r="U104" s="181">
        <v>108.504</v>
      </c>
      <c r="V104" s="182">
        <v>108.504</v>
      </c>
      <c r="W104" s="180">
        <v>110</v>
      </c>
      <c r="X104" s="181">
        <v>108.504</v>
      </c>
      <c r="Y104" s="182">
        <v>108.504</v>
      </c>
      <c r="Z104" s="180">
        <v>110</v>
      </c>
      <c r="AA104" s="181">
        <v>108.504</v>
      </c>
      <c r="AB104" s="182">
        <v>108.504</v>
      </c>
      <c r="AC104" s="180">
        <v>110</v>
      </c>
      <c r="AD104" s="181">
        <v>108.504</v>
      </c>
      <c r="AE104" s="182">
        <v>108.504</v>
      </c>
      <c r="AF104" s="180">
        <v>110</v>
      </c>
      <c r="AG104" s="181">
        <v>108.504</v>
      </c>
      <c r="AH104" s="182">
        <v>108.504</v>
      </c>
      <c r="AI104" s="168" t="s">
        <v>1871</v>
      </c>
      <c r="AJ104" s="169" t="s">
        <v>2476</v>
      </c>
      <c r="AK104" s="170" t="s">
        <v>2477</v>
      </c>
      <c r="AL104" s="169" t="s">
        <v>2479</v>
      </c>
      <c r="AM104" s="183">
        <v>1545</v>
      </c>
    </row>
    <row r="105" spans="1:39" s="2" customFormat="1">
      <c r="A105" s="179" t="s">
        <v>7</v>
      </c>
      <c r="B105" s="238" t="s">
        <v>163</v>
      </c>
      <c r="C105" s="164" t="s">
        <v>1220</v>
      </c>
      <c r="D105" s="236" t="s">
        <v>3168</v>
      </c>
      <c r="E105" s="180">
        <v>25</v>
      </c>
      <c r="F105" s="181">
        <v>25</v>
      </c>
      <c r="G105" s="182">
        <v>25</v>
      </c>
      <c r="H105" s="180">
        <v>25</v>
      </c>
      <c r="I105" s="181">
        <v>25</v>
      </c>
      <c r="J105" s="182">
        <v>25</v>
      </c>
      <c r="K105" s="180">
        <v>25</v>
      </c>
      <c r="L105" s="181">
        <v>25</v>
      </c>
      <c r="M105" s="182">
        <v>25</v>
      </c>
      <c r="N105" s="180">
        <v>25</v>
      </c>
      <c r="O105" s="181">
        <v>25</v>
      </c>
      <c r="P105" s="182">
        <v>25</v>
      </c>
      <c r="Q105" s="180">
        <v>25</v>
      </c>
      <c r="R105" s="181">
        <v>25</v>
      </c>
      <c r="S105" s="182">
        <v>25</v>
      </c>
      <c r="T105" s="180">
        <v>25</v>
      </c>
      <c r="U105" s="181">
        <v>25</v>
      </c>
      <c r="V105" s="182">
        <v>25</v>
      </c>
      <c r="W105" s="180">
        <v>25</v>
      </c>
      <c r="X105" s="181">
        <v>25</v>
      </c>
      <c r="Y105" s="182">
        <v>25</v>
      </c>
      <c r="Z105" s="180">
        <v>25</v>
      </c>
      <c r="AA105" s="181">
        <v>25</v>
      </c>
      <c r="AB105" s="182">
        <v>25</v>
      </c>
      <c r="AC105" s="180">
        <v>25</v>
      </c>
      <c r="AD105" s="181">
        <v>25</v>
      </c>
      <c r="AE105" s="182">
        <v>25</v>
      </c>
      <c r="AF105" s="180">
        <v>25</v>
      </c>
      <c r="AG105" s="181">
        <v>25</v>
      </c>
      <c r="AH105" s="182">
        <v>25</v>
      </c>
      <c r="AI105" s="168" t="s">
        <v>1221</v>
      </c>
      <c r="AJ105" s="169" t="s">
        <v>2466</v>
      </c>
      <c r="AK105" s="170" t="s">
        <v>2467</v>
      </c>
      <c r="AL105" s="169" t="s">
        <v>20</v>
      </c>
      <c r="AM105" s="183">
        <v>2019</v>
      </c>
    </row>
    <row r="106" spans="1:39" s="2" customFormat="1">
      <c r="A106" s="179" t="s">
        <v>7</v>
      </c>
      <c r="B106" s="238" t="s">
        <v>163</v>
      </c>
      <c r="C106" s="164" t="s">
        <v>1670</v>
      </c>
      <c r="D106" s="236" t="s">
        <v>1707</v>
      </c>
      <c r="E106" s="180">
        <v>274.96800000000002</v>
      </c>
      <c r="F106" s="181">
        <v>266.00400000000002</v>
      </c>
      <c r="G106" s="182">
        <v>263.30399999999997</v>
      </c>
      <c r="H106" s="180">
        <v>274.96800000000002</v>
      </c>
      <c r="I106" s="181">
        <v>266.00400000000002</v>
      </c>
      <c r="J106" s="182">
        <v>263.30399999999997</v>
      </c>
      <c r="K106" s="180">
        <v>274.96800000000002</v>
      </c>
      <c r="L106" s="181">
        <v>266.00400000000002</v>
      </c>
      <c r="M106" s="182">
        <v>263.30399999999997</v>
      </c>
      <c r="N106" s="180">
        <v>274.96800000000002</v>
      </c>
      <c r="O106" s="181">
        <v>266.00400000000002</v>
      </c>
      <c r="P106" s="182">
        <v>263.30399999999997</v>
      </c>
      <c r="Q106" s="180">
        <v>274.96800000000002</v>
      </c>
      <c r="R106" s="181">
        <v>266.00400000000002</v>
      </c>
      <c r="S106" s="182">
        <v>263.30399999999997</v>
      </c>
      <c r="T106" s="180">
        <v>274.96800000000002</v>
      </c>
      <c r="U106" s="181">
        <v>266.00400000000002</v>
      </c>
      <c r="V106" s="182">
        <v>263.30399999999997</v>
      </c>
      <c r="W106" s="180">
        <v>274.96800000000002</v>
      </c>
      <c r="X106" s="181">
        <v>266.00400000000002</v>
      </c>
      <c r="Y106" s="182">
        <v>263.30399999999997</v>
      </c>
      <c r="Z106" s="180">
        <v>274.96800000000002</v>
      </c>
      <c r="AA106" s="181">
        <v>266.00400000000002</v>
      </c>
      <c r="AB106" s="182">
        <v>263.30399999999997</v>
      </c>
      <c r="AC106" s="180">
        <v>274.96800000000002</v>
      </c>
      <c r="AD106" s="181">
        <v>266.00400000000002</v>
      </c>
      <c r="AE106" s="182">
        <v>263.30399999999997</v>
      </c>
      <c r="AF106" s="180">
        <v>274.96800000000002</v>
      </c>
      <c r="AG106" s="181">
        <v>266.00400000000002</v>
      </c>
      <c r="AH106" s="182">
        <v>263.30399999999997</v>
      </c>
      <c r="AI106" s="168" t="s">
        <v>1671</v>
      </c>
      <c r="AJ106" s="169" t="s">
        <v>2491</v>
      </c>
      <c r="AK106" s="170" t="s">
        <v>2477</v>
      </c>
      <c r="AL106" s="169" t="s">
        <v>2479</v>
      </c>
      <c r="AM106" s="183">
        <v>1518</v>
      </c>
    </row>
    <row r="107" spans="1:39" s="2" customFormat="1">
      <c r="A107" s="179" t="s">
        <v>423</v>
      </c>
      <c r="B107" s="238" t="s">
        <v>163</v>
      </c>
      <c r="C107" s="164" t="s">
        <v>3175</v>
      </c>
      <c r="D107" s="236" t="s">
        <v>3176</v>
      </c>
      <c r="E107" s="180">
        <v>170</v>
      </c>
      <c r="F107" s="181">
        <v>170</v>
      </c>
      <c r="G107" s="182">
        <v>170</v>
      </c>
      <c r="H107" s="180">
        <v>170</v>
      </c>
      <c r="I107" s="181">
        <v>170</v>
      </c>
      <c r="J107" s="182">
        <v>170</v>
      </c>
      <c r="K107" s="180">
        <v>170</v>
      </c>
      <c r="L107" s="181">
        <v>170</v>
      </c>
      <c r="M107" s="182">
        <v>170</v>
      </c>
      <c r="N107" s="180">
        <v>170</v>
      </c>
      <c r="O107" s="181">
        <v>170</v>
      </c>
      <c r="P107" s="182">
        <v>170</v>
      </c>
      <c r="Q107" s="180">
        <v>170</v>
      </c>
      <c r="R107" s="181">
        <v>170</v>
      </c>
      <c r="S107" s="182">
        <v>170</v>
      </c>
      <c r="T107" s="180">
        <v>170</v>
      </c>
      <c r="U107" s="181">
        <v>170</v>
      </c>
      <c r="V107" s="182">
        <v>170</v>
      </c>
      <c r="W107" s="180">
        <v>170</v>
      </c>
      <c r="X107" s="181">
        <v>170</v>
      </c>
      <c r="Y107" s="182">
        <v>170</v>
      </c>
      <c r="Z107" s="180">
        <v>170</v>
      </c>
      <c r="AA107" s="181">
        <v>170</v>
      </c>
      <c r="AB107" s="182">
        <v>170</v>
      </c>
      <c r="AC107" s="180">
        <v>170</v>
      </c>
      <c r="AD107" s="181">
        <v>170</v>
      </c>
      <c r="AE107" s="182">
        <v>170</v>
      </c>
      <c r="AF107" s="180">
        <v>170</v>
      </c>
      <c r="AG107" s="181">
        <v>170</v>
      </c>
      <c r="AH107" s="182">
        <v>170</v>
      </c>
      <c r="AI107" s="168" t="s">
        <v>1511</v>
      </c>
      <c r="AJ107" s="169" t="s">
        <v>2593</v>
      </c>
      <c r="AK107" s="170" t="s">
        <v>2482</v>
      </c>
      <c r="AL107" s="169" t="s">
        <v>18</v>
      </c>
      <c r="AM107" s="183">
        <v>1068</v>
      </c>
    </row>
    <row r="108" spans="1:39" s="2" customFormat="1">
      <c r="A108" s="179" t="s">
        <v>309</v>
      </c>
      <c r="B108" s="238" t="s">
        <v>163</v>
      </c>
      <c r="C108" s="164" t="s">
        <v>1852</v>
      </c>
      <c r="D108" s="236" t="s">
        <v>3183</v>
      </c>
      <c r="E108" s="180">
        <v>149.999</v>
      </c>
      <c r="F108" s="181">
        <v>147.071</v>
      </c>
      <c r="G108" s="182">
        <v>145.79</v>
      </c>
      <c r="H108" s="180">
        <v>149.999</v>
      </c>
      <c r="I108" s="181">
        <v>147.071</v>
      </c>
      <c r="J108" s="182">
        <v>145.79</v>
      </c>
      <c r="K108" s="180">
        <v>149.999</v>
      </c>
      <c r="L108" s="181">
        <v>147.071</v>
      </c>
      <c r="M108" s="182">
        <v>145.79</v>
      </c>
      <c r="N108" s="180">
        <v>149.999</v>
      </c>
      <c r="O108" s="181">
        <v>147.071</v>
      </c>
      <c r="P108" s="182">
        <v>145.79</v>
      </c>
      <c r="Q108" s="180">
        <v>149.999</v>
      </c>
      <c r="R108" s="181">
        <v>147.071</v>
      </c>
      <c r="S108" s="182">
        <v>145.79</v>
      </c>
      <c r="T108" s="180">
        <v>149.999</v>
      </c>
      <c r="U108" s="181">
        <v>147.071</v>
      </c>
      <c r="V108" s="182">
        <v>145.79</v>
      </c>
      <c r="W108" s="180">
        <v>149.999</v>
      </c>
      <c r="X108" s="181">
        <v>147.071</v>
      </c>
      <c r="Y108" s="182">
        <v>145.79</v>
      </c>
      <c r="Z108" s="180">
        <v>149.999</v>
      </c>
      <c r="AA108" s="181">
        <v>147.071</v>
      </c>
      <c r="AB108" s="182">
        <v>145.79</v>
      </c>
      <c r="AC108" s="180">
        <v>149.999</v>
      </c>
      <c r="AD108" s="181">
        <v>147.071</v>
      </c>
      <c r="AE108" s="182">
        <v>145.79</v>
      </c>
      <c r="AF108" s="180">
        <v>149.999</v>
      </c>
      <c r="AG108" s="181">
        <v>147.071</v>
      </c>
      <c r="AH108" s="182">
        <v>145.79</v>
      </c>
      <c r="AI108" s="168" t="s">
        <v>1853</v>
      </c>
      <c r="AJ108" s="169" t="s">
        <v>2491</v>
      </c>
      <c r="AK108" s="170" t="s">
        <v>2477</v>
      </c>
      <c r="AL108" s="169" t="s">
        <v>2479</v>
      </c>
      <c r="AM108" s="183">
        <v>1516</v>
      </c>
    </row>
    <row r="109" spans="1:39" s="2" customFormat="1">
      <c r="A109" s="179" t="s">
        <v>565</v>
      </c>
      <c r="B109" s="238" t="s">
        <v>163</v>
      </c>
      <c r="C109" s="164" t="s">
        <v>3218</v>
      </c>
      <c r="D109" s="236" t="s">
        <v>3219</v>
      </c>
      <c r="E109" s="180">
        <v>63</v>
      </c>
      <c r="F109" s="181">
        <v>63</v>
      </c>
      <c r="G109" s="182">
        <v>63</v>
      </c>
      <c r="H109" s="180">
        <v>63</v>
      </c>
      <c r="I109" s="181">
        <v>63</v>
      </c>
      <c r="J109" s="182">
        <v>63</v>
      </c>
      <c r="K109" s="180">
        <v>63</v>
      </c>
      <c r="L109" s="181">
        <v>63</v>
      </c>
      <c r="M109" s="182">
        <v>63</v>
      </c>
      <c r="N109" s="180">
        <v>63</v>
      </c>
      <c r="O109" s="181">
        <v>63</v>
      </c>
      <c r="P109" s="182">
        <v>63</v>
      </c>
      <c r="Q109" s="180">
        <v>63</v>
      </c>
      <c r="R109" s="181">
        <v>63</v>
      </c>
      <c r="S109" s="182">
        <v>63</v>
      </c>
      <c r="T109" s="180">
        <v>63</v>
      </c>
      <c r="U109" s="181">
        <v>63</v>
      </c>
      <c r="V109" s="182">
        <v>63</v>
      </c>
      <c r="W109" s="180">
        <v>63</v>
      </c>
      <c r="X109" s="181">
        <v>0</v>
      </c>
      <c r="Y109" s="182">
        <v>0</v>
      </c>
      <c r="Z109" s="180">
        <v>63</v>
      </c>
      <c r="AA109" s="181">
        <v>63</v>
      </c>
      <c r="AB109" s="182">
        <v>63</v>
      </c>
      <c r="AC109" s="180">
        <v>63</v>
      </c>
      <c r="AD109" s="181">
        <v>63</v>
      </c>
      <c r="AE109" s="182">
        <v>63</v>
      </c>
      <c r="AF109" s="180">
        <v>63</v>
      </c>
      <c r="AG109" s="181">
        <v>63</v>
      </c>
      <c r="AH109" s="182">
        <v>63</v>
      </c>
      <c r="AI109" s="168" t="s">
        <v>1137</v>
      </c>
      <c r="AJ109" s="169" t="s">
        <v>2593</v>
      </c>
      <c r="AK109" s="170" t="s">
        <v>2482</v>
      </c>
      <c r="AL109" s="169" t="s">
        <v>18</v>
      </c>
      <c r="AM109" s="183">
        <v>1069</v>
      </c>
    </row>
    <row r="110" spans="1:39" s="2" customFormat="1">
      <c r="A110" s="179" t="s">
        <v>380</v>
      </c>
      <c r="B110" s="238" t="s">
        <v>163</v>
      </c>
      <c r="C110" s="164" t="s">
        <v>3235</v>
      </c>
      <c r="D110" s="236" t="s">
        <v>3236</v>
      </c>
      <c r="E110" s="180">
        <v>47</v>
      </c>
      <c r="F110" s="181">
        <v>39</v>
      </c>
      <c r="G110" s="182">
        <v>37</v>
      </c>
      <c r="H110" s="180">
        <v>47</v>
      </c>
      <c r="I110" s="181">
        <v>39</v>
      </c>
      <c r="J110" s="182">
        <v>37</v>
      </c>
      <c r="K110" s="180">
        <v>47</v>
      </c>
      <c r="L110" s="181">
        <v>39</v>
      </c>
      <c r="M110" s="182">
        <v>37</v>
      </c>
      <c r="N110" s="180">
        <v>47</v>
      </c>
      <c r="O110" s="181">
        <v>39</v>
      </c>
      <c r="P110" s="182">
        <v>37</v>
      </c>
      <c r="Q110" s="180">
        <v>47</v>
      </c>
      <c r="R110" s="181">
        <v>39</v>
      </c>
      <c r="S110" s="182">
        <v>37</v>
      </c>
      <c r="T110" s="180">
        <v>47</v>
      </c>
      <c r="U110" s="181">
        <v>39</v>
      </c>
      <c r="V110" s="182">
        <v>37</v>
      </c>
      <c r="W110" s="180">
        <v>0</v>
      </c>
      <c r="X110" s="181">
        <v>0</v>
      </c>
      <c r="Y110" s="182">
        <v>0</v>
      </c>
      <c r="Z110" s="180">
        <v>0</v>
      </c>
      <c r="AA110" s="181">
        <v>0</v>
      </c>
      <c r="AB110" s="182">
        <v>0</v>
      </c>
      <c r="AC110" s="180">
        <v>0</v>
      </c>
      <c r="AD110" s="181">
        <v>0</v>
      </c>
      <c r="AE110" s="182">
        <v>0</v>
      </c>
      <c r="AF110" s="180">
        <v>0</v>
      </c>
      <c r="AG110" s="181">
        <v>0</v>
      </c>
      <c r="AH110" s="182">
        <v>0</v>
      </c>
      <c r="AI110" s="168" t="s">
        <v>1045</v>
      </c>
      <c r="AJ110" s="169" t="s">
        <v>2555</v>
      </c>
      <c r="AK110" s="170" t="s">
        <v>2556</v>
      </c>
      <c r="AL110" s="169" t="s">
        <v>14</v>
      </c>
      <c r="AM110" s="183">
        <v>1070</v>
      </c>
    </row>
    <row r="111" spans="1:39" s="2" customFormat="1">
      <c r="A111" s="179" t="s">
        <v>380</v>
      </c>
      <c r="B111" s="238" t="s">
        <v>163</v>
      </c>
      <c r="C111" s="164" t="s">
        <v>3235</v>
      </c>
      <c r="D111" s="236" t="s">
        <v>3237</v>
      </c>
      <c r="E111" s="180">
        <v>47</v>
      </c>
      <c r="F111" s="181">
        <v>40</v>
      </c>
      <c r="G111" s="182">
        <v>38</v>
      </c>
      <c r="H111" s="180">
        <v>47</v>
      </c>
      <c r="I111" s="181">
        <v>40</v>
      </c>
      <c r="J111" s="182">
        <v>38</v>
      </c>
      <c r="K111" s="180">
        <v>47</v>
      </c>
      <c r="L111" s="181">
        <v>40</v>
      </c>
      <c r="M111" s="182">
        <v>38</v>
      </c>
      <c r="N111" s="180">
        <v>47</v>
      </c>
      <c r="O111" s="181">
        <v>40</v>
      </c>
      <c r="P111" s="182">
        <v>38</v>
      </c>
      <c r="Q111" s="180">
        <v>47</v>
      </c>
      <c r="R111" s="181">
        <v>40</v>
      </c>
      <c r="S111" s="182">
        <v>38</v>
      </c>
      <c r="T111" s="180">
        <v>47</v>
      </c>
      <c r="U111" s="181">
        <v>40</v>
      </c>
      <c r="V111" s="182">
        <v>38</v>
      </c>
      <c r="W111" s="180">
        <v>0</v>
      </c>
      <c r="X111" s="181">
        <v>0</v>
      </c>
      <c r="Y111" s="182">
        <v>0</v>
      </c>
      <c r="Z111" s="180">
        <v>0</v>
      </c>
      <c r="AA111" s="181">
        <v>0</v>
      </c>
      <c r="AB111" s="182">
        <v>0</v>
      </c>
      <c r="AC111" s="180">
        <v>0</v>
      </c>
      <c r="AD111" s="181">
        <v>0</v>
      </c>
      <c r="AE111" s="182">
        <v>0</v>
      </c>
      <c r="AF111" s="180">
        <v>0</v>
      </c>
      <c r="AG111" s="181">
        <v>0</v>
      </c>
      <c r="AH111" s="182">
        <v>0</v>
      </c>
      <c r="AI111" s="168" t="s">
        <v>1045</v>
      </c>
      <c r="AJ111" s="169" t="s">
        <v>2555</v>
      </c>
      <c r="AK111" s="170" t="s">
        <v>2556</v>
      </c>
      <c r="AL111" s="169" t="s">
        <v>14</v>
      </c>
      <c r="AM111" s="183">
        <v>1070</v>
      </c>
    </row>
    <row r="112" spans="1:39" s="2" customFormat="1">
      <c r="A112" s="179" t="s">
        <v>380</v>
      </c>
      <c r="B112" s="238" t="s">
        <v>163</v>
      </c>
      <c r="C112" s="164" t="s">
        <v>3235</v>
      </c>
      <c r="D112" s="236" t="s">
        <v>3238</v>
      </c>
      <c r="E112" s="180">
        <v>49</v>
      </c>
      <c r="F112" s="181">
        <v>43</v>
      </c>
      <c r="G112" s="182">
        <v>42</v>
      </c>
      <c r="H112" s="180">
        <v>49</v>
      </c>
      <c r="I112" s="181">
        <v>43</v>
      </c>
      <c r="J112" s="182">
        <v>42</v>
      </c>
      <c r="K112" s="180">
        <v>49</v>
      </c>
      <c r="L112" s="181">
        <v>43</v>
      </c>
      <c r="M112" s="182">
        <v>42</v>
      </c>
      <c r="N112" s="180">
        <v>49</v>
      </c>
      <c r="O112" s="181">
        <v>43</v>
      </c>
      <c r="P112" s="182">
        <v>42</v>
      </c>
      <c r="Q112" s="180">
        <v>49</v>
      </c>
      <c r="R112" s="181">
        <v>43</v>
      </c>
      <c r="S112" s="182">
        <v>42</v>
      </c>
      <c r="T112" s="180">
        <v>49</v>
      </c>
      <c r="U112" s="181">
        <v>43</v>
      </c>
      <c r="V112" s="182">
        <v>42</v>
      </c>
      <c r="W112" s="180">
        <v>0</v>
      </c>
      <c r="X112" s="181">
        <v>0</v>
      </c>
      <c r="Y112" s="182">
        <v>0</v>
      </c>
      <c r="Z112" s="180">
        <v>0</v>
      </c>
      <c r="AA112" s="181">
        <v>0</v>
      </c>
      <c r="AB112" s="182">
        <v>0</v>
      </c>
      <c r="AC112" s="180">
        <v>0</v>
      </c>
      <c r="AD112" s="181">
        <v>0</v>
      </c>
      <c r="AE112" s="182">
        <v>0</v>
      </c>
      <c r="AF112" s="180">
        <v>0</v>
      </c>
      <c r="AG112" s="181">
        <v>0</v>
      </c>
      <c r="AH112" s="182">
        <v>0</v>
      </c>
      <c r="AI112" s="168" t="s">
        <v>1045</v>
      </c>
      <c r="AJ112" s="169" t="s">
        <v>2555</v>
      </c>
      <c r="AK112" s="170" t="s">
        <v>2556</v>
      </c>
      <c r="AL112" s="169" t="s">
        <v>14</v>
      </c>
      <c r="AM112" s="183">
        <v>1070</v>
      </c>
    </row>
    <row r="113" spans="1:39" s="2" customFormat="1">
      <c r="A113" s="179" t="s">
        <v>309</v>
      </c>
      <c r="B113" s="238" t="s">
        <v>163</v>
      </c>
      <c r="C113" s="164" t="s">
        <v>1187</v>
      </c>
      <c r="D113" s="236" t="s">
        <v>1189</v>
      </c>
      <c r="E113" s="180">
        <v>172.989</v>
      </c>
      <c r="F113" s="181">
        <v>164.00200000000001</v>
      </c>
      <c r="G113" s="182">
        <v>160.00299999999999</v>
      </c>
      <c r="H113" s="180">
        <v>172.989</v>
      </c>
      <c r="I113" s="181">
        <v>164.00200000000001</v>
      </c>
      <c r="J113" s="182">
        <v>160.00299999999999</v>
      </c>
      <c r="K113" s="180">
        <v>172.989</v>
      </c>
      <c r="L113" s="181">
        <v>164.00200000000001</v>
      </c>
      <c r="M113" s="182">
        <v>160.00299999999999</v>
      </c>
      <c r="N113" s="180">
        <v>172.989</v>
      </c>
      <c r="O113" s="181">
        <v>164.00200000000001</v>
      </c>
      <c r="P113" s="182">
        <v>160.00299999999999</v>
      </c>
      <c r="Q113" s="180">
        <v>172.989</v>
      </c>
      <c r="R113" s="181">
        <v>164.00200000000001</v>
      </c>
      <c r="S113" s="182">
        <v>160.00299999999999</v>
      </c>
      <c r="T113" s="180">
        <v>172.989</v>
      </c>
      <c r="U113" s="181">
        <v>164.00200000000001</v>
      </c>
      <c r="V113" s="182">
        <v>160.00299999999999</v>
      </c>
      <c r="W113" s="180">
        <v>172.989</v>
      </c>
      <c r="X113" s="181">
        <v>164.00200000000001</v>
      </c>
      <c r="Y113" s="182">
        <v>160.00299999999999</v>
      </c>
      <c r="Z113" s="180">
        <v>172.989</v>
      </c>
      <c r="AA113" s="181">
        <v>164.00200000000001</v>
      </c>
      <c r="AB113" s="182">
        <v>160.00299999999999</v>
      </c>
      <c r="AC113" s="180">
        <v>172.989</v>
      </c>
      <c r="AD113" s="181">
        <v>164.00200000000001</v>
      </c>
      <c r="AE113" s="182">
        <v>160.00299999999999</v>
      </c>
      <c r="AF113" s="180">
        <v>172.989</v>
      </c>
      <c r="AG113" s="181">
        <v>164.00200000000001</v>
      </c>
      <c r="AH113" s="182">
        <v>160.00299999999999</v>
      </c>
      <c r="AI113" s="168" t="s">
        <v>1188</v>
      </c>
      <c r="AJ113" s="169" t="s">
        <v>2485</v>
      </c>
      <c r="AK113" s="170" t="s">
        <v>2486</v>
      </c>
      <c r="AL113" s="169" t="s">
        <v>17</v>
      </c>
      <c r="AM113" s="183">
        <v>1706</v>
      </c>
    </row>
    <row r="114" spans="1:39" s="2" customFormat="1">
      <c r="A114" s="179" t="s">
        <v>423</v>
      </c>
      <c r="B114" s="238" t="s">
        <v>163</v>
      </c>
      <c r="C114" s="164" t="s">
        <v>1454</v>
      </c>
      <c r="D114" s="236" t="s">
        <v>1731</v>
      </c>
      <c r="E114" s="180">
        <v>168</v>
      </c>
      <c r="F114" s="181">
        <v>152</v>
      </c>
      <c r="G114" s="182">
        <v>108</v>
      </c>
      <c r="H114" s="180">
        <v>168</v>
      </c>
      <c r="I114" s="181">
        <v>152</v>
      </c>
      <c r="J114" s="182">
        <v>108</v>
      </c>
      <c r="K114" s="180">
        <v>168</v>
      </c>
      <c r="L114" s="181">
        <v>152</v>
      </c>
      <c r="M114" s="182">
        <v>108</v>
      </c>
      <c r="N114" s="180">
        <v>168</v>
      </c>
      <c r="O114" s="181">
        <v>152</v>
      </c>
      <c r="P114" s="182">
        <v>108</v>
      </c>
      <c r="Q114" s="180">
        <v>168</v>
      </c>
      <c r="R114" s="181">
        <v>152</v>
      </c>
      <c r="S114" s="182">
        <v>108</v>
      </c>
      <c r="T114" s="180">
        <v>168</v>
      </c>
      <c r="U114" s="181">
        <v>152</v>
      </c>
      <c r="V114" s="182">
        <v>108</v>
      </c>
      <c r="W114" s="180">
        <v>168</v>
      </c>
      <c r="X114" s="181">
        <v>152</v>
      </c>
      <c r="Y114" s="182">
        <v>108</v>
      </c>
      <c r="Z114" s="180">
        <v>168</v>
      </c>
      <c r="AA114" s="181">
        <v>152</v>
      </c>
      <c r="AB114" s="182">
        <v>108</v>
      </c>
      <c r="AC114" s="180">
        <v>168</v>
      </c>
      <c r="AD114" s="181">
        <v>152</v>
      </c>
      <c r="AE114" s="182">
        <v>108</v>
      </c>
      <c r="AF114" s="180">
        <v>168</v>
      </c>
      <c r="AG114" s="181">
        <v>152</v>
      </c>
      <c r="AH114" s="182">
        <v>108</v>
      </c>
      <c r="AI114" s="168" t="s">
        <v>746</v>
      </c>
      <c r="AJ114" s="169" t="s">
        <v>2485</v>
      </c>
      <c r="AK114" s="170" t="s">
        <v>2486</v>
      </c>
      <c r="AL114" s="169" t="s">
        <v>17</v>
      </c>
      <c r="AM114" s="183">
        <v>1303</v>
      </c>
    </row>
    <row r="115" spans="1:39" s="2" customFormat="1">
      <c r="A115" s="179" t="s">
        <v>423</v>
      </c>
      <c r="B115" s="238" t="s">
        <v>163</v>
      </c>
      <c r="C115" s="164" t="s">
        <v>1454</v>
      </c>
      <c r="D115" s="236" t="s">
        <v>3246</v>
      </c>
      <c r="E115" s="180">
        <v>46.2</v>
      </c>
      <c r="F115" s="181">
        <v>41.8</v>
      </c>
      <c r="G115" s="182">
        <v>29.7</v>
      </c>
      <c r="H115" s="180">
        <v>46.2</v>
      </c>
      <c r="I115" s="181">
        <v>41.8</v>
      </c>
      <c r="J115" s="182">
        <v>29.7</v>
      </c>
      <c r="K115" s="180">
        <v>46.2</v>
      </c>
      <c r="L115" s="181">
        <v>41.8</v>
      </c>
      <c r="M115" s="182">
        <v>29.7</v>
      </c>
      <c r="N115" s="180">
        <v>46.2</v>
      </c>
      <c r="O115" s="181">
        <v>41.8</v>
      </c>
      <c r="P115" s="182">
        <v>29.7</v>
      </c>
      <c r="Q115" s="180">
        <v>46.2</v>
      </c>
      <c r="R115" s="181">
        <v>41.8</v>
      </c>
      <c r="S115" s="182">
        <v>29.7</v>
      </c>
      <c r="T115" s="180">
        <v>46.2</v>
      </c>
      <c r="U115" s="181">
        <v>41.8</v>
      </c>
      <c r="V115" s="182">
        <v>29.7</v>
      </c>
      <c r="W115" s="180">
        <v>46.2</v>
      </c>
      <c r="X115" s="181">
        <v>41.8</v>
      </c>
      <c r="Y115" s="182">
        <v>29.7</v>
      </c>
      <c r="Z115" s="180">
        <v>46.2</v>
      </c>
      <c r="AA115" s="181">
        <v>41.8</v>
      </c>
      <c r="AB115" s="182">
        <v>29.7</v>
      </c>
      <c r="AC115" s="180">
        <v>46.2</v>
      </c>
      <c r="AD115" s="181">
        <v>41.8</v>
      </c>
      <c r="AE115" s="182">
        <v>29.7</v>
      </c>
      <c r="AF115" s="180">
        <v>46.2</v>
      </c>
      <c r="AG115" s="181">
        <v>41.8</v>
      </c>
      <c r="AH115" s="182">
        <v>29.7</v>
      </c>
      <c r="AI115" s="168" t="s">
        <v>746</v>
      </c>
      <c r="AJ115" s="169" t="s">
        <v>2485</v>
      </c>
      <c r="AK115" s="170" t="s">
        <v>2486</v>
      </c>
      <c r="AL115" s="169" t="s">
        <v>17</v>
      </c>
      <c r="AM115" s="183">
        <v>1303</v>
      </c>
    </row>
    <row r="116" spans="1:39" s="2" customFormat="1">
      <c r="A116" s="179" t="s">
        <v>423</v>
      </c>
      <c r="B116" s="238" t="s">
        <v>163</v>
      </c>
      <c r="C116" s="164" t="s">
        <v>1454</v>
      </c>
      <c r="D116" s="236" t="s">
        <v>3247</v>
      </c>
      <c r="E116" s="180">
        <v>121.8</v>
      </c>
      <c r="F116" s="181">
        <v>110.2</v>
      </c>
      <c r="G116" s="182">
        <v>78.3</v>
      </c>
      <c r="H116" s="180">
        <v>121.8</v>
      </c>
      <c r="I116" s="181">
        <v>110.2</v>
      </c>
      <c r="J116" s="182">
        <v>78.3</v>
      </c>
      <c r="K116" s="180">
        <v>121.8</v>
      </c>
      <c r="L116" s="181">
        <v>110.2</v>
      </c>
      <c r="M116" s="182">
        <v>78.3</v>
      </c>
      <c r="N116" s="180">
        <v>121.8</v>
      </c>
      <c r="O116" s="181">
        <v>110.2</v>
      </c>
      <c r="P116" s="182">
        <v>78.3</v>
      </c>
      <c r="Q116" s="180">
        <v>121.8</v>
      </c>
      <c r="R116" s="181">
        <v>110.2</v>
      </c>
      <c r="S116" s="182">
        <v>78.3</v>
      </c>
      <c r="T116" s="180">
        <v>121.8</v>
      </c>
      <c r="U116" s="181">
        <v>110.2</v>
      </c>
      <c r="V116" s="182">
        <v>78.3</v>
      </c>
      <c r="W116" s="180">
        <v>121.8</v>
      </c>
      <c r="X116" s="181">
        <v>110.2</v>
      </c>
      <c r="Y116" s="182">
        <v>78.3</v>
      </c>
      <c r="Z116" s="180">
        <v>121.8</v>
      </c>
      <c r="AA116" s="181">
        <v>110.2</v>
      </c>
      <c r="AB116" s="182">
        <v>78.3</v>
      </c>
      <c r="AC116" s="180">
        <v>121.8</v>
      </c>
      <c r="AD116" s="181">
        <v>110.2</v>
      </c>
      <c r="AE116" s="182">
        <v>78.3</v>
      </c>
      <c r="AF116" s="180">
        <v>121.8</v>
      </c>
      <c r="AG116" s="181">
        <v>110.2</v>
      </c>
      <c r="AH116" s="182">
        <v>78.3</v>
      </c>
      <c r="AI116" s="168" t="s">
        <v>746</v>
      </c>
      <c r="AJ116" s="169" t="s">
        <v>2485</v>
      </c>
      <c r="AK116" s="170" t="s">
        <v>2486</v>
      </c>
      <c r="AL116" s="169" t="s">
        <v>17</v>
      </c>
      <c r="AM116" s="183">
        <v>1303</v>
      </c>
    </row>
    <row r="117" spans="1:39" s="2" customFormat="1">
      <c r="A117" s="179" t="s">
        <v>309</v>
      </c>
      <c r="B117" s="238" t="s">
        <v>163</v>
      </c>
      <c r="C117" s="164" t="s">
        <v>1390</v>
      </c>
      <c r="D117" s="236" t="s">
        <v>3277</v>
      </c>
      <c r="E117" s="180">
        <v>146</v>
      </c>
      <c r="F117" s="181">
        <v>146</v>
      </c>
      <c r="G117" s="182">
        <v>146</v>
      </c>
      <c r="H117" s="180">
        <v>146</v>
      </c>
      <c r="I117" s="181">
        <v>146</v>
      </c>
      <c r="J117" s="182">
        <v>146</v>
      </c>
      <c r="K117" s="180">
        <v>146</v>
      </c>
      <c r="L117" s="181">
        <v>146</v>
      </c>
      <c r="M117" s="182">
        <v>146</v>
      </c>
      <c r="N117" s="180">
        <v>146</v>
      </c>
      <c r="O117" s="181">
        <v>146</v>
      </c>
      <c r="P117" s="182">
        <v>146</v>
      </c>
      <c r="Q117" s="180">
        <v>146</v>
      </c>
      <c r="R117" s="181">
        <v>146</v>
      </c>
      <c r="S117" s="182">
        <v>146</v>
      </c>
      <c r="T117" s="180">
        <v>146</v>
      </c>
      <c r="U117" s="181">
        <v>146</v>
      </c>
      <c r="V117" s="182">
        <v>146</v>
      </c>
      <c r="W117" s="180">
        <v>146</v>
      </c>
      <c r="X117" s="181">
        <v>146</v>
      </c>
      <c r="Y117" s="182">
        <v>146</v>
      </c>
      <c r="Z117" s="180">
        <v>146</v>
      </c>
      <c r="AA117" s="181">
        <v>146</v>
      </c>
      <c r="AB117" s="182">
        <v>146</v>
      </c>
      <c r="AC117" s="180">
        <v>146</v>
      </c>
      <c r="AD117" s="181">
        <v>146</v>
      </c>
      <c r="AE117" s="182">
        <v>146</v>
      </c>
      <c r="AF117" s="180">
        <v>146</v>
      </c>
      <c r="AG117" s="181">
        <v>146</v>
      </c>
      <c r="AH117" s="182">
        <v>146</v>
      </c>
      <c r="AI117" s="168" t="s">
        <v>1259</v>
      </c>
      <c r="AJ117" s="169" t="s">
        <v>2491</v>
      </c>
      <c r="AK117" s="170" t="s">
        <v>2477</v>
      </c>
      <c r="AL117" s="169" t="s">
        <v>2479</v>
      </c>
      <c r="AM117" s="183">
        <v>1902</v>
      </c>
    </row>
    <row r="118" spans="1:39" s="2" customFormat="1">
      <c r="A118" s="179" t="s">
        <v>423</v>
      </c>
      <c r="B118" s="238" t="s">
        <v>163</v>
      </c>
      <c r="C118" s="164" t="s">
        <v>3281</v>
      </c>
      <c r="D118" s="236" t="s">
        <v>3282</v>
      </c>
      <c r="E118" s="180">
        <v>60</v>
      </c>
      <c r="F118" s="181">
        <v>60</v>
      </c>
      <c r="G118" s="182">
        <v>60</v>
      </c>
      <c r="H118" s="180">
        <v>60</v>
      </c>
      <c r="I118" s="181">
        <v>60</v>
      </c>
      <c r="J118" s="182">
        <v>60</v>
      </c>
      <c r="K118" s="180">
        <v>60</v>
      </c>
      <c r="L118" s="181">
        <v>60</v>
      </c>
      <c r="M118" s="182">
        <v>60</v>
      </c>
      <c r="N118" s="180">
        <v>60</v>
      </c>
      <c r="O118" s="181">
        <v>60</v>
      </c>
      <c r="P118" s="182">
        <v>60</v>
      </c>
      <c r="Q118" s="180">
        <v>60</v>
      </c>
      <c r="R118" s="181">
        <v>60</v>
      </c>
      <c r="S118" s="182">
        <v>60</v>
      </c>
      <c r="T118" s="180">
        <v>60</v>
      </c>
      <c r="U118" s="181">
        <v>60</v>
      </c>
      <c r="V118" s="182">
        <v>60</v>
      </c>
      <c r="W118" s="180">
        <v>60</v>
      </c>
      <c r="X118" s="181">
        <v>60</v>
      </c>
      <c r="Y118" s="182">
        <v>60</v>
      </c>
      <c r="Z118" s="180">
        <v>60</v>
      </c>
      <c r="AA118" s="181">
        <v>60</v>
      </c>
      <c r="AB118" s="182">
        <v>60</v>
      </c>
      <c r="AC118" s="180">
        <v>60</v>
      </c>
      <c r="AD118" s="181">
        <v>60</v>
      </c>
      <c r="AE118" s="182">
        <v>60</v>
      </c>
      <c r="AF118" s="180">
        <v>60</v>
      </c>
      <c r="AG118" s="181">
        <v>60</v>
      </c>
      <c r="AH118" s="182">
        <v>60</v>
      </c>
      <c r="AI118" s="168" t="s">
        <v>1511</v>
      </c>
      <c r="AJ118" s="169" t="s">
        <v>2593</v>
      </c>
      <c r="AK118" s="170" t="s">
        <v>2482</v>
      </c>
      <c r="AL118" s="169" t="s">
        <v>18</v>
      </c>
      <c r="AM118" s="183">
        <v>1072</v>
      </c>
    </row>
    <row r="119" spans="1:39" s="2" customFormat="1">
      <c r="A119" s="179" t="s">
        <v>423</v>
      </c>
      <c r="B119" s="238" t="s">
        <v>163</v>
      </c>
      <c r="C119" s="164" t="s">
        <v>3281</v>
      </c>
      <c r="D119" s="236" t="s">
        <v>3283</v>
      </c>
      <c r="E119" s="180">
        <v>60</v>
      </c>
      <c r="F119" s="181">
        <v>60</v>
      </c>
      <c r="G119" s="182">
        <v>60</v>
      </c>
      <c r="H119" s="180">
        <v>60</v>
      </c>
      <c r="I119" s="181">
        <v>60</v>
      </c>
      <c r="J119" s="182">
        <v>60</v>
      </c>
      <c r="K119" s="180">
        <v>60</v>
      </c>
      <c r="L119" s="181">
        <v>60</v>
      </c>
      <c r="M119" s="182">
        <v>60</v>
      </c>
      <c r="N119" s="180">
        <v>60</v>
      </c>
      <c r="O119" s="181">
        <v>60</v>
      </c>
      <c r="P119" s="182">
        <v>60</v>
      </c>
      <c r="Q119" s="180">
        <v>60</v>
      </c>
      <c r="R119" s="181">
        <v>60</v>
      </c>
      <c r="S119" s="182">
        <v>60</v>
      </c>
      <c r="T119" s="180">
        <v>60</v>
      </c>
      <c r="U119" s="181">
        <v>60</v>
      </c>
      <c r="V119" s="182">
        <v>60</v>
      </c>
      <c r="W119" s="180">
        <v>60</v>
      </c>
      <c r="X119" s="181">
        <v>60</v>
      </c>
      <c r="Y119" s="182">
        <v>60</v>
      </c>
      <c r="Z119" s="180">
        <v>60</v>
      </c>
      <c r="AA119" s="181">
        <v>60</v>
      </c>
      <c r="AB119" s="182">
        <v>60</v>
      </c>
      <c r="AC119" s="180">
        <v>60</v>
      </c>
      <c r="AD119" s="181">
        <v>60</v>
      </c>
      <c r="AE119" s="182">
        <v>60</v>
      </c>
      <c r="AF119" s="180">
        <v>60</v>
      </c>
      <c r="AG119" s="181">
        <v>60</v>
      </c>
      <c r="AH119" s="182">
        <v>60</v>
      </c>
      <c r="AI119" s="168" t="s">
        <v>1511</v>
      </c>
      <c r="AJ119" s="169" t="s">
        <v>2593</v>
      </c>
      <c r="AK119" s="170" t="s">
        <v>2482</v>
      </c>
      <c r="AL119" s="169" t="s">
        <v>18</v>
      </c>
      <c r="AM119" s="183">
        <v>1072</v>
      </c>
    </row>
    <row r="120" spans="1:39" s="171" customFormat="1">
      <c r="A120" s="179" t="s">
        <v>423</v>
      </c>
      <c r="B120" s="238" t="s">
        <v>2463</v>
      </c>
      <c r="C120" s="164" t="s">
        <v>458</v>
      </c>
      <c r="D120" s="236" t="s">
        <v>5182</v>
      </c>
      <c r="E120" s="180">
        <v>0</v>
      </c>
      <c r="F120" s="181">
        <v>0</v>
      </c>
      <c r="G120" s="182">
        <v>0</v>
      </c>
      <c r="H120" s="180">
        <v>0</v>
      </c>
      <c r="I120" s="181">
        <v>0</v>
      </c>
      <c r="J120" s="182">
        <v>0</v>
      </c>
      <c r="K120" s="180">
        <v>310.976</v>
      </c>
      <c r="L120" s="181">
        <v>310.976</v>
      </c>
      <c r="M120" s="182">
        <v>280.01600000000002</v>
      </c>
      <c r="N120" s="180">
        <v>310.976</v>
      </c>
      <c r="O120" s="181">
        <v>310.976</v>
      </c>
      <c r="P120" s="182">
        <v>280.01600000000002</v>
      </c>
      <c r="Q120" s="180">
        <v>310.976</v>
      </c>
      <c r="R120" s="181">
        <v>310.976</v>
      </c>
      <c r="S120" s="182">
        <v>280.01600000000002</v>
      </c>
      <c r="T120" s="180">
        <v>310.976</v>
      </c>
      <c r="U120" s="181">
        <v>310.976</v>
      </c>
      <c r="V120" s="182">
        <v>280.01600000000002</v>
      </c>
      <c r="W120" s="180">
        <v>310.976</v>
      </c>
      <c r="X120" s="181">
        <v>310.976</v>
      </c>
      <c r="Y120" s="182">
        <v>280.01600000000002</v>
      </c>
      <c r="Z120" s="180">
        <v>310.976</v>
      </c>
      <c r="AA120" s="181">
        <v>310.976</v>
      </c>
      <c r="AB120" s="182">
        <v>280.01600000000002</v>
      </c>
      <c r="AC120" s="180">
        <v>310.976</v>
      </c>
      <c r="AD120" s="181">
        <v>310.976</v>
      </c>
      <c r="AE120" s="182">
        <v>280.01600000000002</v>
      </c>
      <c r="AF120" s="180">
        <v>310.976</v>
      </c>
      <c r="AG120" s="181">
        <v>310.976</v>
      </c>
      <c r="AH120" s="182">
        <v>280.01600000000002</v>
      </c>
      <c r="AI120" s="168" t="s">
        <v>459</v>
      </c>
      <c r="AJ120" s="169" t="s">
        <v>2466</v>
      </c>
      <c r="AK120" s="170" t="s">
        <v>2467</v>
      </c>
      <c r="AL120" s="169" t="s">
        <v>20</v>
      </c>
      <c r="AM120" s="183">
        <v>2527</v>
      </c>
    </row>
    <row r="121" spans="1:39" s="2" customFormat="1">
      <c r="A121" s="179" t="s">
        <v>423</v>
      </c>
      <c r="B121" s="238" t="s">
        <v>163</v>
      </c>
      <c r="C121" s="164" t="s">
        <v>1690</v>
      </c>
      <c r="D121" s="236" t="s">
        <v>1691</v>
      </c>
      <c r="E121" s="180">
        <v>83.6</v>
      </c>
      <c r="F121" s="181">
        <v>73.7</v>
      </c>
      <c r="G121" s="182">
        <v>59.4</v>
      </c>
      <c r="H121" s="180">
        <v>83.6</v>
      </c>
      <c r="I121" s="181">
        <v>73.7</v>
      </c>
      <c r="J121" s="182">
        <v>59.4</v>
      </c>
      <c r="K121" s="180">
        <v>83.6</v>
      </c>
      <c r="L121" s="181">
        <v>73.7</v>
      </c>
      <c r="M121" s="182">
        <v>59.4</v>
      </c>
      <c r="N121" s="180">
        <v>83.6</v>
      </c>
      <c r="O121" s="181">
        <v>73.7</v>
      </c>
      <c r="P121" s="182">
        <v>59.4</v>
      </c>
      <c r="Q121" s="180">
        <v>83.6</v>
      </c>
      <c r="R121" s="181">
        <v>73.7</v>
      </c>
      <c r="S121" s="182">
        <v>59.4</v>
      </c>
      <c r="T121" s="180">
        <v>83.6</v>
      </c>
      <c r="U121" s="181">
        <v>73.7</v>
      </c>
      <c r="V121" s="182">
        <v>59.4</v>
      </c>
      <c r="W121" s="180">
        <v>83.6</v>
      </c>
      <c r="X121" s="181">
        <v>73.7</v>
      </c>
      <c r="Y121" s="182">
        <v>59.4</v>
      </c>
      <c r="Z121" s="180">
        <v>83.6</v>
      </c>
      <c r="AA121" s="181">
        <v>73.7</v>
      </c>
      <c r="AB121" s="182">
        <v>59.4</v>
      </c>
      <c r="AC121" s="180">
        <v>83.6</v>
      </c>
      <c r="AD121" s="181">
        <v>73.7</v>
      </c>
      <c r="AE121" s="182">
        <v>59.4</v>
      </c>
      <c r="AF121" s="180">
        <v>83.6</v>
      </c>
      <c r="AG121" s="181">
        <v>73.7</v>
      </c>
      <c r="AH121" s="182">
        <v>59.4</v>
      </c>
      <c r="AI121" s="168" t="s">
        <v>1508</v>
      </c>
      <c r="AJ121" s="169" t="s">
        <v>2485</v>
      </c>
      <c r="AK121" s="170" t="s">
        <v>2486</v>
      </c>
      <c r="AL121" s="169" t="s">
        <v>17</v>
      </c>
      <c r="AM121" s="183">
        <v>1113</v>
      </c>
    </row>
    <row r="122" spans="1:39" s="2" customFormat="1">
      <c r="A122" s="179" t="s">
        <v>309</v>
      </c>
      <c r="B122" s="238" t="s">
        <v>163</v>
      </c>
      <c r="C122" s="164" t="s">
        <v>1855</v>
      </c>
      <c r="D122" s="236" t="s">
        <v>3302</v>
      </c>
      <c r="E122" s="180">
        <v>72</v>
      </c>
      <c r="F122" s="181">
        <v>69.12</v>
      </c>
      <c r="G122" s="182">
        <v>67.680000000000007</v>
      </c>
      <c r="H122" s="180">
        <v>72</v>
      </c>
      <c r="I122" s="181">
        <v>69.12</v>
      </c>
      <c r="J122" s="182">
        <v>67.680000000000007</v>
      </c>
      <c r="K122" s="180">
        <v>72</v>
      </c>
      <c r="L122" s="181">
        <v>69.12</v>
      </c>
      <c r="M122" s="182">
        <v>67.680000000000007</v>
      </c>
      <c r="N122" s="180">
        <v>72</v>
      </c>
      <c r="O122" s="181">
        <v>69.12</v>
      </c>
      <c r="P122" s="182">
        <v>67.680000000000007</v>
      </c>
      <c r="Q122" s="180">
        <v>72</v>
      </c>
      <c r="R122" s="181">
        <v>69.12</v>
      </c>
      <c r="S122" s="182">
        <v>67.680000000000007</v>
      </c>
      <c r="T122" s="180">
        <v>72</v>
      </c>
      <c r="U122" s="181">
        <v>69.12</v>
      </c>
      <c r="V122" s="182">
        <v>67.680000000000007</v>
      </c>
      <c r="W122" s="180">
        <v>72</v>
      </c>
      <c r="X122" s="181">
        <v>69.12</v>
      </c>
      <c r="Y122" s="182">
        <v>67.680000000000007</v>
      </c>
      <c r="Z122" s="180">
        <v>72</v>
      </c>
      <c r="AA122" s="181">
        <v>69.12</v>
      </c>
      <c r="AB122" s="182">
        <v>67.680000000000007</v>
      </c>
      <c r="AC122" s="180">
        <v>72</v>
      </c>
      <c r="AD122" s="181">
        <v>69.12</v>
      </c>
      <c r="AE122" s="182">
        <v>67.680000000000007</v>
      </c>
      <c r="AF122" s="180">
        <v>72</v>
      </c>
      <c r="AG122" s="181">
        <v>69.12</v>
      </c>
      <c r="AH122" s="182">
        <v>67.680000000000007</v>
      </c>
      <c r="AI122" s="168" t="s">
        <v>1856</v>
      </c>
      <c r="AJ122" s="169" t="s">
        <v>2491</v>
      </c>
      <c r="AK122" s="170" t="s">
        <v>2477</v>
      </c>
      <c r="AL122" s="169" t="s">
        <v>2479</v>
      </c>
      <c r="AM122" s="183">
        <v>1443</v>
      </c>
    </row>
    <row r="123" spans="1:39" s="2" customFormat="1">
      <c r="A123" s="179" t="s">
        <v>7</v>
      </c>
      <c r="B123" s="238" t="s">
        <v>163</v>
      </c>
      <c r="C123" s="164" t="s">
        <v>1070</v>
      </c>
      <c r="D123" s="236" t="s">
        <v>3312</v>
      </c>
      <c r="E123" s="180">
        <v>720</v>
      </c>
      <c r="F123" s="181">
        <v>672</v>
      </c>
      <c r="G123" s="182">
        <v>660</v>
      </c>
      <c r="H123" s="180">
        <v>720</v>
      </c>
      <c r="I123" s="181">
        <v>672</v>
      </c>
      <c r="J123" s="182">
        <v>660</v>
      </c>
      <c r="K123" s="180">
        <v>720</v>
      </c>
      <c r="L123" s="181">
        <v>0</v>
      </c>
      <c r="M123" s="182">
        <v>0</v>
      </c>
      <c r="N123" s="180">
        <v>0</v>
      </c>
      <c r="O123" s="181">
        <v>0</v>
      </c>
      <c r="P123" s="182">
        <v>0</v>
      </c>
      <c r="Q123" s="180">
        <v>0</v>
      </c>
      <c r="R123" s="181">
        <v>0</v>
      </c>
      <c r="S123" s="182">
        <v>0</v>
      </c>
      <c r="T123" s="180">
        <v>0</v>
      </c>
      <c r="U123" s="181">
        <v>0</v>
      </c>
      <c r="V123" s="182">
        <v>0</v>
      </c>
      <c r="W123" s="180">
        <v>0</v>
      </c>
      <c r="X123" s="181">
        <v>0</v>
      </c>
      <c r="Y123" s="182">
        <v>0</v>
      </c>
      <c r="Z123" s="180">
        <v>0</v>
      </c>
      <c r="AA123" s="181">
        <v>0</v>
      </c>
      <c r="AB123" s="182">
        <v>0</v>
      </c>
      <c r="AC123" s="180">
        <v>0</v>
      </c>
      <c r="AD123" s="181">
        <v>0</v>
      </c>
      <c r="AE123" s="182">
        <v>0</v>
      </c>
      <c r="AF123" s="180">
        <v>0</v>
      </c>
      <c r="AG123" s="181">
        <v>0</v>
      </c>
      <c r="AH123" s="182">
        <v>0</v>
      </c>
      <c r="AI123" s="168" t="s">
        <v>1071</v>
      </c>
      <c r="AJ123" s="169" t="s">
        <v>2639</v>
      </c>
      <c r="AK123" s="170" t="s">
        <v>2640</v>
      </c>
      <c r="AL123" s="169" t="s">
        <v>12</v>
      </c>
      <c r="AM123" s="183">
        <v>1074</v>
      </c>
    </row>
    <row r="124" spans="1:39" s="2" customFormat="1">
      <c r="A124" s="179" t="s">
        <v>7</v>
      </c>
      <c r="B124" s="238" t="s">
        <v>163</v>
      </c>
      <c r="C124" s="164" t="s">
        <v>1070</v>
      </c>
      <c r="D124" s="236" t="s">
        <v>3314</v>
      </c>
      <c r="E124" s="180">
        <v>720</v>
      </c>
      <c r="F124" s="181">
        <v>672</v>
      </c>
      <c r="G124" s="182">
        <v>660</v>
      </c>
      <c r="H124" s="180">
        <v>720</v>
      </c>
      <c r="I124" s="181">
        <v>672</v>
      </c>
      <c r="J124" s="182">
        <v>660</v>
      </c>
      <c r="K124" s="180">
        <v>720</v>
      </c>
      <c r="L124" s="181">
        <v>0</v>
      </c>
      <c r="M124" s="182">
        <v>0</v>
      </c>
      <c r="N124" s="180">
        <v>0</v>
      </c>
      <c r="O124" s="181">
        <v>0</v>
      </c>
      <c r="P124" s="182">
        <v>0</v>
      </c>
      <c r="Q124" s="180">
        <v>0</v>
      </c>
      <c r="R124" s="181">
        <v>0</v>
      </c>
      <c r="S124" s="182">
        <v>0</v>
      </c>
      <c r="T124" s="180">
        <v>0</v>
      </c>
      <c r="U124" s="181">
        <v>0</v>
      </c>
      <c r="V124" s="182">
        <v>0</v>
      </c>
      <c r="W124" s="180">
        <v>0</v>
      </c>
      <c r="X124" s="181">
        <v>0</v>
      </c>
      <c r="Y124" s="182">
        <v>0</v>
      </c>
      <c r="Z124" s="180">
        <v>0</v>
      </c>
      <c r="AA124" s="181">
        <v>0</v>
      </c>
      <c r="AB124" s="182">
        <v>0</v>
      </c>
      <c r="AC124" s="180">
        <v>0</v>
      </c>
      <c r="AD124" s="181">
        <v>0</v>
      </c>
      <c r="AE124" s="182">
        <v>0</v>
      </c>
      <c r="AF124" s="180">
        <v>0</v>
      </c>
      <c r="AG124" s="181">
        <v>0</v>
      </c>
      <c r="AH124" s="182">
        <v>0</v>
      </c>
      <c r="AI124" s="168" t="s">
        <v>1071</v>
      </c>
      <c r="AJ124" s="169" t="s">
        <v>2639</v>
      </c>
      <c r="AK124" s="170" t="s">
        <v>2640</v>
      </c>
      <c r="AL124" s="169" t="s">
        <v>12</v>
      </c>
      <c r="AM124" s="183">
        <v>1074</v>
      </c>
    </row>
    <row r="125" spans="1:39" s="2" customFormat="1">
      <c r="A125" s="179" t="s">
        <v>7</v>
      </c>
      <c r="B125" s="238" t="s">
        <v>163</v>
      </c>
      <c r="C125" s="164" t="s">
        <v>1070</v>
      </c>
      <c r="D125" s="236" t="s">
        <v>3315</v>
      </c>
      <c r="E125" s="180">
        <v>720</v>
      </c>
      <c r="F125" s="181">
        <v>672</v>
      </c>
      <c r="G125" s="182">
        <v>660</v>
      </c>
      <c r="H125" s="180">
        <v>720</v>
      </c>
      <c r="I125" s="181">
        <v>672</v>
      </c>
      <c r="J125" s="182">
        <v>660</v>
      </c>
      <c r="K125" s="180">
        <v>720</v>
      </c>
      <c r="L125" s="181">
        <v>0</v>
      </c>
      <c r="M125" s="182">
        <v>0</v>
      </c>
      <c r="N125" s="180">
        <v>0</v>
      </c>
      <c r="O125" s="181">
        <v>0</v>
      </c>
      <c r="P125" s="182">
        <v>0</v>
      </c>
      <c r="Q125" s="180">
        <v>0</v>
      </c>
      <c r="R125" s="181">
        <v>0</v>
      </c>
      <c r="S125" s="182">
        <v>0</v>
      </c>
      <c r="T125" s="180">
        <v>0</v>
      </c>
      <c r="U125" s="181">
        <v>0</v>
      </c>
      <c r="V125" s="182">
        <v>0</v>
      </c>
      <c r="W125" s="180">
        <v>0</v>
      </c>
      <c r="X125" s="181">
        <v>0</v>
      </c>
      <c r="Y125" s="182">
        <v>0</v>
      </c>
      <c r="Z125" s="180">
        <v>0</v>
      </c>
      <c r="AA125" s="181">
        <v>0</v>
      </c>
      <c r="AB125" s="182">
        <v>0</v>
      </c>
      <c r="AC125" s="180">
        <v>0</v>
      </c>
      <c r="AD125" s="181">
        <v>0</v>
      </c>
      <c r="AE125" s="182">
        <v>0</v>
      </c>
      <c r="AF125" s="180">
        <v>0</v>
      </c>
      <c r="AG125" s="181">
        <v>0</v>
      </c>
      <c r="AH125" s="182">
        <v>0</v>
      </c>
      <c r="AI125" s="168" t="s">
        <v>1071</v>
      </c>
      <c r="AJ125" s="169" t="s">
        <v>2639</v>
      </c>
      <c r="AK125" s="170" t="s">
        <v>2640</v>
      </c>
      <c r="AL125" s="169" t="s">
        <v>12</v>
      </c>
      <c r="AM125" s="183">
        <v>1074</v>
      </c>
    </row>
    <row r="126" spans="1:39" s="2" customFormat="1">
      <c r="A126" s="179" t="s">
        <v>7</v>
      </c>
      <c r="B126" s="238" t="s">
        <v>163</v>
      </c>
      <c r="C126" s="164" t="s">
        <v>1070</v>
      </c>
      <c r="D126" s="236" t="s">
        <v>3316</v>
      </c>
      <c r="E126" s="180">
        <v>720</v>
      </c>
      <c r="F126" s="181">
        <v>672</v>
      </c>
      <c r="G126" s="182">
        <v>660</v>
      </c>
      <c r="H126" s="180">
        <v>720</v>
      </c>
      <c r="I126" s="181">
        <v>672</v>
      </c>
      <c r="J126" s="182">
        <v>660</v>
      </c>
      <c r="K126" s="180">
        <v>720</v>
      </c>
      <c r="L126" s="181">
        <v>0</v>
      </c>
      <c r="M126" s="182">
        <v>0</v>
      </c>
      <c r="N126" s="180">
        <v>0</v>
      </c>
      <c r="O126" s="181">
        <v>0</v>
      </c>
      <c r="P126" s="182">
        <v>0</v>
      </c>
      <c r="Q126" s="180">
        <v>0</v>
      </c>
      <c r="R126" s="181">
        <v>0</v>
      </c>
      <c r="S126" s="182">
        <v>0</v>
      </c>
      <c r="T126" s="180">
        <v>0</v>
      </c>
      <c r="U126" s="181">
        <v>0</v>
      </c>
      <c r="V126" s="182">
        <v>0</v>
      </c>
      <c r="W126" s="180">
        <v>0</v>
      </c>
      <c r="X126" s="181">
        <v>0</v>
      </c>
      <c r="Y126" s="182">
        <v>0</v>
      </c>
      <c r="Z126" s="180">
        <v>0</v>
      </c>
      <c r="AA126" s="181">
        <v>0</v>
      </c>
      <c r="AB126" s="182">
        <v>0</v>
      </c>
      <c r="AC126" s="180">
        <v>0</v>
      </c>
      <c r="AD126" s="181">
        <v>0</v>
      </c>
      <c r="AE126" s="182">
        <v>0</v>
      </c>
      <c r="AF126" s="180">
        <v>0</v>
      </c>
      <c r="AG126" s="181">
        <v>0</v>
      </c>
      <c r="AH126" s="182">
        <v>0</v>
      </c>
      <c r="AI126" s="168" t="s">
        <v>1071</v>
      </c>
      <c r="AJ126" s="169" t="s">
        <v>2639</v>
      </c>
      <c r="AK126" s="170" t="s">
        <v>2640</v>
      </c>
      <c r="AL126" s="169" t="s">
        <v>12</v>
      </c>
      <c r="AM126" s="183">
        <v>1074</v>
      </c>
    </row>
    <row r="127" spans="1:39" s="2" customFormat="1">
      <c r="A127" s="179" t="s">
        <v>7</v>
      </c>
      <c r="B127" s="238" t="s">
        <v>163</v>
      </c>
      <c r="C127" s="164" t="s">
        <v>600</v>
      </c>
      <c r="D127" s="236" t="s">
        <v>282</v>
      </c>
      <c r="E127" s="180">
        <v>276</v>
      </c>
      <c r="F127" s="181">
        <v>460</v>
      </c>
      <c r="G127" s="182">
        <v>460</v>
      </c>
      <c r="H127" s="180">
        <v>460</v>
      </c>
      <c r="I127" s="181">
        <v>460</v>
      </c>
      <c r="J127" s="182">
        <v>460</v>
      </c>
      <c r="K127" s="180">
        <v>460</v>
      </c>
      <c r="L127" s="181">
        <v>460</v>
      </c>
      <c r="M127" s="182">
        <v>460</v>
      </c>
      <c r="N127" s="180">
        <v>460</v>
      </c>
      <c r="O127" s="181">
        <v>460</v>
      </c>
      <c r="P127" s="182">
        <v>460</v>
      </c>
      <c r="Q127" s="180">
        <v>460</v>
      </c>
      <c r="R127" s="181">
        <v>460</v>
      </c>
      <c r="S127" s="182">
        <v>460</v>
      </c>
      <c r="T127" s="180">
        <v>460</v>
      </c>
      <c r="U127" s="181">
        <v>460</v>
      </c>
      <c r="V127" s="182">
        <v>460</v>
      </c>
      <c r="W127" s="180">
        <v>460</v>
      </c>
      <c r="X127" s="181">
        <v>460</v>
      </c>
      <c r="Y127" s="182">
        <v>460</v>
      </c>
      <c r="Z127" s="180">
        <v>460</v>
      </c>
      <c r="AA127" s="181">
        <v>460</v>
      </c>
      <c r="AB127" s="182">
        <v>460</v>
      </c>
      <c r="AC127" s="180">
        <v>460</v>
      </c>
      <c r="AD127" s="181">
        <v>460</v>
      </c>
      <c r="AE127" s="182">
        <v>460</v>
      </c>
      <c r="AF127" s="180">
        <v>460</v>
      </c>
      <c r="AG127" s="181">
        <v>460</v>
      </c>
      <c r="AH127" s="182">
        <v>460</v>
      </c>
      <c r="AI127" s="168" t="s">
        <v>281</v>
      </c>
      <c r="AJ127" s="169" t="s">
        <v>2466</v>
      </c>
      <c r="AK127" s="170" t="s">
        <v>2467</v>
      </c>
      <c r="AL127" s="169" t="s">
        <v>20</v>
      </c>
      <c r="AM127" s="183">
        <v>1870</v>
      </c>
    </row>
    <row r="128" spans="1:39" s="2" customFormat="1">
      <c r="A128" s="179" t="s">
        <v>7</v>
      </c>
      <c r="B128" s="238" t="s">
        <v>2463</v>
      </c>
      <c r="C128" s="164" t="s">
        <v>600</v>
      </c>
      <c r="D128" s="236" t="s">
        <v>282</v>
      </c>
      <c r="E128" s="180">
        <v>0</v>
      </c>
      <c r="F128" s="181">
        <v>0</v>
      </c>
      <c r="G128" s="182">
        <v>0</v>
      </c>
      <c r="H128" s="180">
        <v>0</v>
      </c>
      <c r="I128" s="181">
        <v>240</v>
      </c>
      <c r="J128" s="182">
        <v>240</v>
      </c>
      <c r="K128" s="180">
        <v>240</v>
      </c>
      <c r="L128" s="181">
        <v>240</v>
      </c>
      <c r="M128" s="182">
        <v>240</v>
      </c>
      <c r="N128" s="180">
        <v>240</v>
      </c>
      <c r="O128" s="181">
        <v>240</v>
      </c>
      <c r="P128" s="182">
        <v>240</v>
      </c>
      <c r="Q128" s="180">
        <v>240</v>
      </c>
      <c r="R128" s="181">
        <v>240</v>
      </c>
      <c r="S128" s="182">
        <v>240</v>
      </c>
      <c r="T128" s="180">
        <v>240</v>
      </c>
      <c r="U128" s="181">
        <v>240</v>
      </c>
      <c r="V128" s="182">
        <v>240</v>
      </c>
      <c r="W128" s="180">
        <v>240</v>
      </c>
      <c r="X128" s="181">
        <v>240</v>
      </c>
      <c r="Y128" s="182">
        <v>240</v>
      </c>
      <c r="Z128" s="180">
        <v>240</v>
      </c>
      <c r="AA128" s="181">
        <v>240</v>
      </c>
      <c r="AB128" s="182">
        <v>240</v>
      </c>
      <c r="AC128" s="180">
        <v>240</v>
      </c>
      <c r="AD128" s="181">
        <v>240</v>
      </c>
      <c r="AE128" s="182">
        <v>240</v>
      </c>
      <c r="AF128" s="180">
        <v>240</v>
      </c>
      <c r="AG128" s="181">
        <v>240</v>
      </c>
      <c r="AH128" s="182">
        <v>240</v>
      </c>
      <c r="AI128" s="168" t="s">
        <v>281</v>
      </c>
      <c r="AJ128" s="169" t="s">
        <v>2466</v>
      </c>
      <c r="AK128" s="170" t="s">
        <v>2467</v>
      </c>
      <c r="AL128" s="169" t="s">
        <v>20</v>
      </c>
      <c r="AM128" s="183">
        <v>1870</v>
      </c>
    </row>
    <row r="129" spans="1:39" s="2" customFormat="1">
      <c r="A129" s="179" t="s">
        <v>7</v>
      </c>
      <c r="B129" s="238" t="s">
        <v>2463</v>
      </c>
      <c r="C129" s="164" t="s">
        <v>600</v>
      </c>
      <c r="D129" s="236" t="s">
        <v>282</v>
      </c>
      <c r="E129" s="180">
        <v>0</v>
      </c>
      <c r="F129" s="181">
        <v>0</v>
      </c>
      <c r="G129" s="182">
        <v>0</v>
      </c>
      <c r="H129" s="180">
        <v>0</v>
      </c>
      <c r="I129" s="181">
        <v>0</v>
      </c>
      <c r="J129" s="182">
        <v>0</v>
      </c>
      <c r="K129" s="180">
        <v>0</v>
      </c>
      <c r="L129" s="181">
        <v>0</v>
      </c>
      <c r="M129" s="182">
        <v>0</v>
      </c>
      <c r="N129" s="180">
        <v>0</v>
      </c>
      <c r="O129" s="181">
        <v>0</v>
      </c>
      <c r="P129" s="182">
        <v>0</v>
      </c>
      <c r="Q129" s="180">
        <v>0</v>
      </c>
      <c r="R129" s="181">
        <v>0</v>
      </c>
      <c r="S129" s="182">
        <v>0</v>
      </c>
      <c r="T129" s="180">
        <v>0</v>
      </c>
      <c r="U129" s="181">
        <v>0</v>
      </c>
      <c r="V129" s="182">
        <v>0</v>
      </c>
      <c r="W129" s="180">
        <v>0</v>
      </c>
      <c r="X129" s="181">
        <v>0</v>
      </c>
      <c r="Y129" s="182">
        <v>0</v>
      </c>
      <c r="Z129" s="180">
        <v>0</v>
      </c>
      <c r="AA129" s="181">
        <v>0</v>
      </c>
      <c r="AB129" s="182">
        <v>0</v>
      </c>
      <c r="AC129" s="180">
        <v>0</v>
      </c>
      <c r="AD129" s="181">
        <v>0</v>
      </c>
      <c r="AE129" s="182">
        <v>0</v>
      </c>
      <c r="AF129" s="180">
        <v>0</v>
      </c>
      <c r="AG129" s="181">
        <v>0</v>
      </c>
      <c r="AH129" s="182">
        <v>0</v>
      </c>
      <c r="AI129" s="168" t="s">
        <v>281</v>
      </c>
      <c r="AJ129" s="169" t="s">
        <v>2466</v>
      </c>
      <c r="AK129" s="170" t="s">
        <v>2467</v>
      </c>
      <c r="AL129" s="169" t="s">
        <v>20</v>
      </c>
      <c r="AM129" s="183">
        <v>1870</v>
      </c>
    </row>
    <row r="130" spans="1:39" s="2" customFormat="1" ht="20.6">
      <c r="A130" s="179" t="s">
        <v>7</v>
      </c>
      <c r="B130" s="238" t="s">
        <v>163</v>
      </c>
      <c r="C130" s="164" t="s">
        <v>1764</v>
      </c>
      <c r="D130" s="236" t="s">
        <v>1766</v>
      </c>
      <c r="E130" s="180">
        <v>132.66</v>
      </c>
      <c r="F130" s="181">
        <v>129.98699999999999</v>
      </c>
      <c r="G130" s="182">
        <v>116.721</v>
      </c>
      <c r="H130" s="180">
        <v>132.66</v>
      </c>
      <c r="I130" s="181">
        <v>129.98699999999999</v>
      </c>
      <c r="J130" s="182">
        <v>116.721</v>
      </c>
      <c r="K130" s="180">
        <v>132.66</v>
      </c>
      <c r="L130" s="181">
        <v>129.98699999999999</v>
      </c>
      <c r="M130" s="182">
        <v>116.721</v>
      </c>
      <c r="N130" s="180">
        <v>132.66</v>
      </c>
      <c r="O130" s="181">
        <v>129.98699999999999</v>
      </c>
      <c r="P130" s="182">
        <v>116.721</v>
      </c>
      <c r="Q130" s="180">
        <v>132.66</v>
      </c>
      <c r="R130" s="181">
        <v>129.98699999999999</v>
      </c>
      <c r="S130" s="182">
        <v>116.721</v>
      </c>
      <c r="T130" s="180">
        <v>132.66</v>
      </c>
      <c r="U130" s="181">
        <v>129.98699999999999</v>
      </c>
      <c r="V130" s="182">
        <v>116.721</v>
      </c>
      <c r="W130" s="180">
        <v>132.66</v>
      </c>
      <c r="X130" s="181">
        <v>129.98699999999999</v>
      </c>
      <c r="Y130" s="182">
        <v>116.721</v>
      </c>
      <c r="Z130" s="180">
        <v>132.66</v>
      </c>
      <c r="AA130" s="181">
        <v>129.98699999999999</v>
      </c>
      <c r="AB130" s="182">
        <v>116.721</v>
      </c>
      <c r="AC130" s="180">
        <v>132.66</v>
      </c>
      <c r="AD130" s="181">
        <v>129.98699999999999</v>
      </c>
      <c r="AE130" s="182">
        <v>116.721</v>
      </c>
      <c r="AF130" s="180">
        <v>132.66</v>
      </c>
      <c r="AG130" s="181">
        <v>129.98699999999999</v>
      </c>
      <c r="AH130" s="182">
        <v>116.721</v>
      </c>
      <c r="AI130" s="168" t="s">
        <v>1765</v>
      </c>
      <c r="AJ130" s="169" t="s">
        <v>2491</v>
      </c>
      <c r="AK130" s="170" t="s">
        <v>2477</v>
      </c>
      <c r="AL130" s="169" t="s">
        <v>2479</v>
      </c>
      <c r="AM130" s="183">
        <v>1680</v>
      </c>
    </row>
    <row r="131" spans="1:39" s="2" customFormat="1">
      <c r="A131" s="179" t="s">
        <v>565</v>
      </c>
      <c r="B131" s="238" t="s">
        <v>163</v>
      </c>
      <c r="C131" s="164" t="s">
        <v>3331</v>
      </c>
      <c r="D131" s="236" t="s">
        <v>3332</v>
      </c>
      <c r="E131" s="180">
        <v>46</v>
      </c>
      <c r="F131" s="181">
        <v>46</v>
      </c>
      <c r="G131" s="182">
        <v>46</v>
      </c>
      <c r="H131" s="180">
        <v>46</v>
      </c>
      <c r="I131" s="181">
        <v>0</v>
      </c>
      <c r="J131" s="182">
        <v>0</v>
      </c>
      <c r="K131" s="180">
        <v>46</v>
      </c>
      <c r="L131" s="181">
        <v>46</v>
      </c>
      <c r="M131" s="182">
        <v>46</v>
      </c>
      <c r="N131" s="180">
        <v>46</v>
      </c>
      <c r="O131" s="181">
        <v>0</v>
      </c>
      <c r="P131" s="182">
        <v>0</v>
      </c>
      <c r="Q131" s="180">
        <v>46</v>
      </c>
      <c r="R131" s="181">
        <v>46</v>
      </c>
      <c r="S131" s="182">
        <v>46</v>
      </c>
      <c r="T131" s="180">
        <v>46</v>
      </c>
      <c r="U131" s="181">
        <v>46</v>
      </c>
      <c r="V131" s="182">
        <v>46</v>
      </c>
      <c r="W131" s="180">
        <v>46</v>
      </c>
      <c r="X131" s="181">
        <v>46</v>
      </c>
      <c r="Y131" s="182">
        <v>46</v>
      </c>
      <c r="Z131" s="180">
        <v>46</v>
      </c>
      <c r="AA131" s="181">
        <v>0</v>
      </c>
      <c r="AB131" s="182">
        <v>0</v>
      </c>
      <c r="AC131" s="180">
        <v>46</v>
      </c>
      <c r="AD131" s="181">
        <v>46</v>
      </c>
      <c r="AE131" s="182">
        <v>46</v>
      </c>
      <c r="AF131" s="180">
        <v>46</v>
      </c>
      <c r="AG131" s="181">
        <v>46</v>
      </c>
      <c r="AH131" s="182">
        <v>46</v>
      </c>
      <c r="AI131" s="168" t="s">
        <v>1137</v>
      </c>
      <c r="AJ131" s="169" t="s">
        <v>2593</v>
      </c>
      <c r="AK131" s="170" t="s">
        <v>2482</v>
      </c>
      <c r="AL131" s="169" t="s">
        <v>18</v>
      </c>
      <c r="AM131" s="183">
        <v>1076</v>
      </c>
    </row>
    <row r="132" spans="1:39" s="2" customFormat="1">
      <c r="A132" s="179" t="s">
        <v>7</v>
      </c>
      <c r="B132" s="238" t="s">
        <v>163</v>
      </c>
      <c r="C132" s="164" t="s">
        <v>840</v>
      </c>
      <c r="D132" s="236" t="s">
        <v>842</v>
      </c>
      <c r="E132" s="180">
        <v>140.03</v>
      </c>
      <c r="F132" s="181">
        <v>140.03</v>
      </c>
      <c r="G132" s="182">
        <v>140.03</v>
      </c>
      <c r="H132" s="180">
        <v>140.03</v>
      </c>
      <c r="I132" s="181">
        <v>140.03</v>
      </c>
      <c r="J132" s="182">
        <v>140.03</v>
      </c>
      <c r="K132" s="180">
        <v>140.03</v>
      </c>
      <c r="L132" s="181">
        <v>140.03</v>
      </c>
      <c r="M132" s="182">
        <v>140.03</v>
      </c>
      <c r="N132" s="180">
        <v>140.03</v>
      </c>
      <c r="O132" s="181">
        <v>140.03</v>
      </c>
      <c r="P132" s="182">
        <v>140.03</v>
      </c>
      <c r="Q132" s="180">
        <v>140.03</v>
      </c>
      <c r="R132" s="181">
        <v>140.03</v>
      </c>
      <c r="S132" s="182">
        <v>140.03</v>
      </c>
      <c r="T132" s="180">
        <v>140.03</v>
      </c>
      <c r="U132" s="181">
        <v>140.03</v>
      </c>
      <c r="V132" s="182">
        <v>140.03</v>
      </c>
      <c r="W132" s="180">
        <v>140.03</v>
      </c>
      <c r="X132" s="181">
        <v>140.03</v>
      </c>
      <c r="Y132" s="182">
        <v>140.03</v>
      </c>
      <c r="Z132" s="180">
        <v>140.03</v>
      </c>
      <c r="AA132" s="181">
        <v>140.03</v>
      </c>
      <c r="AB132" s="182">
        <v>140.03</v>
      </c>
      <c r="AC132" s="180">
        <v>140.03</v>
      </c>
      <c r="AD132" s="181">
        <v>140.03</v>
      </c>
      <c r="AE132" s="182">
        <v>140.03</v>
      </c>
      <c r="AF132" s="180">
        <v>140.03</v>
      </c>
      <c r="AG132" s="181">
        <v>140.03</v>
      </c>
      <c r="AH132" s="182">
        <v>140.03</v>
      </c>
      <c r="AI132" s="168" t="s">
        <v>841</v>
      </c>
      <c r="AJ132" s="169" t="s">
        <v>2485</v>
      </c>
      <c r="AK132" s="170" t="s">
        <v>2486</v>
      </c>
      <c r="AL132" s="169" t="s">
        <v>17</v>
      </c>
      <c r="AM132" s="183">
        <v>1268</v>
      </c>
    </row>
    <row r="133" spans="1:39" s="2" customFormat="1">
      <c r="A133" s="179" t="s">
        <v>423</v>
      </c>
      <c r="B133" s="238" t="s">
        <v>2463</v>
      </c>
      <c r="C133" s="164" t="s">
        <v>443</v>
      </c>
      <c r="D133" s="236" t="s">
        <v>5182</v>
      </c>
      <c r="E133" s="180">
        <v>0</v>
      </c>
      <c r="F133" s="181">
        <v>0</v>
      </c>
      <c r="G133" s="182">
        <v>0</v>
      </c>
      <c r="H133" s="180">
        <v>0</v>
      </c>
      <c r="I133" s="181">
        <v>0</v>
      </c>
      <c r="J133" s="182">
        <v>0</v>
      </c>
      <c r="K133" s="180">
        <v>0</v>
      </c>
      <c r="L133" s="181">
        <v>79.92</v>
      </c>
      <c r="M133" s="182">
        <v>76.8</v>
      </c>
      <c r="N133" s="180">
        <v>79.92</v>
      </c>
      <c r="O133" s="181">
        <v>79.92</v>
      </c>
      <c r="P133" s="182">
        <v>76.8</v>
      </c>
      <c r="Q133" s="180">
        <v>79.92</v>
      </c>
      <c r="R133" s="181">
        <v>79.92</v>
      </c>
      <c r="S133" s="182">
        <v>76.8</v>
      </c>
      <c r="T133" s="180">
        <v>79.92</v>
      </c>
      <c r="U133" s="181">
        <v>79.92</v>
      </c>
      <c r="V133" s="182">
        <v>76.8</v>
      </c>
      <c r="W133" s="180">
        <v>79.92</v>
      </c>
      <c r="X133" s="181">
        <v>79.92</v>
      </c>
      <c r="Y133" s="182">
        <v>76.8</v>
      </c>
      <c r="Z133" s="180">
        <v>79.92</v>
      </c>
      <c r="AA133" s="181">
        <v>79.92</v>
      </c>
      <c r="AB133" s="182">
        <v>76.8</v>
      </c>
      <c r="AC133" s="180">
        <v>79.92</v>
      </c>
      <c r="AD133" s="181">
        <v>79.92</v>
      </c>
      <c r="AE133" s="182">
        <v>76.8</v>
      </c>
      <c r="AF133" s="180">
        <v>79.92</v>
      </c>
      <c r="AG133" s="181">
        <v>79.92</v>
      </c>
      <c r="AH133" s="182">
        <v>76.8</v>
      </c>
      <c r="AI133" s="168" t="s">
        <v>444</v>
      </c>
      <c r="AJ133" s="169" t="s">
        <v>2491</v>
      </c>
      <c r="AK133" s="170" t="s">
        <v>2477</v>
      </c>
      <c r="AL133" s="169" t="s">
        <v>2479</v>
      </c>
      <c r="AM133" s="183">
        <v>1977</v>
      </c>
    </row>
    <row r="134" spans="1:39" s="2" customFormat="1">
      <c r="A134" s="179" t="s">
        <v>423</v>
      </c>
      <c r="B134" s="238" t="s">
        <v>2463</v>
      </c>
      <c r="C134" s="164" t="s">
        <v>443</v>
      </c>
      <c r="D134" s="236" t="s">
        <v>5182</v>
      </c>
      <c r="E134" s="180">
        <v>0</v>
      </c>
      <c r="F134" s="181">
        <v>0</v>
      </c>
      <c r="G134" s="182">
        <v>0</v>
      </c>
      <c r="H134" s="180">
        <v>0</v>
      </c>
      <c r="I134" s="181">
        <v>0</v>
      </c>
      <c r="J134" s="182">
        <v>0</v>
      </c>
      <c r="K134" s="180">
        <v>0</v>
      </c>
      <c r="L134" s="181">
        <v>64.08</v>
      </c>
      <c r="M134" s="182">
        <v>61.44</v>
      </c>
      <c r="N134" s="180">
        <v>64.08</v>
      </c>
      <c r="O134" s="181">
        <v>64.08</v>
      </c>
      <c r="P134" s="182">
        <v>61.44</v>
      </c>
      <c r="Q134" s="180">
        <v>64.08</v>
      </c>
      <c r="R134" s="181">
        <v>64.08</v>
      </c>
      <c r="S134" s="182">
        <v>61.44</v>
      </c>
      <c r="T134" s="180">
        <v>64.08</v>
      </c>
      <c r="U134" s="181">
        <v>64.08</v>
      </c>
      <c r="V134" s="182">
        <v>61.44</v>
      </c>
      <c r="W134" s="180">
        <v>64.08</v>
      </c>
      <c r="X134" s="181">
        <v>64.08</v>
      </c>
      <c r="Y134" s="182">
        <v>61.44</v>
      </c>
      <c r="Z134" s="180">
        <v>64.08</v>
      </c>
      <c r="AA134" s="181">
        <v>64.08</v>
      </c>
      <c r="AB134" s="182">
        <v>61.44</v>
      </c>
      <c r="AC134" s="180">
        <v>64.08</v>
      </c>
      <c r="AD134" s="181">
        <v>64.08</v>
      </c>
      <c r="AE134" s="182">
        <v>61.44</v>
      </c>
      <c r="AF134" s="180">
        <v>64.08</v>
      </c>
      <c r="AG134" s="181">
        <v>64.08</v>
      </c>
      <c r="AH134" s="182">
        <v>61.44</v>
      </c>
      <c r="AI134" s="168" t="s">
        <v>444</v>
      </c>
      <c r="AJ134" s="169" t="s">
        <v>2466</v>
      </c>
      <c r="AK134" s="170" t="s">
        <v>2477</v>
      </c>
      <c r="AL134" s="169" t="s">
        <v>20</v>
      </c>
      <c r="AM134" s="183">
        <v>1977</v>
      </c>
    </row>
    <row r="135" spans="1:39" s="2" customFormat="1">
      <c r="A135" s="179" t="s">
        <v>309</v>
      </c>
      <c r="B135" s="238" t="s">
        <v>163</v>
      </c>
      <c r="C135" s="164" t="s">
        <v>959</v>
      </c>
      <c r="D135" s="236" t="s">
        <v>961</v>
      </c>
      <c r="E135" s="180">
        <v>119.88</v>
      </c>
      <c r="F135" s="181">
        <v>119.88</v>
      </c>
      <c r="G135" s="182">
        <v>119.88</v>
      </c>
      <c r="H135" s="180">
        <v>119.88</v>
      </c>
      <c r="I135" s="181">
        <v>119.88</v>
      </c>
      <c r="J135" s="182">
        <v>119.88</v>
      </c>
      <c r="K135" s="180">
        <v>119.88</v>
      </c>
      <c r="L135" s="181">
        <v>119.88</v>
      </c>
      <c r="M135" s="182">
        <v>119.88</v>
      </c>
      <c r="N135" s="180">
        <v>119.88</v>
      </c>
      <c r="O135" s="181">
        <v>119.88</v>
      </c>
      <c r="P135" s="182">
        <v>119.88</v>
      </c>
      <c r="Q135" s="180">
        <v>119.88</v>
      </c>
      <c r="R135" s="181">
        <v>119.88</v>
      </c>
      <c r="S135" s="182">
        <v>119.88</v>
      </c>
      <c r="T135" s="180">
        <v>119.88</v>
      </c>
      <c r="U135" s="181">
        <v>119.88</v>
      </c>
      <c r="V135" s="182">
        <v>119.88</v>
      </c>
      <c r="W135" s="180">
        <v>119.88</v>
      </c>
      <c r="X135" s="181">
        <v>119.88</v>
      </c>
      <c r="Y135" s="182">
        <v>119.88</v>
      </c>
      <c r="Z135" s="180">
        <v>119.88</v>
      </c>
      <c r="AA135" s="181">
        <v>119.88</v>
      </c>
      <c r="AB135" s="182">
        <v>119.88</v>
      </c>
      <c r="AC135" s="180">
        <v>119.88</v>
      </c>
      <c r="AD135" s="181">
        <v>119.88</v>
      </c>
      <c r="AE135" s="182">
        <v>119.88</v>
      </c>
      <c r="AF135" s="180">
        <v>119.88</v>
      </c>
      <c r="AG135" s="181">
        <v>119.88</v>
      </c>
      <c r="AH135" s="182">
        <v>119.88</v>
      </c>
      <c r="AI135" s="168" t="s">
        <v>960</v>
      </c>
      <c r="AJ135" s="169" t="s">
        <v>2491</v>
      </c>
      <c r="AK135" s="170" t="s">
        <v>2477</v>
      </c>
      <c r="AL135" s="169" t="s">
        <v>2479</v>
      </c>
      <c r="AM135" s="183">
        <v>1538</v>
      </c>
    </row>
    <row r="136" spans="1:39" s="2" customFormat="1">
      <c r="A136" s="179" t="s">
        <v>423</v>
      </c>
      <c r="B136" s="238" t="s">
        <v>163</v>
      </c>
      <c r="C136" s="164" t="s">
        <v>1975</v>
      </c>
      <c r="D136" s="236" t="s">
        <v>464</v>
      </c>
      <c r="E136" s="180">
        <v>25.33</v>
      </c>
      <c r="F136" s="181">
        <v>25.33</v>
      </c>
      <c r="G136" s="182">
        <v>25.33</v>
      </c>
      <c r="H136" s="180">
        <v>25.33</v>
      </c>
      <c r="I136" s="181">
        <v>25.33</v>
      </c>
      <c r="J136" s="182">
        <v>25.33</v>
      </c>
      <c r="K136" s="180">
        <v>25.33</v>
      </c>
      <c r="L136" s="181">
        <v>25.33</v>
      </c>
      <c r="M136" s="182">
        <v>25.33</v>
      </c>
      <c r="N136" s="180">
        <v>25.33</v>
      </c>
      <c r="O136" s="181">
        <v>25.33</v>
      </c>
      <c r="P136" s="182">
        <v>25.33</v>
      </c>
      <c r="Q136" s="180">
        <v>25.33</v>
      </c>
      <c r="R136" s="181">
        <v>25.33</v>
      </c>
      <c r="S136" s="182">
        <v>25.33</v>
      </c>
      <c r="T136" s="180">
        <v>25.33</v>
      </c>
      <c r="U136" s="181">
        <v>25.33</v>
      </c>
      <c r="V136" s="182">
        <v>25.33</v>
      </c>
      <c r="W136" s="180">
        <v>25.33</v>
      </c>
      <c r="X136" s="181">
        <v>25.33</v>
      </c>
      <c r="Y136" s="182">
        <v>25.33</v>
      </c>
      <c r="Z136" s="180">
        <v>25.33</v>
      </c>
      <c r="AA136" s="181">
        <v>25.33</v>
      </c>
      <c r="AB136" s="182">
        <v>25.33</v>
      </c>
      <c r="AC136" s="180">
        <v>25.33</v>
      </c>
      <c r="AD136" s="181">
        <v>25.33</v>
      </c>
      <c r="AE136" s="182">
        <v>25.33</v>
      </c>
      <c r="AF136" s="180">
        <v>25.33</v>
      </c>
      <c r="AG136" s="181">
        <v>25.33</v>
      </c>
      <c r="AH136" s="182">
        <v>25.33</v>
      </c>
      <c r="AI136" s="168" t="s">
        <v>3359</v>
      </c>
      <c r="AJ136" s="169" t="s">
        <v>2466</v>
      </c>
      <c r="AK136" s="170" t="s">
        <v>2467</v>
      </c>
      <c r="AL136" s="169" t="s">
        <v>20</v>
      </c>
      <c r="AM136" s="183">
        <v>1470</v>
      </c>
    </row>
    <row r="137" spans="1:39" s="2" customFormat="1">
      <c r="A137" s="179" t="s">
        <v>423</v>
      </c>
      <c r="B137" s="238" t="s">
        <v>163</v>
      </c>
      <c r="C137" s="164" t="s">
        <v>1971</v>
      </c>
      <c r="D137" s="236" t="s">
        <v>3361</v>
      </c>
      <c r="E137" s="180">
        <v>50.006</v>
      </c>
      <c r="F137" s="181">
        <v>49.015999999999998</v>
      </c>
      <c r="G137" s="182">
        <v>47.762</v>
      </c>
      <c r="H137" s="180">
        <v>50.006</v>
      </c>
      <c r="I137" s="181">
        <v>49.015999999999998</v>
      </c>
      <c r="J137" s="182">
        <v>47.762</v>
      </c>
      <c r="K137" s="180">
        <v>50.006</v>
      </c>
      <c r="L137" s="181">
        <v>49.015999999999998</v>
      </c>
      <c r="M137" s="182">
        <v>47.762</v>
      </c>
      <c r="N137" s="180">
        <v>50.006</v>
      </c>
      <c r="O137" s="181">
        <v>49.015999999999998</v>
      </c>
      <c r="P137" s="182">
        <v>47.762</v>
      </c>
      <c r="Q137" s="180">
        <v>50.006</v>
      </c>
      <c r="R137" s="181">
        <v>49.015999999999998</v>
      </c>
      <c r="S137" s="182">
        <v>47.762</v>
      </c>
      <c r="T137" s="180">
        <v>50.006</v>
      </c>
      <c r="U137" s="181">
        <v>49.015999999999998</v>
      </c>
      <c r="V137" s="182">
        <v>47.762</v>
      </c>
      <c r="W137" s="180">
        <v>50.006</v>
      </c>
      <c r="X137" s="181">
        <v>49.015999999999998</v>
      </c>
      <c r="Y137" s="182">
        <v>47.762</v>
      </c>
      <c r="Z137" s="180">
        <v>50.006</v>
      </c>
      <c r="AA137" s="181">
        <v>49.015999999999998</v>
      </c>
      <c r="AB137" s="182">
        <v>47.762</v>
      </c>
      <c r="AC137" s="180">
        <v>50.006</v>
      </c>
      <c r="AD137" s="181">
        <v>49.015999999999998</v>
      </c>
      <c r="AE137" s="182">
        <v>47.762</v>
      </c>
      <c r="AF137" s="180">
        <v>50.006</v>
      </c>
      <c r="AG137" s="181">
        <v>49.015999999999998</v>
      </c>
      <c r="AH137" s="182">
        <v>47.762</v>
      </c>
      <c r="AI137" s="168" t="s">
        <v>3360</v>
      </c>
      <c r="AJ137" s="169" t="s">
        <v>2491</v>
      </c>
      <c r="AK137" s="170" t="s">
        <v>2477</v>
      </c>
      <c r="AL137" s="169" t="s">
        <v>2479</v>
      </c>
      <c r="AM137" s="183">
        <v>1396</v>
      </c>
    </row>
    <row r="138" spans="1:39" s="2" customFormat="1" ht="20.6">
      <c r="A138" s="179" t="s">
        <v>423</v>
      </c>
      <c r="B138" s="238" t="s">
        <v>163</v>
      </c>
      <c r="C138" s="164" t="s">
        <v>460</v>
      </c>
      <c r="D138" s="236" t="s">
        <v>885</v>
      </c>
      <c r="E138" s="180">
        <v>75.81</v>
      </c>
      <c r="F138" s="181">
        <v>75.81</v>
      </c>
      <c r="G138" s="182">
        <v>69.540000000000006</v>
      </c>
      <c r="H138" s="180">
        <v>75.81</v>
      </c>
      <c r="I138" s="181">
        <v>75.81</v>
      </c>
      <c r="J138" s="182">
        <v>69.540000000000006</v>
      </c>
      <c r="K138" s="180">
        <v>75.81</v>
      </c>
      <c r="L138" s="181">
        <v>75.81</v>
      </c>
      <c r="M138" s="182">
        <v>69.540000000000006</v>
      </c>
      <c r="N138" s="180">
        <v>75.81</v>
      </c>
      <c r="O138" s="181">
        <v>75.81</v>
      </c>
      <c r="P138" s="182">
        <v>69.540000000000006</v>
      </c>
      <c r="Q138" s="180">
        <v>75.81</v>
      </c>
      <c r="R138" s="181">
        <v>75.81</v>
      </c>
      <c r="S138" s="182">
        <v>69.540000000000006</v>
      </c>
      <c r="T138" s="180">
        <v>75.81</v>
      </c>
      <c r="U138" s="181">
        <v>75.81</v>
      </c>
      <c r="V138" s="182">
        <v>69.540000000000006</v>
      </c>
      <c r="W138" s="180">
        <v>75.81</v>
      </c>
      <c r="X138" s="181">
        <v>75.81</v>
      </c>
      <c r="Y138" s="182">
        <v>69.540000000000006</v>
      </c>
      <c r="Z138" s="180">
        <v>75.81</v>
      </c>
      <c r="AA138" s="181">
        <v>75.81</v>
      </c>
      <c r="AB138" s="182">
        <v>69.540000000000006</v>
      </c>
      <c r="AC138" s="180">
        <v>75.81</v>
      </c>
      <c r="AD138" s="181">
        <v>75.81</v>
      </c>
      <c r="AE138" s="182">
        <v>69.540000000000006</v>
      </c>
      <c r="AF138" s="180">
        <v>75.81</v>
      </c>
      <c r="AG138" s="181">
        <v>75.81</v>
      </c>
      <c r="AH138" s="182">
        <v>69.540000000000006</v>
      </c>
      <c r="AI138" s="168" t="s">
        <v>461</v>
      </c>
      <c r="AJ138" s="169" t="s">
        <v>2491</v>
      </c>
      <c r="AK138" s="170" t="s">
        <v>2477</v>
      </c>
      <c r="AL138" s="169" t="s">
        <v>2479</v>
      </c>
      <c r="AM138" s="183">
        <v>1982</v>
      </c>
    </row>
    <row r="139" spans="1:39" s="2" customFormat="1">
      <c r="A139" s="179" t="s">
        <v>309</v>
      </c>
      <c r="B139" s="238" t="s">
        <v>163</v>
      </c>
      <c r="C139" s="164" t="s">
        <v>315</v>
      </c>
      <c r="D139" s="236" t="s">
        <v>317</v>
      </c>
      <c r="E139" s="180">
        <v>280</v>
      </c>
      <c r="F139" s="181">
        <v>280</v>
      </c>
      <c r="G139" s="182">
        <v>280</v>
      </c>
      <c r="H139" s="180">
        <v>280</v>
      </c>
      <c r="I139" s="181">
        <v>280</v>
      </c>
      <c r="J139" s="182">
        <v>280</v>
      </c>
      <c r="K139" s="180">
        <v>280</v>
      </c>
      <c r="L139" s="181">
        <v>280</v>
      </c>
      <c r="M139" s="182">
        <v>280</v>
      </c>
      <c r="N139" s="180">
        <v>280</v>
      </c>
      <c r="O139" s="181">
        <v>280</v>
      </c>
      <c r="P139" s="182">
        <v>280</v>
      </c>
      <c r="Q139" s="180">
        <v>0</v>
      </c>
      <c r="R139" s="181">
        <v>0</v>
      </c>
      <c r="S139" s="182">
        <v>0</v>
      </c>
      <c r="T139" s="180">
        <v>0</v>
      </c>
      <c r="U139" s="181">
        <v>0</v>
      </c>
      <c r="V139" s="182">
        <v>0</v>
      </c>
      <c r="W139" s="180">
        <v>0</v>
      </c>
      <c r="X139" s="181">
        <v>0</v>
      </c>
      <c r="Y139" s="182">
        <v>0</v>
      </c>
      <c r="Z139" s="180">
        <v>0</v>
      </c>
      <c r="AA139" s="181">
        <v>0</v>
      </c>
      <c r="AB139" s="182">
        <v>0</v>
      </c>
      <c r="AC139" s="180">
        <v>0</v>
      </c>
      <c r="AD139" s="181">
        <v>0</v>
      </c>
      <c r="AE139" s="182">
        <v>0</v>
      </c>
      <c r="AF139" s="180">
        <v>0</v>
      </c>
      <c r="AG139" s="181">
        <v>0</v>
      </c>
      <c r="AH139" s="182">
        <v>0</v>
      </c>
      <c r="AI139" s="168" t="s">
        <v>316</v>
      </c>
      <c r="AJ139" s="169" t="s">
        <v>2639</v>
      </c>
      <c r="AK139" s="170" t="s">
        <v>2640</v>
      </c>
      <c r="AL139" s="169" t="s">
        <v>12</v>
      </c>
      <c r="AM139" s="183">
        <v>1077</v>
      </c>
    </row>
    <row r="140" spans="1:39" s="2" customFormat="1">
      <c r="A140" s="179" t="s">
        <v>309</v>
      </c>
      <c r="B140" s="238" t="s">
        <v>163</v>
      </c>
      <c r="C140" s="164" t="s">
        <v>315</v>
      </c>
      <c r="D140" s="236" t="s">
        <v>318</v>
      </c>
      <c r="E140" s="180">
        <v>280</v>
      </c>
      <c r="F140" s="181">
        <v>280</v>
      </c>
      <c r="G140" s="182">
        <v>280</v>
      </c>
      <c r="H140" s="180">
        <v>280</v>
      </c>
      <c r="I140" s="181">
        <v>280</v>
      </c>
      <c r="J140" s="182">
        <v>280</v>
      </c>
      <c r="K140" s="180">
        <v>280</v>
      </c>
      <c r="L140" s="181">
        <v>280</v>
      </c>
      <c r="M140" s="182">
        <v>280</v>
      </c>
      <c r="N140" s="180">
        <v>280</v>
      </c>
      <c r="O140" s="181">
        <v>280</v>
      </c>
      <c r="P140" s="182">
        <v>280</v>
      </c>
      <c r="Q140" s="180">
        <v>0</v>
      </c>
      <c r="R140" s="181">
        <v>0</v>
      </c>
      <c r="S140" s="182">
        <v>0</v>
      </c>
      <c r="T140" s="180">
        <v>0</v>
      </c>
      <c r="U140" s="181">
        <v>0</v>
      </c>
      <c r="V140" s="182">
        <v>0</v>
      </c>
      <c r="W140" s="180">
        <v>0</v>
      </c>
      <c r="X140" s="181">
        <v>0</v>
      </c>
      <c r="Y140" s="182">
        <v>0</v>
      </c>
      <c r="Z140" s="180">
        <v>0</v>
      </c>
      <c r="AA140" s="181">
        <v>0</v>
      </c>
      <c r="AB140" s="182">
        <v>0</v>
      </c>
      <c r="AC140" s="180">
        <v>0</v>
      </c>
      <c r="AD140" s="181">
        <v>0</v>
      </c>
      <c r="AE140" s="182">
        <v>0</v>
      </c>
      <c r="AF140" s="180">
        <v>0</v>
      </c>
      <c r="AG140" s="181">
        <v>0</v>
      </c>
      <c r="AH140" s="182">
        <v>0</v>
      </c>
      <c r="AI140" s="168" t="s">
        <v>316</v>
      </c>
      <c r="AJ140" s="169" t="s">
        <v>2639</v>
      </c>
      <c r="AK140" s="170" t="s">
        <v>2640</v>
      </c>
      <c r="AL140" s="169" t="s">
        <v>12</v>
      </c>
      <c r="AM140" s="183">
        <v>1077</v>
      </c>
    </row>
    <row r="141" spans="1:39" s="2" customFormat="1">
      <c r="A141" s="179" t="s">
        <v>309</v>
      </c>
      <c r="B141" s="238" t="s">
        <v>163</v>
      </c>
      <c r="C141" s="164" t="s">
        <v>315</v>
      </c>
      <c r="D141" s="236" t="s">
        <v>319</v>
      </c>
      <c r="E141" s="180">
        <v>280</v>
      </c>
      <c r="F141" s="181">
        <v>280</v>
      </c>
      <c r="G141" s="182">
        <v>280</v>
      </c>
      <c r="H141" s="180">
        <v>280</v>
      </c>
      <c r="I141" s="181">
        <v>280</v>
      </c>
      <c r="J141" s="182">
        <v>280</v>
      </c>
      <c r="K141" s="180">
        <v>280</v>
      </c>
      <c r="L141" s="181">
        <v>280</v>
      </c>
      <c r="M141" s="182">
        <v>280</v>
      </c>
      <c r="N141" s="180">
        <v>280</v>
      </c>
      <c r="O141" s="181">
        <v>280</v>
      </c>
      <c r="P141" s="182">
        <v>280</v>
      </c>
      <c r="Q141" s="180">
        <v>0</v>
      </c>
      <c r="R141" s="181">
        <v>0</v>
      </c>
      <c r="S141" s="182">
        <v>0</v>
      </c>
      <c r="T141" s="180">
        <v>0</v>
      </c>
      <c r="U141" s="181">
        <v>0</v>
      </c>
      <c r="V141" s="182">
        <v>0</v>
      </c>
      <c r="W141" s="180">
        <v>0</v>
      </c>
      <c r="X141" s="181">
        <v>0</v>
      </c>
      <c r="Y141" s="182">
        <v>0</v>
      </c>
      <c r="Z141" s="180">
        <v>0</v>
      </c>
      <c r="AA141" s="181">
        <v>0</v>
      </c>
      <c r="AB141" s="182">
        <v>0</v>
      </c>
      <c r="AC141" s="180">
        <v>0</v>
      </c>
      <c r="AD141" s="181">
        <v>0</v>
      </c>
      <c r="AE141" s="182">
        <v>0</v>
      </c>
      <c r="AF141" s="180">
        <v>0</v>
      </c>
      <c r="AG141" s="181">
        <v>0</v>
      </c>
      <c r="AH141" s="182">
        <v>0</v>
      </c>
      <c r="AI141" s="168" t="s">
        <v>316</v>
      </c>
      <c r="AJ141" s="169" t="s">
        <v>2639</v>
      </c>
      <c r="AK141" s="170" t="s">
        <v>2640</v>
      </c>
      <c r="AL141" s="169" t="s">
        <v>12</v>
      </c>
      <c r="AM141" s="183">
        <v>1077</v>
      </c>
    </row>
    <row r="142" spans="1:39" s="2" customFormat="1">
      <c r="A142" s="179" t="s">
        <v>309</v>
      </c>
      <c r="B142" s="238" t="s">
        <v>163</v>
      </c>
      <c r="C142" s="164" t="s">
        <v>315</v>
      </c>
      <c r="D142" s="236" t="s">
        <v>320</v>
      </c>
      <c r="E142" s="180">
        <v>280</v>
      </c>
      <c r="F142" s="181">
        <v>280</v>
      </c>
      <c r="G142" s="182">
        <v>280</v>
      </c>
      <c r="H142" s="180">
        <v>280</v>
      </c>
      <c r="I142" s="181">
        <v>280</v>
      </c>
      <c r="J142" s="182">
        <v>280</v>
      </c>
      <c r="K142" s="180">
        <v>280</v>
      </c>
      <c r="L142" s="181">
        <v>280</v>
      </c>
      <c r="M142" s="182">
        <v>280</v>
      </c>
      <c r="N142" s="180">
        <v>280</v>
      </c>
      <c r="O142" s="181">
        <v>280</v>
      </c>
      <c r="P142" s="182">
        <v>280</v>
      </c>
      <c r="Q142" s="180">
        <v>0</v>
      </c>
      <c r="R142" s="181">
        <v>0</v>
      </c>
      <c r="S142" s="182">
        <v>0</v>
      </c>
      <c r="T142" s="180">
        <v>0</v>
      </c>
      <c r="U142" s="181">
        <v>0</v>
      </c>
      <c r="V142" s="182">
        <v>0</v>
      </c>
      <c r="W142" s="180">
        <v>0</v>
      </c>
      <c r="X142" s="181">
        <v>0</v>
      </c>
      <c r="Y142" s="182">
        <v>0</v>
      </c>
      <c r="Z142" s="180">
        <v>0</v>
      </c>
      <c r="AA142" s="181">
        <v>0</v>
      </c>
      <c r="AB142" s="182">
        <v>0</v>
      </c>
      <c r="AC142" s="180">
        <v>0</v>
      </c>
      <c r="AD142" s="181">
        <v>0</v>
      </c>
      <c r="AE142" s="182">
        <v>0</v>
      </c>
      <c r="AF142" s="180">
        <v>0</v>
      </c>
      <c r="AG142" s="181">
        <v>0</v>
      </c>
      <c r="AH142" s="182">
        <v>0</v>
      </c>
      <c r="AI142" s="168" t="s">
        <v>316</v>
      </c>
      <c r="AJ142" s="169" t="s">
        <v>2639</v>
      </c>
      <c r="AK142" s="170" t="s">
        <v>2640</v>
      </c>
      <c r="AL142" s="169" t="s">
        <v>12</v>
      </c>
      <c r="AM142" s="183">
        <v>1077</v>
      </c>
    </row>
    <row r="143" spans="1:39" s="2" customFormat="1">
      <c r="A143" s="179" t="s">
        <v>309</v>
      </c>
      <c r="B143" s="238" t="s">
        <v>163</v>
      </c>
      <c r="C143" s="164" t="s">
        <v>315</v>
      </c>
      <c r="D143" s="236" t="s">
        <v>321</v>
      </c>
      <c r="E143" s="180">
        <v>280</v>
      </c>
      <c r="F143" s="181">
        <v>280</v>
      </c>
      <c r="G143" s="182">
        <v>280</v>
      </c>
      <c r="H143" s="180">
        <v>280</v>
      </c>
      <c r="I143" s="181">
        <v>280</v>
      </c>
      <c r="J143" s="182">
        <v>280</v>
      </c>
      <c r="K143" s="180">
        <v>280</v>
      </c>
      <c r="L143" s="181">
        <v>280</v>
      </c>
      <c r="M143" s="182">
        <v>280</v>
      </c>
      <c r="N143" s="180">
        <v>280</v>
      </c>
      <c r="O143" s="181">
        <v>280</v>
      </c>
      <c r="P143" s="182">
        <v>280</v>
      </c>
      <c r="Q143" s="180">
        <v>0</v>
      </c>
      <c r="R143" s="181">
        <v>0</v>
      </c>
      <c r="S143" s="182">
        <v>0</v>
      </c>
      <c r="T143" s="180">
        <v>0</v>
      </c>
      <c r="U143" s="181">
        <v>0</v>
      </c>
      <c r="V143" s="182">
        <v>0</v>
      </c>
      <c r="W143" s="180">
        <v>0</v>
      </c>
      <c r="X143" s="181">
        <v>0</v>
      </c>
      <c r="Y143" s="182">
        <v>0</v>
      </c>
      <c r="Z143" s="180">
        <v>0</v>
      </c>
      <c r="AA143" s="181">
        <v>0</v>
      </c>
      <c r="AB143" s="182">
        <v>0</v>
      </c>
      <c r="AC143" s="180">
        <v>0</v>
      </c>
      <c r="AD143" s="181">
        <v>0</v>
      </c>
      <c r="AE143" s="182">
        <v>0</v>
      </c>
      <c r="AF143" s="180">
        <v>0</v>
      </c>
      <c r="AG143" s="181">
        <v>0</v>
      </c>
      <c r="AH143" s="182">
        <v>0</v>
      </c>
      <c r="AI143" s="168" t="s">
        <v>316</v>
      </c>
      <c r="AJ143" s="169" t="s">
        <v>2639</v>
      </c>
      <c r="AK143" s="170" t="s">
        <v>2640</v>
      </c>
      <c r="AL143" s="169" t="s">
        <v>12</v>
      </c>
      <c r="AM143" s="183">
        <v>1077</v>
      </c>
    </row>
    <row r="144" spans="1:39" s="2" customFormat="1">
      <c r="A144" s="179" t="s">
        <v>309</v>
      </c>
      <c r="B144" s="238" t="s">
        <v>163</v>
      </c>
      <c r="C144" s="164" t="s">
        <v>315</v>
      </c>
      <c r="D144" s="236" t="s">
        <v>322</v>
      </c>
      <c r="E144" s="180">
        <v>280</v>
      </c>
      <c r="F144" s="181">
        <v>280</v>
      </c>
      <c r="G144" s="182">
        <v>280</v>
      </c>
      <c r="H144" s="180">
        <v>280</v>
      </c>
      <c r="I144" s="181">
        <v>280</v>
      </c>
      <c r="J144" s="182">
        <v>280</v>
      </c>
      <c r="K144" s="180">
        <v>280</v>
      </c>
      <c r="L144" s="181">
        <v>280</v>
      </c>
      <c r="M144" s="182">
        <v>280</v>
      </c>
      <c r="N144" s="180">
        <v>280</v>
      </c>
      <c r="O144" s="181">
        <v>280</v>
      </c>
      <c r="P144" s="182">
        <v>280</v>
      </c>
      <c r="Q144" s="180">
        <v>0</v>
      </c>
      <c r="R144" s="181">
        <v>0</v>
      </c>
      <c r="S144" s="182">
        <v>0</v>
      </c>
      <c r="T144" s="180">
        <v>0</v>
      </c>
      <c r="U144" s="181">
        <v>0</v>
      </c>
      <c r="V144" s="182">
        <v>0</v>
      </c>
      <c r="W144" s="180">
        <v>0</v>
      </c>
      <c r="X144" s="181">
        <v>0</v>
      </c>
      <c r="Y144" s="182">
        <v>0</v>
      </c>
      <c r="Z144" s="180">
        <v>0</v>
      </c>
      <c r="AA144" s="181">
        <v>0</v>
      </c>
      <c r="AB144" s="182">
        <v>0</v>
      </c>
      <c r="AC144" s="180">
        <v>0</v>
      </c>
      <c r="AD144" s="181">
        <v>0</v>
      </c>
      <c r="AE144" s="182">
        <v>0</v>
      </c>
      <c r="AF144" s="180">
        <v>0</v>
      </c>
      <c r="AG144" s="181">
        <v>0</v>
      </c>
      <c r="AH144" s="182">
        <v>0</v>
      </c>
      <c r="AI144" s="168" t="s">
        <v>316</v>
      </c>
      <c r="AJ144" s="169" t="s">
        <v>2639</v>
      </c>
      <c r="AK144" s="170" t="s">
        <v>2640</v>
      </c>
      <c r="AL144" s="169" t="s">
        <v>12</v>
      </c>
      <c r="AM144" s="183">
        <v>1077</v>
      </c>
    </row>
    <row r="145" spans="1:39" s="2" customFormat="1" ht="20.6">
      <c r="A145" s="179" t="s">
        <v>423</v>
      </c>
      <c r="B145" s="238" t="s">
        <v>163</v>
      </c>
      <c r="C145" s="164" t="s">
        <v>1142</v>
      </c>
      <c r="D145" s="236" t="s">
        <v>3420</v>
      </c>
      <c r="E145" s="180">
        <v>102</v>
      </c>
      <c r="F145" s="181">
        <v>102</v>
      </c>
      <c r="G145" s="182">
        <v>102</v>
      </c>
      <c r="H145" s="180">
        <v>102</v>
      </c>
      <c r="I145" s="181">
        <v>102</v>
      </c>
      <c r="J145" s="182">
        <v>102</v>
      </c>
      <c r="K145" s="180">
        <v>102</v>
      </c>
      <c r="L145" s="181">
        <v>102</v>
      </c>
      <c r="M145" s="182">
        <v>102</v>
      </c>
      <c r="N145" s="180">
        <v>102</v>
      </c>
      <c r="O145" s="181">
        <v>102</v>
      </c>
      <c r="P145" s="182">
        <v>102</v>
      </c>
      <c r="Q145" s="180">
        <v>102</v>
      </c>
      <c r="R145" s="181">
        <v>102</v>
      </c>
      <c r="S145" s="182">
        <v>102</v>
      </c>
      <c r="T145" s="180">
        <v>102</v>
      </c>
      <c r="U145" s="181">
        <v>102</v>
      </c>
      <c r="V145" s="182">
        <v>102</v>
      </c>
      <c r="W145" s="180">
        <v>102</v>
      </c>
      <c r="X145" s="181">
        <v>102</v>
      </c>
      <c r="Y145" s="182">
        <v>102</v>
      </c>
      <c r="Z145" s="180">
        <v>102</v>
      </c>
      <c r="AA145" s="181">
        <v>102</v>
      </c>
      <c r="AB145" s="182">
        <v>102</v>
      </c>
      <c r="AC145" s="180">
        <v>102</v>
      </c>
      <c r="AD145" s="181">
        <v>102</v>
      </c>
      <c r="AE145" s="182">
        <v>102</v>
      </c>
      <c r="AF145" s="180">
        <v>102</v>
      </c>
      <c r="AG145" s="181">
        <v>102</v>
      </c>
      <c r="AH145" s="182">
        <v>102</v>
      </c>
      <c r="AI145" s="168" t="s">
        <v>1125</v>
      </c>
      <c r="AJ145" s="169" t="s">
        <v>2491</v>
      </c>
      <c r="AK145" s="170" t="s">
        <v>2477</v>
      </c>
      <c r="AL145" s="169" t="s">
        <v>2479</v>
      </c>
      <c r="AM145" s="183">
        <v>1623</v>
      </c>
    </row>
    <row r="146" spans="1:39" s="2" customFormat="1">
      <c r="A146" s="179" t="s">
        <v>423</v>
      </c>
      <c r="B146" s="238" t="s">
        <v>163</v>
      </c>
      <c r="C146" s="164" t="s">
        <v>3421</v>
      </c>
      <c r="D146" s="236" t="s">
        <v>1657</v>
      </c>
      <c r="E146" s="180">
        <v>110.01600000000001</v>
      </c>
      <c r="F146" s="181">
        <v>106.944</v>
      </c>
      <c r="G146" s="182">
        <v>102.96</v>
      </c>
      <c r="H146" s="180">
        <v>110.01600000000001</v>
      </c>
      <c r="I146" s="181">
        <v>106.944</v>
      </c>
      <c r="J146" s="182">
        <v>102.96</v>
      </c>
      <c r="K146" s="180">
        <v>110.01600000000001</v>
      </c>
      <c r="L146" s="181">
        <v>106.944</v>
      </c>
      <c r="M146" s="182">
        <v>102.96</v>
      </c>
      <c r="N146" s="180">
        <v>110.01600000000001</v>
      </c>
      <c r="O146" s="181">
        <v>106.944</v>
      </c>
      <c r="P146" s="182">
        <v>102.96</v>
      </c>
      <c r="Q146" s="180">
        <v>110.01600000000001</v>
      </c>
      <c r="R146" s="181">
        <v>106.944</v>
      </c>
      <c r="S146" s="182">
        <v>102.96</v>
      </c>
      <c r="T146" s="180">
        <v>110.01600000000001</v>
      </c>
      <c r="U146" s="181">
        <v>106.944</v>
      </c>
      <c r="V146" s="182">
        <v>102.96</v>
      </c>
      <c r="W146" s="180">
        <v>110.01600000000001</v>
      </c>
      <c r="X146" s="181">
        <v>106.944</v>
      </c>
      <c r="Y146" s="182">
        <v>102.96</v>
      </c>
      <c r="Z146" s="180">
        <v>110.01600000000001</v>
      </c>
      <c r="AA146" s="181">
        <v>106.944</v>
      </c>
      <c r="AB146" s="182">
        <v>102.96</v>
      </c>
      <c r="AC146" s="180">
        <v>110.01600000000001</v>
      </c>
      <c r="AD146" s="181">
        <v>106.944</v>
      </c>
      <c r="AE146" s="182">
        <v>102.96</v>
      </c>
      <c r="AF146" s="180">
        <v>110.01600000000001</v>
      </c>
      <c r="AG146" s="181">
        <v>106.944</v>
      </c>
      <c r="AH146" s="182">
        <v>102.96</v>
      </c>
      <c r="AI146" s="168" t="s">
        <v>1656</v>
      </c>
      <c r="AJ146" s="169" t="s">
        <v>2491</v>
      </c>
      <c r="AK146" s="170" t="s">
        <v>2477</v>
      </c>
      <c r="AL146" s="169" t="s">
        <v>2479</v>
      </c>
      <c r="AM146" s="183">
        <v>1541</v>
      </c>
    </row>
    <row r="147" spans="1:39" s="2" customFormat="1">
      <c r="A147" s="179" t="s">
        <v>423</v>
      </c>
      <c r="B147" s="238" t="s">
        <v>2463</v>
      </c>
      <c r="C147" s="164" t="s">
        <v>462</v>
      </c>
      <c r="D147" s="236" t="s">
        <v>5182</v>
      </c>
      <c r="E147" s="180">
        <v>0</v>
      </c>
      <c r="F147" s="181">
        <v>0</v>
      </c>
      <c r="G147" s="182">
        <v>0</v>
      </c>
      <c r="H147" s="180">
        <v>0</v>
      </c>
      <c r="I147" s="181">
        <v>0</v>
      </c>
      <c r="J147" s="182">
        <v>0</v>
      </c>
      <c r="K147" s="180">
        <v>0</v>
      </c>
      <c r="L147" s="181">
        <v>249.76</v>
      </c>
      <c r="M147" s="182">
        <v>249.76</v>
      </c>
      <c r="N147" s="180">
        <v>249.76</v>
      </c>
      <c r="O147" s="181">
        <v>249.76</v>
      </c>
      <c r="P147" s="182">
        <v>249.76</v>
      </c>
      <c r="Q147" s="180">
        <v>249.76</v>
      </c>
      <c r="R147" s="181">
        <v>249.76</v>
      </c>
      <c r="S147" s="182">
        <v>249.76</v>
      </c>
      <c r="T147" s="180">
        <v>249.76</v>
      </c>
      <c r="U147" s="181">
        <v>249.76</v>
      </c>
      <c r="V147" s="182">
        <v>249.76</v>
      </c>
      <c r="W147" s="180">
        <v>249.76</v>
      </c>
      <c r="X147" s="181">
        <v>249.76</v>
      </c>
      <c r="Y147" s="182">
        <v>249.76</v>
      </c>
      <c r="Z147" s="180">
        <v>249.76</v>
      </c>
      <c r="AA147" s="181">
        <v>249.76</v>
      </c>
      <c r="AB147" s="182">
        <v>249.76</v>
      </c>
      <c r="AC147" s="180">
        <v>249.76</v>
      </c>
      <c r="AD147" s="181">
        <v>249.76</v>
      </c>
      <c r="AE147" s="182">
        <v>249.76</v>
      </c>
      <c r="AF147" s="180">
        <v>249.76</v>
      </c>
      <c r="AG147" s="181">
        <v>249.76</v>
      </c>
      <c r="AH147" s="182">
        <v>249.76</v>
      </c>
      <c r="AI147" s="168" t="s">
        <v>463</v>
      </c>
      <c r="AJ147" s="169" t="s">
        <v>2466</v>
      </c>
      <c r="AK147" s="170" t="s">
        <v>2467</v>
      </c>
      <c r="AL147" s="169" t="s">
        <v>20</v>
      </c>
      <c r="AM147" s="183">
        <v>1912</v>
      </c>
    </row>
    <row r="148" spans="1:39" s="2" customFormat="1" ht="20.6">
      <c r="A148" s="179" t="s">
        <v>423</v>
      </c>
      <c r="B148" s="238" t="s">
        <v>163</v>
      </c>
      <c r="C148" s="164" t="s">
        <v>817</v>
      </c>
      <c r="D148" s="236" t="s">
        <v>3432</v>
      </c>
      <c r="E148" s="180">
        <v>160</v>
      </c>
      <c r="F148" s="181">
        <v>240.4</v>
      </c>
      <c r="G148" s="182">
        <v>160</v>
      </c>
      <c r="H148" s="180">
        <v>240.4</v>
      </c>
      <c r="I148" s="181">
        <v>240.4</v>
      </c>
      <c r="J148" s="182">
        <v>160</v>
      </c>
      <c r="K148" s="180">
        <v>240.4</v>
      </c>
      <c r="L148" s="181">
        <v>240.4</v>
      </c>
      <c r="M148" s="182">
        <v>160</v>
      </c>
      <c r="N148" s="180">
        <v>240.4</v>
      </c>
      <c r="O148" s="181">
        <v>240.4</v>
      </c>
      <c r="P148" s="182">
        <v>160</v>
      </c>
      <c r="Q148" s="180">
        <v>240.4</v>
      </c>
      <c r="R148" s="181">
        <v>240.4</v>
      </c>
      <c r="S148" s="182">
        <v>160</v>
      </c>
      <c r="T148" s="180">
        <v>240.4</v>
      </c>
      <c r="U148" s="181">
        <v>240.4</v>
      </c>
      <c r="V148" s="182">
        <v>160</v>
      </c>
      <c r="W148" s="180">
        <v>240.4</v>
      </c>
      <c r="X148" s="181">
        <v>240.4</v>
      </c>
      <c r="Y148" s="182">
        <v>160</v>
      </c>
      <c r="Z148" s="180">
        <v>240.4</v>
      </c>
      <c r="AA148" s="181">
        <v>240.4</v>
      </c>
      <c r="AB148" s="182">
        <v>160</v>
      </c>
      <c r="AC148" s="180">
        <v>240.4</v>
      </c>
      <c r="AD148" s="181">
        <v>240.4</v>
      </c>
      <c r="AE148" s="182">
        <v>160</v>
      </c>
      <c r="AF148" s="180">
        <v>240.4</v>
      </c>
      <c r="AG148" s="181">
        <v>240.4</v>
      </c>
      <c r="AH148" s="182">
        <v>160</v>
      </c>
      <c r="AI148" s="168" t="s">
        <v>818</v>
      </c>
      <c r="AJ148" s="169" t="s">
        <v>2485</v>
      </c>
      <c r="AK148" s="170" t="s">
        <v>2486</v>
      </c>
      <c r="AL148" s="169" t="s">
        <v>17</v>
      </c>
      <c r="AM148" s="183">
        <v>1487</v>
      </c>
    </row>
    <row r="149" spans="1:39" s="2" customFormat="1" ht="20.6">
      <c r="A149" s="179" t="s">
        <v>423</v>
      </c>
      <c r="B149" s="238" t="s">
        <v>163</v>
      </c>
      <c r="C149" s="164" t="s">
        <v>817</v>
      </c>
      <c r="D149" s="236" t="s">
        <v>3434</v>
      </c>
      <c r="E149" s="180">
        <v>168</v>
      </c>
      <c r="F149" s="181">
        <v>252.42</v>
      </c>
      <c r="G149" s="182">
        <v>168</v>
      </c>
      <c r="H149" s="180">
        <v>252.42</v>
      </c>
      <c r="I149" s="181">
        <v>252.42</v>
      </c>
      <c r="J149" s="182">
        <v>168</v>
      </c>
      <c r="K149" s="180">
        <v>252.42</v>
      </c>
      <c r="L149" s="181">
        <v>252.42</v>
      </c>
      <c r="M149" s="182">
        <v>168</v>
      </c>
      <c r="N149" s="180">
        <v>252.42</v>
      </c>
      <c r="O149" s="181">
        <v>252.42</v>
      </c>
      <c r="P149" s="182">
        <v>168</v>
      </c>
      <c r="Q149" s="180">
        <v>252.42</v>
      </c>
      <c r="R149" s="181">
        <v>252.42</v>
      </c>
      <c r="S149" s="182">
        <v>168</v>
      </c>
      <c r="T149" s="180">
        <v>252.42</v>
      </c>
      <c r="U149" s="181">
        <v>252.42</v>
      </c>
      <c r="V149" s="182">
        <v>168</v>
      </c>
      <c r="W149" s="180">
        <v>252.42</v>
      </c>
      <c r="X149" s="181">
        <v>252.42</v>
      </c>
      <c r="Y149" s="182">
        <v>168</v>
      </c>
      <c r="Z149" s="180">
        <v>252.42</v>
      </c>
      <c r="AA149" s="181">
        <v>252.42</v>
      </c>
      <c r="AB149" s="182">
        <v>168</v>
      </c>
      <c r="AC149" s="180">
        <v>252.42</v>
      </c>
      <c r="AD149" s="181">
        <v>252.42</v>
      </c>
      <c r="AE149" s="182">
        <v>168</v>
      </c>
      <c r="AF149" s="180">
        <v>252.42</v>
      </c>
      <c r="AG149" s="181">
        <v>252.42</v>
      </c>
      <c r="AH149" s="182">
        <v>168</v>
      </c>
      <c r="AI149" s="168" t="s">
        <v>818</v>
      </c>
      <c r="AJ149" s="169" t="s">
        <v>2485</v>
      </c>
      <c r="AK149" s="170" t="s">
        <v>2486</v>
      </c>
      <c r="AL149" s="169" t="s">
        <v>17</v>
      </c>
      <c r="AM149" s="183">
        <v>1487</v>
      </c>
    </row>
    <row r="150" spans="1:39" s="2" customFormat="1" ht="20.6">
      <c r="A150" s="179" t="s">
        <v>423</v>
      </c>
      <c r="B150" s="238" t="s">
        <v>163</v>
      </c>
      <c r="C150" s="164" t="s">
        <v>817</v>
      </c>
      <c r="D150" s="236" t="s">
        <v>3435</v>
      </c>
      <c r="E150" s="180">
        <v>160</v>
      </c>
      <c r="F150" s="181">
        <v>240.4</v>
      </c>
      <c r="G150" s="182">
        <v>160</v>
      </c>
      <c r="H150" s="180">
        <v>240.4</v>
      </c>
      <c r="I150" s="181">
        <v>240.4</v>
      </c>
      <c r="J150" s="182">
        <v>160</v>
      </c>
      <c r="K150" s="180">
        <v>240.4</v>
      </c>
      <c r="L150" s="181">
        <v>240.4</v>
      </c>
      <c r="M150" s="182">
        <v>160</v>
      </c>
      <c r="N150" s="180">
        <v>240.4</v>
      </c>
      <c r="O150" s="181">
        <v>240.4</v>
      </c>
      <c r="P150" s="182">
        <v>160</v>
      </c>
      <c r="Q150" s="180">
        <v>240.4</v>
      </c>
      <c r="R150" s="181">
        <v>240.4</v>
      </c>
      <c r="S150" s="182">
        <v>160</v>
      </c>
      <c r="T150" s="180">
        <v>240.4</v>
      </c>
      <c r="U150" s="181">
        <v>240.4</v>
      </c>
      <c r="V150" s="182">
        <v>160</v>
      </c>
      <c r="W150" s="180">
        <v>240.4</v>
      </c>
      <c r="X150" s="181">
        <v>240.4</v>
      </c>
      <c r="Y150" s="182">
        <v>160</v>
      </c>
      <c r="Z150" s="180">
        <v>240.4</v>
      </c>
      <c r="AA150" s="181">
        <v>240.4</v>
      </c>
      <c r="AB150" s="182">
        <v>160</v>
      </c>
      <c r="AC150" s="180">
        <v>240.4</v>
      </c>
      <c r="AD150" s="181">
        <v>240.4</v>
      </c>
      <c r="AE150" s="182">
        <v>160</v>
      </c>
      <c r="AF150" s="180">
        <v>240.4</v>
      </c>
      <c r="AG150" s="181">
        <v>240.4</v>
      </c>
      <c r="AH150" s="182">
        <v>160</v>
      </c>
      <c r="AI150" s="168" t="s">
        <v>818</v>
      </c>
      <c r="AJ150" s="169" t="s">
        <v>2485</v>
      </c>
      <c r="AK150" s="170" t="s">
        <v>2486</v>
      </c>
      <c r="AL150" s="169" t="s">
        <v>17</v>
      </c>
      <c r="AM150" s="183">
        <v>1487</v>
      </c>
    </row>
    <row r="151" spans="1:39" s="2" customFormat="1">
      <c r="A151" s="179" t="s">
        <v>423</v>
      </c>
      <c r="B151" s="238" t="s">
        <v>2463</v>
      </c>
      <c r="C151" s="164" t="s">
        <v>878</v>
      </c>
      <c r="D151" s="236" t="s">
        <v>5182</v>
      </c>
      <c r="E151" s="180">
        <v>0</v>
      </c>
      <c r="F151" s="181">
        <v>0</v>
      </c>
      <c r="G151" s="182">
        <v>0</v>
      </c>
      <c r="H151" s="180">
        <v>279</v>
      </c>
      <c r="I151" s="181">
        <v>557.07000000000005</v>
      </c>
      <c r="J151" s="182">
        <v>372</v>
      </c>
      <c r="K151" s="180">
        <v>557.07000000000005</v>
      </c>
      <c r="L151" s="181">
        <v>557.07000000000005</v>
      </c>
      <c r="M151" s="182">
        <v>372</v>
      </c>
      <c r="N151" s="180">
        <v>557.07000000000005</v>
      </c>
      <c r="O151" s="181">
        <v>557.07000000000005</v>
      </c>
      <c r="P151" s="182">
        <v>372</v>
      </c>
      <c r="Q151" s="180">
        <v>557.07000000000005</v>
      </c>
      <c r="R151" s="181">
        <v>557.07000000000005</v>
      </c>
      <c r="S151" s="182">
        <v>372</v>
      </c>
      <c r="T151" s="180">
        <v>557.07000000000005</v>
      </c>
      <c r="U151" s="181">
        <v>557.07000000000005</v>
      </c>
      <c r="V151" s="182">
        <v>372</v>
      </c>
      <c r="W151" s="180">
        <v>557.07000000000005</v>
      </c>
      <c r="X151" s="181">
        <v>557.07000000000005</v>
      </c>
      <c r="Y151" s="182">
        <v>372</v>
      </c>
      <c r="Z151" s="180">
        <v>557.07000000000005</v>
      </c>
      <c r="AA151" s="181">
        <v>557.07000000000005</v>
      </c>
      <c r="AB151" s="182">
        <v>372</v>
      </c>
      <c r="AC151" s="180">
        <v>557.07000000000005</v>
      </c>
      <c r="AD151" s="181">
        <v>557.07000000000005</v>
      </c>
      <c r="AE151" s="182">
        <v>372</v>
      </c>
      <c r="AF151" s="180">
        <v>557.07000000000005</v>
      </c>
      <c r="AG151" s="181">
        <v>557.07000000000005</v>
      </c>
      <c r="AH151" s="182">
        <v>372</v>
      </c>
      <c r="AI151" s="168" t="s">
        <v>879</v>
      </c>
      <c r="AJ151" s="169" t="s">
        <v>2485</v>
      </c>
      <c r="AK151" s="170" t="s">
        <v>2486</v>
      </c>
      <c r="AL151" s="169" t="s">
        <v>17</v>
      </c>
      <c r="AM151" s="183">
        <v>1990</v>
      </c>
    </row>
    <row r="152" spans="1:39" s="2" customFormat="1" ht="20.6">
      <c r="A152" s="179" t="s">
        <v>7</v>
      </c>
      <c r="B152" s="238" t="s">
        <v>163</v>
      </c>
      <c r="C152" s="164" t="s">
        <v>1592</v>
      </c>
      <c r="D152" s="236" t="s">
        <v>1594</v>
      </c>
      <c r="E152" s="180">
        <v>69.75</v>
      </c>
      <c r="F152" s="181">
        <v>69.316000000000003</v>
      </c>
      <c r="G152" s="182">
        <v>67.734999999999999</v>
      </c>
      <c r="H152" s="180">
        <v>69.75</v>
      </c>
      <c r="I152" s="181">
        <v>69.316000000000003</v>
      </c>
      <c r="J152" s="182">
        <v>67.734999999999999</v>
      </c>
      <c r="K152" s="180">
        <v>69.75</v>
      </c>
      <c r="L152" s="181">
        <v>69.316000000000003</v>
      </c>
      <c r="M152" s="182">
        <v>67.734999999999999</v>
      </c>
      <c r="N152" s="180">
        <v>69.75</v>
      </c>
      <c r="O152" s="181">
        <v>69.316000000000003</v>
      </c>
      <c r="P152" s="182">
        <v>67.734999999999999</v>
      </c>
      <c r="Q152" s="180">
        <v>69.75</v>
      </c>
      <c r="R152" s="181">
        <v>69.316000000000003</v>
      </c>
      <c r="S152" s="182">
        <v>67.734999999999999</v>
      </c>
      <c r="T152" s="180">
        <v>69.75</v>
      </c>
      <c r="U152" s="181">
        <v>69.316000000000003</v>
      </c>
      <c r="V152" s="182">
        <v>67.734999999999999</v>
      </c>
      <c r="W152" s="180">
        <v>69.75</v>
      </c>
      <c r="X152" s="181">
        <v>69.316000000000003</v>
      </c>
      <c r="Y152" s="182">
        <v>67.734999999999999</v>
      </c>
      <c r="Z152" s="180">
        <v>69.75</v>
      </c>
      <c r="AA152" s="181">
        <v>69.316000000000003</v>
      </c>
      <c r="AB152" s="182">
        <v>67.734999999999999</v>
      </c>
      <c r="AC152" s="180">
        <v>69.75</v>
      </c>
      <c r="AD152" s="181">
        <v>69.316000000000003</v>
      </c>
      <c r="AE152" s="182">
        <v>67.734999999999999</v>
      </c>
      <c r="AF152" s="180">
        <v>69.75</v>
      </c>
      <c r="AG152" s="181">
        <v>69.316000000000003</v>
      </c>
      <c r="AH152" s="182">
        <v>67.734999999999999</v>
      </c>
      <c r="AI152" s="168" t="s">
        <v>1593</v>
      </c>
      <c r="AJ152" s="169" t="s">
        <v>2491</v>
      </c>
      <c r="AK152" s="170" t="s">
        <v>2477</v>
      </c>
      <c r="AL152" s="169" t="s">
        <v>2479</v>
      </c>
      <c r="AM152" s="183">
        <v>1400</v>
      </c>
    </row>
    <row r="153" spans="1:39" s="2" customFormat="1">
      <c r="A153" s="179" t="s">
        <v>423</v>
      </c>
      <c r="B153" s="238" t="s">
        <v>2463</v>
      </c>
      <c r="C153" s="164" t="s">
        <v>424</v>
      </c>
      <c r="D153" s="236" t="s">
        <v>425</v>
      </c>
      <c r="E153" s="180">
        <v>0</v>
      </c>
      <c r="F153" s="181">
        <v>0</v>
      </c>
      <c r="G153" s="182">
        <v>0</v>
      </c>
      <c r="H153" s="180">
        <v>250</v>
      </c>
      <c r="I153" s="181">
        <v>250</v>
      </c>
      <c r="J153" s="182">
        <v>250</v>
      </c>
      <c r="K153" s="180">
        <v>250</v>
      </c>
      <c r="L153" s="181">
        <v>250</v>
      </c>
      <c r="M153" s="182">
        <v>250</v>
      </c>
      <c r="N153" s="180">
        <v>250</v>
      </c>
      <c r="O153" s="181">
        <v>250</v>
      </c>
      <c r="P153" s="182">
        <v>250</v>
      </c>
      <c r="Q153" s="180">
        <v>250</v>
      </c>
      <c r="R153" s="181">
        <v>250</v>
      </c>
      <c r="S153" s="182">
        <v>250</v>
      </c>
      <c r="T153" s="180">
        <v>250</v>
      </c>
      <c r="U153" s="181">
        <v>250</v>
      </c>
      <c r="V153" s="182">
        <v>250</v>
      </c>
      <c r="W153" s="180">
        <v>250</v>
      </c>
      <c r="X153" s="181">
        <v>250</v>
      </c>
      <c r="Y153" s="182">
        <v>250</v>
      </c>
      <c r="Z153" s="180">
        <v>250</v>
      </c>
      <c r="AA153" s="181">
        <v>250</v>
      </c>
      <c r="AB153" s="182">
        <v>250</v>
      </c>
      <c r="AC153" s="180">
        <v>250</v>
      </c>
      <c r="AD153" s="181">
        <v>250</v>
      </c>
      <c r="AE153" s="182">
        <v>250</v>
      </c>
      <c r="AF153" s="180">
        <v>250</v>
      </c>
      <c r="AG153" s="181">
        <v>250</v>
      </c>
      <c r="AH153" s="182">
        <v>250</v>
      </c>
      <c r="AI153" s="168" t="s">
        <v>254</v>
      </c>
      <c r="AJ153" s="169" t="s">
        <v>2491</v>
      </c>
      <c r="AK153" s="170" t="s">
        <v>2477</v>
      </c>
      <c r="AL153" s="169" t="s">
        <v>2479</v>
      </c>
      <c r="AM153" s="183">
        <v>2793</v>
      </c>
    </row>
    <row r="154" spans="1:39" s="2" customFormat="1">
      <c r="A154" s="179" t="s">
        <v>565</v>
      </c>
      <c r="B154" s="238" t="s">
        <v>163</v>
      </c>
      <c r="C154" s="164" t="s">
        <v>3445</v>
      </c>
      <c r="D154" s="236" t="s">
        <v>3446</v>
      </c>
      <c r="E154" s="180">
        <v>266</v>
      </c>
      <c r="F154" s="181">
        <v>399</v>
      </c>
      <c r="G154" s="182">
        <v>399</v>
      </c>
      <c r="H154" s="180">
        <v>399</v>
      </c>
      <c r="I154" s="181">
        <v>399</v>
      </c>
      <c r="J154" s="182">
        <v>399</v>
      </c>
      <c r="K154" s="180">
        <v>399</v>
      </c>
      <c r="L154" s="181">
        <v>266</v>
      </c>
      <c r="M154" s="182">
        <v>266</v>
      </c>
      <c r="N154" s="180">
        <v>266</v>
      </c>
      <c r="O154" s="181">
        <v>399</v>
      </c>
      <c r="P154" s="182">
        <v>399</v>
      </c>
      <c r="Q154" s="180">
        <v>399</v>
      </c>
      <c r="R154" s="181">
        <v>399</v>
      </c>
      <c r="S154" s="182">
        <v>399</v>
      </c>
      <c r="T154" s="180">
        <v>399</v>
      </c>
      <c r="U154" s="181">
        <v>266</v>
      </c>
      <c r="V154" s="182">
        <v>266</v>
      </c>
      <c r="W154" s="180">
        <v>266</v>
      </c>
      <c r="X154" s="181">
        <v>399</v>
      </c>
      <c r="Y154" s="182">
        <v>399</v>
      </c>
      <c r="Z154" s="180">
        <v>399</v>
      </c>
      <c r="AA154" s="181">
        <v>399</v>
      </c>
      <c r="AB154" s="182">
        <v>399</v>
      </c>
      <c r="AC154" s="180">
        <v>399</v>
      </c>
      <c r="AD154" s="181">
        <v>399</v>
      </c>
      <c r="AE154" s="182">
        <v>399</v>
      </c>
      <c r="AF154" s="180">
        <v>399</v>
      </c>
      <c r="AG154" s="181">
        <v>399</v>
      </c>
      <c r="AH154" s="182">
        <v>399</v>
      </c>
      <c r="AI154" s="168" t="s">
        <v>1137</v>
      </c>
      <c r="AJ154" s="169" t="s">
        <v>2593</v>
      </c>
      <c r="AK154" s="170" t="s">
        <v>2482</v>
      </c>
      <c r="AL154" s="169" t="s">
        <v>18</v>
      </c>
      <c r="AM154" s="183">
        <v>1081</v>
      </c>
    </row>
    <row r="155" spans="1:39" s="2" customFormat="1">
      <c r="A155" s="179" t="s">
        <v>7</v>
      </c>
      <c r="B155" s="238" t="s">
        <v>2463</v>
      </c>
      <c r="C155" s="164" t="s">
        <v>499</v>
      </c>
      <c r="D155" s="236" t="s">
        <v>5182</v>
      </c>
      <c r="E155" s="180">
        <v>0</v>
      </c>
      <c r="F155" s="181">
        <v>0</v>
      </c>
      <c r="G155" s="182">
        <v>0</v>
      </c>
      <c r="H155" s="180">
        <v>0</v>
      </c>
      <c r="I155" s="181">
        <v>0</v>
      </c>
      <c r="J155" s="182">
        <v>0</v>
      </c>
      <c r="K155" s="180">
        <v>449.96</v>
      </c>
      <c r="L155" s="181">
        <v>449.96</v>
      </c>
      <c r="M155" s="182">
        <v>449.96</v>
      </c>
      <c r="N155" s="180">
        <v>449.96</v>
      </c>
      <c r="O155" s="181">
        <v>449.96</v>
      </c>
      <c r="P155" s="182">
        <v>449.96</v>
      </c>
      <c r="Q155" s="180">
        <v>449.96</v>
      </c>
      <c r="R155" s="181">
        <v>449.96</v>
      </c>
      <c r="S155" s="182">
        <v>449.96</v>
      </c>
      <c r="T155" s="180">
        <v>449.96</v>
      </c>
      <c r="U155" s="181">
        <v>449.96</v>
      </c>
      <c r="V155" s="182">
        <v>449.96</v>
      </c>
      <c r="W155" s="180">
        <v>449.96</v>
      </c>
      <c r="X155" s="181">
        <v>449.96</v>
      </c>
      <c r="Y155" s="182">
        <v>449.96</v>
      </c>
      <c r="Z155" s="180">
        <v>449.96</v>
      </c>
      <c r="AA155" s="181">
        <v>449.96</v>
      </c>
      <c r="AB155" s="182">
        <v>449.96</v>
      </c>
      <c r="AC155" s="180">
        <v>449.96</v>
      </c>
      <c r="AD155" s="181">
        <v>449.96</v>
      </c>
      <c r="AE155" s="182">
        <v>449.96</v>
      </c>
      <c r="AF155" s="180">
        <v>449.96</v>
      </c>
      <c r="AG155" s="181">
        <v>449.96</v>
      </c>
      <c r="AH155" s="182">
        <v>449.96</v>
      </c>
      <c r="AI155" s="168" t="s">
        <v>500</v>
      </c>
      <c r="AJ155" s="169" t="s">
        <v>2491</v>
      </c>
      <c r="AK155" s="170" t="s">
        <v>2477</v>
      </c>
      <c r="AL155" s="169" t="s">
        <v>2479</v>
      </c>
      <c r="AM155" s="183">
        <v>2190</v>
      </c>
    </row>
    <row r="156" spans="1:39" s="2" customFormat="1">
      <c r="A156" s="179" t="s">
        <v>7</v>
      </c>
      <c r="B156" s="238" t="s">
        <v>2463</v>
      </c>
      <c r="C156" s="164" t="s">
        <v>499</v>
      </c>
      <c r="D156" s="236" t="s">
        <v>5182</v>
      </c>
      <c r="E156" s="180">
        <v>0</v>
      </c>
      <c r="F156" s="181">
        <v>0</v>
      </c>
      <c r="G156" s="182">
        <v>0</v>
      </c>
      <c r="H156" s="180">
        <v>0</v>
      </c>
      <c r="I156" s="181">
        <v>0</v>
      </c>
      <c r="J156" s="182">
        <v>0</v>
      </c>
      <c r="K156" s="180">
        <v>49.84</v>
      </c>
      <c r="L156" s="181">
        <v>49.84</v>
      </c>
      <c r="M156" s="182">
        <v>49.84</v>
      </c>
      <c r="N156" s="180">
        <v>49.84</v>
      </c>
      <c r="O156" s="181">
        <v>49.84</v>
      </c>
      <c r="P156" s="182">
        <v>49.84</v>
      </c>
      <c r="Q156" s="180">
        <v>49.84</v>
      </c>
      <c r="R156" s="181">
        <v>49.84</v>
      </c>
      <c r="S156" s="182">
        <v>49.84</v>
      </c>
      <c r="T156" s="180">
        <v>49.84</v>
      </c>
      <c r="U156" s="181">
        <v>49.84</v>
      </c>
      <c r="V156" s="182">
        <v>49.84</v>
      </c>
      <c r="W156" s="180">
        <v>49.84</v>
      </c>
      <c r="X156" s="181">
        <v>49.84</v>
      </c>
      <c r="Y156" s="182">
        <v>49.84</v>
      </c>
      <c r="Z156" s="180">
        <v>49.84</v>
      </c>
      <c r="AA156" s="181">
        <v>49.84</v>
      </c>
      <c r="AB156" s="182">
        <v>49.84</v>
      </c>
      <c r="AC156" s="180">
        <v>49.84</v>
      </c>
      <c r="AD156" s="181">
        <v>49.84</v>
      </c>
      <c r="AE156" s="182">
        <v>49.84</v>
      </c>
      <c r="AF156" s="180">
        <v>49.84</v>
      </c>
      <c r="AG156" s="181">
        <v>49.84</v>
      </c>
      <c r="AH156" s="182">
        <v>49.84</v>
      </c>
      <c r="AI156" s="168" t="s">
        <v>500</v>
      </c>
      <c r="AJ156" s="169" t="s">
        <v>2466</v>
      </c>
      <c r="AK156" s="170" t="s">
        <v>2467</v>
      </c>
      <c r="AL156" s="169" t="s">
        <v>20</v>
      </c>
      <c r="AM156" s="183">
        <v>2190</v>
      </c>
    </row>
    <row r="157" spans="1:39" s="2" customFormat="1" ht="20.6">
      <c r="A157" s="179" t="s">
        <v>380</v>
      </c>
      <c r="B157" s="238" t="s">
        <v>163</v>
      </c>
      <c r="C157" s="164" t="s">
        <v>405</v>
      </c>
      <c r="D157" s="236" t="s">
        <v>407</v>
      </c>
      <c r="E157" s="180">
        <v>200.982</v>
      </c>
      <c r="F157" s="181">
        <v>200.982</v>
      </c>
      <c r="G157" s="182">
        <v>190</v>
      </c>
      <c r="H157" s="180">
        <v>200.982</v>
      </c>
      <c r="I157" s="181">
        <v>200.982</v>
      </c>
      <c r="J157" s="182">
        <v>190</v>
      </c>
      <c r="K157" s="180">
        <v>200.982</v>
      </c>
      <c r="L157" s="181">
        <v>200.982</v>
      </c>
      <c r="M157" s="182">
        <v>190</v>
      </c>
      <c r="N157" s="180">
        <v>200.982</v>
      </c>
      <c r="O157" s="181">
        <v>200.982</v>
      </c>
      <c r="P157" s="182">
        <v>190</v>
      </c>
      <c r="Q157" s="180">
        <v>200.982</v>
      </c>
      <c r="R157" s="181">
        <v>200.982</v>
      </c>
      <c r="S157" s="182">
        <v>190</v>
      </c>
      <c r="T157" s="180">
        <v>200.982</v>
      </c>
      <c r="U157" s="181">
        <v>200.982</v>
      </c>
      <c r="V157" s="182">
        <v>190</v>
      </c>
      <c r="W157" s="180">
        <v>200.982</v>
      </c>
      <c r="X157" s="181">
        <v>200.982</v>
      </c>
      <c r="Y157" s="182">
        <v>190</v>
      </c>
      <c r="Z157" s="180">
        <v>200.982</v>
      </c>
      <c r="AA157" s="181">
        <v>200.982</v>
      </c>
      <c r="AB157" s="182">
        <v>190</v>
      </c>
      <c r="AC157" s="180">
        <v>200.982</v>
      </c>
      <c r="AD157" s="181">
        <v>200.982</v>
      </c>
      <c r="AE157" s="182">
        <v>190</v>
      </c>
      <c r="AF157" s="180">
        <v>200.982</v>
      </c>
      <c r="AG157" s="181">
        <v>200.982</v>
      </c>
      <c r="AH157" s="182">
        <v>190</v>
      </c>
      <c r="AI157" s="168" t="s">
        <v>406</v>
      </c>
      <c r="AJ157" s="169" t="s">
        <v>2485</v>
      </c>
      <c r="AK157" s="170" t="s">
        <v>2486</v>
      </c>
      <c r="AL157" s="169" t="s">
        <v>17</v>
      </c>
      <c r="AM157" s="183">
        <v>1964</v>
      </c>
    </row>
    <row r="158" spans="1:39" s="2" customFormat="1" ht="20.6">
      <c r="A158" s="179" t="s">
        <v>380</v>
      </c>
      <c r="B158" s="238" t="s">
        <v>163</v>
      </c>
      <c r="C158" s="164" t="s">
        <v>408</v>
      </c>
      <c r="D158" s="236" t="s">
        <v>410</v>
      </c>
      <c r="E158" s="180">
        <v>195.69300000000001</v>
      </c>
      <c r="F158" s="181">
        <v>195.69300000000001</v>
      </c>
      <c r="G158" s="182">
        <v>185</v>
      </c>
      <c r="H158" s="180">
        <v>195.69300000000001</v>
      </c>
      <c r="I158" s="181">
        <v>195.69300000000001</v>
      </c>
      <c r="J158" s="182">
        <v>185</v>
      </c>
      <c r="K158" s="180">
        <v>195.69300000000001</v>
      </c>
      <c r="L158" s="181">
        <v>195.69300000000001</v>
      </c>
      <c r="M158" s="182">
        <v>185</v>
      </c>
      <c r="N158" s="180">
        <v>195.69300000000001</v>
      </c>
      <c r="O158" s="181">
        <v>195.69300000000001</v>
      </c>
      <c r="P158" s="182">
        <v>185</v>
      </c>
      <c r="Q158" s="180">
        <v>195.69300000000001</v>
      </c>
      <c r="R158" s="181">
        <v>195.69300000000001</v>
      </c>
      <c r="S158" s="182">
        <v>185</v>
      </c>
      <c r="T158" s="180">
        <v>195.69300000000001</v>
      </c>
      <c r="U158" s="181">
        <v>195.69300000000001</v>
      </c>
      <c r="V158" s="182">
        <v>185</v>
      </c>
      <c r="W158" s="180">
        <v>195.69300000000001</v>
      </c>
      <c r="X158" s="181">
        <v>195.69300000000001</v>
      </c>
      <c r="Y158" s="182">
        <v>185</v>
      </c>
      <c r="Z158" s="180">
        <v>195.69300000000001</v>
      </c>
      <c r="AA158" s="181">
        <v>195.69300000000001</v>
      </c>
      <c r="AB158" s="182">
        <v>185</v>
      </c>
      <c r="AC158" s="180">
        <v>195.69300000000001</v>
      </c>
      <c r="AD158" s="181">
        <v>195.69300000000001</v>
      </c>
      <c r="AE158" s="182">
        <v>185</v>
      </c>
      <c r="AF158" s="180">
        <v>195.69300000000001</v>
      </c>
      <c r="AG158" s="181">
        <v>195.69300000000001</v>
      </c>
      <c r="AH158" s="182">
        <v>185</v>
      </c>
      <c r="AI158" s="168" t="s">
        <v>409</v>
      </c>
      <c r="AJ158" s="169" t="s">
        <v>2485</v>
      </c>
      <c r="AK158" s="170" t="s">
        <v>2486</v>
      </c>
      <c r="AL158" s="169" t="s">
        <v>17</v>
      </c>
      <c r="AM158" s="183">
        <v>2404</v>
      </c>
    </row>
    <row r="159" spans="1:39" s="2" customFormat="1" ht="20.6">
      <c r="A159" s="179" t="s">
        <v>565</v>
      </c>
      <c r="B159" s="238" t="s">
        <v>163</v>
      </c>
      <c r="C159" s="164" t="s">
        <v>2165</v>
      </c>
      <c r="D159" s="236" t="s">
        <v>3467</v>
      </c>
      <c r="E159" s="180">
        <v>111.6</v>
      </c>
      <c r="F159" s="181">
        <v>111.6</v>
      </c>
      <c r="G159" s="182">
        <v>111.6</v>
      </c>
      <c r="H159" s="180">
        <v>111.6</v>
      </c>
      <c r="I159" s="181">
        <v>111.6</v>
      </c>
      <c r="J159" s="182">
        <v>111.6</v>
      </c>
      <c r="K159" s="180">
        <v>111.6</v>
      </c>
      <c r="L159" s="181">
        <v>111.6</v>
      </c>
      <c r="M159" s="182">
        <v>111.6</v>
      </c>
      <c r="N159" s="180">
        <v>111.6</v>
      </c>
      <c r="O159" s="181">
        <v>111.6</v>
      </c>
      <c r="P159" s="182">
        <v>111.6</v>
      </c>
      <c r="Q159" s="180">
        <v>111.6</v>
      </c>
      <c r="R159" s="181">
        <v>111.6</v>
      </c>
      <c r="S159" s="182">
        <v>111.6</v>
      </c>
      <c r="T159" s="180">
        <v>111.6</v>
      </c>
      <c r="U159" s="181">
        <v>111.6</v>
      </c>
      <c r="V159" s="182">
        <v>111.6</v>
      </c>
      <c r="W159" s="180">
        <v>111.6</v>
      </c>
      <c r="X159" s="181">
        <v>111.6</v>
      </c>
      <c r="Y159" s="182">
        <v>111.6</v>
      </c>
      <c r="Z159" s="180">
        <v>111.6</v>
      </c>
      <c r="AA159" s="181">
        <v>111.6</v>
      </c>
      <c r="AB159" s="182">
        <v>111.6</v>
      </c>
      <c r="AC159" s="180">
        <v>111.6</v>
      </c>
      <c r="AD159" s="181">
        <v>111.6</v>
      </c>
      <c r="AE159" s="182">
        <v>111.6</v>
      </c>
      <c r="AF159" s="180">
        <v>111.6</v>
      </c>
      <c r="AG159" s="181">
        <v>111.6</v>
      </c>
      <c r="AH159" s="182">
        <v>111.6</v>
      </c>
      <c r="AI159" s="168" t="s">
        <v>3466</v>
      </c>
      <c r="AJ159" s="169" t="s">
        <v>2485</v>
      </c>
      <c r="AK159" s="170" t="s">
        <v>2486</v>
      </c>
      <c r="AL159" s="169" t="s">
        <v>17</v>
      </c>
      <c r="AM159" s="183">
        <v>1322</v>
      </c>
    </row>
    <row r="160" spans="1:39" s="2" customFormat="1">
      <c r="A160" s="179" t="s">
        <v>309</v>
      </c>
      <c r="B160" s="238" t="s">
        <v>163</v>
      </c>
      <c r="C160" s="164" t="s">
        <v>721</v>
      </c>
      <c r="D160" s="236" t="s">
        <v>723</v>
      </c>
      <c r="E160" s="180">
        <v>200</v>
      </c>
      <c r="F160" s="181">
        <v>200</v>
      </c>
      <c r="G160" s="182">
        <v>200</v>
      </c>
      <c r="H160" s="180">
        <v>200</v>
      </c>
      <c r="I160" s="181">
        <v>200</v>
      </c>
      <c r="J160" s="182">
        <v>200</v>
      </c>
      <c r="K160" s="180">
        <v>200</v>
      </c>
      <c r="L160" s="181">
        <v>200</v>
      </c>
      <c r="M160" s="182">
        <v>200</v>
      </c>
      <c r="N160" s="180">
        <v>200</v>
      </c>
      <c r="O160" s="181">
        <v>200</v>
      </c>
      <c r="P160" s="182">
        <v>200</v>
      </c>
      <c r="Q160" s="180">
        <v>200</v>
      </c>
      <c r="R160" s="181">
        <v>200</v>
      </c>
      <c r="S160" s="182">
        <v>200</v>
      </c>
      <c r="T160" s="180">
        <v>200</v>
      </c>
      <c r="U160" s="181">
        <v>200</v>
      </c>
      <c r="V160" s="182">
        <v>200</v>
      </c>
      <c r="W160" s="180">
        <v>200</v>
      </c>
      <c r="X160" s="181">
        <v>200</v>
      </c>
      <c r="Y160" s="182">
        <v>200</v>
      </c>
      <c r="Z160" s="180">
        <v>200</v>
      </c>
      <c r="AA160" s="181">
        <v>200</v>
      </c>
      <c r="AB160" s="182">
        <v>200</v>
      </c>
      <c r="AC160" s="180">
        <v>200</v>
      </c>
      <c r="AD160" s="181">
        <v>200</v>
      </c>
      <c r="AE160" s="182">
        <v>200</v>
      </c>
      <c r="AF160" s="180">
        <v>200</v>
      </c>
      <c r="AG160" s="181">
        <v>200</v>
      </c>
      <c r="AH160" s="182">
        <v>200</v>
      </c>
      <c r="AI160" s="168" t="s">
        <v>722</v>
      </c>
      <c r="AJ160" s="169" t="s">
        <v>2466</v>
      </c>
      <c r="AK160" s="170" t="s">
        <v>2467</v>
      </c>
      <c r="AL160" s="169" t="s">
        <v>20</v>
      </c>
      <c r="AM160" s="183">
        <v>2170</v>
      </c>
    </row>
    <row r="161" spans="1:39" s="2" customFormat="1">
      <c r="A161" s="179" t="s">
        <v>7</v>
      </c>
      <c r="B161" s="238" t="s">
        <v>163</v>
      </c>
      <c r="C161" s="164" t="s">
        <v>2127</v>
      </c>
      <c r="D161" s="236" t="s">
        <v>3501</v>
      </c>
      <c r="E161" s="180">
        <v>10</v>
      </c>
      <c r="F161" s="181">
        <v>10</v>
      </c>
      <c r="G161" s="182">
        <v>10</v>
      </c>
      <c r="H161" s="180">
        <v>10</v>
      </c>
      <c r="I161" s="181">
        <v>10</v>
      </c>
      <c r="J161" s="182">
        <v>10</v>
      </c>
      <c r="K161" s="180">
        <v>10</v>
      </c>
      <c r="L161" s="181">
        <v>10</v>
      </c>
      <c r="M161" s="182">
        <v>10</v>
      </c>
      <c r="N161" s="180">
        <v>10</v>
      </c>
      <c r="O161" s="181">
        <v>10</v>
      </c>
      <c r="P161" s="182">
        <v>10</v>
      </c>
      <c r="Q161" s="180">
        <v>10</v>
      </c>
      <c r="R161" s="181">
        <v>10</v>
      </c>
      <c r="S161" s="182">
        <v>10</v>
      </c>
      <c r="T161" s="180">
        <v>10</v>
      </c>
      <c r="U161" s="181">
        <v>10</v>
      </c>
      <c r="V161" s="182">
        <v>10</v>
      </c>
      <c r="W161" s="180">
        <v>10</v>
      </c>
      <c r="X161" s="181">
        <v>10</v>
      </c>
      <c r="Y161" s="182">
        <v>10</v>
      </c>
      <c r="Z161" s="180">
        <v>10</v>
      </c>
      <c r="AA161" s="181">
        <v>10</v>
      </c>
      <c r="AB161" s="182">
        <v>10</v>
      </c>
      <c r="AC161" s="180">
        <v>10</v>
      </c>
      <c r="AD161" s="181">
        <v>10</v>
      </c>
      <c r="AE161" s="182">
        <v>10</v>
      </c>
      <c r="AF161" s="180">
        <v>10</v>
      </c>
      <c r="AG161" s="181">
        <v>10</v>
      </c>
      <c r="AH161" s="182">
        <v>10</v>
      </c>
      <c r="AI161" s="168" t="s">
        <v>3500</v>
      </c>
      <c r="AJ161" s="169" t="s">
        <v>2476</v>
      </c>
      <c r="AK161" s="170" t="s">
        <v>2477</v>
      </c>
      <c r="AL161" s="169" t="s">
        <v>2479</v>
      </c>
      <c r="AM161" s="183">
        <v>1432</v>
      </c>
    </row>
    <row r="162" spans="1:39" s="2" customFormat="1">
      <c r="A162" s="179" t="s">
        <v>7</v>
      </c>
      <c r="B162" s="238" t="s">
        <v>163</v>
      </c>
      <c r="C162" s="164" t="s">
        <v>2310</v>
      </c>
      <c r="D162" s="236" t="s">
        <v>3502</v>
      </c>
      <c r="E162" s="180">
        <v>165.5</v>
      </c>
      <c r="F162" s="181">
        <v>165.5</v>
      </c>
      <c r="G162" s="182">
        <v>165.5</v>
      </c>
      <c r="H162" s="180">
        <v>165.5</v>
      </c>
      <c r="I162" s="181">
        <v>165.5</v>
      </c>
      <c r="J162" s="182">
        <v>165.5</v>
      </c>
      <c r="K162" s="180">
        <v>165.5</v>
      </c>
      <c r="L162" s="181">
        <v>165.5</v>
      </c>
      <c r="M162" s="182">
        <v>165.5</v>
      </c>
      <c r="N162" s="180">
        <v>165.5</v>
      </c>
      <c r="O162" s="181">
        <v>165.5</v>
      </c>
      <c r="P162" s="182">
        <v>165.5</v>
      </c>
      <c r="Q162" s="180">
        <v>165.5</v>
      </c>
      <c r="R162" s="181">
        <v>165.5</v>
      </c>
      <c r="S162" s="182">
        <v>165.5</v>
      </c>
      <c r="T162" s="180">
        <v>165.5</v>
      </c>
      <c r="U162" s="181">
        <v>165.5</v>
      </c>
      <c r="V162" s="182">
        <v>165.5</v>
      </c>
      <c r="W162" s="180">
        <v>165.5</v>
      </c>
      <c r="X162" s="181">
        <v>165.5</v>
      </c>
      <c r="Y162" s="182">
        <v>165.5</v>
      </c>
      <c r="Z162" s="180">
        <v>165.5</v>
      </c>
      <c r="AA162" s="181">
        <v>165.5</v>
      </c>
      <c r="AB162" s="182">
        <v>165.5</v>
      </c>
      <c r="AC162" s="180">
        <v>165.5</v>
      </c>
      <c r="AD162" s="181">
        <v>165.5</v>
      </c>
      <c r="AE162" s="182">
        <v>165.5</v>
      </c>
      <c r="AF162" s="180">
        <v>165.5</v>
      </c>
      <c r="AG162" s="181">
        <v>165.5</v>
      </c>
      <c r="AH162" s="182">
        <v>165.5</v>
      </c>
      <c r="AI162" s="168" t="s">
        <v>3500</v>
      </c>
      <c r="AJ162" s="169" t="s">
        <v>2485</v>
      </c>
      <c r="AK162" s="170" t="s">
        <v>2486</v>
      </c>
      <c r="AL162" s="169" t="s">
        <v>17</v>
      </c>
      <c r="AM162" s="183">
        <v>1422</v>
      </c>
    </row>
    <row r="163" spans="1:39" s="2" customFormat="1" ht="20.6">
      <c r="A163" s="179" t="s">
        <v>7</v>
      </c>
      <c r="B163" s="238" t="s">
        <v>163</v>
      </c>
      <c r="C163" s="164" t="s">
        <v>1371</v>
      </c>
      <c r="D163" s="236" t="s">
        <v>1373</v>
      </c>
      <c r="E163" s="180">
        <v>110.67</v>
      </c>
      <c r="F163" s="181">
        <v>110.67</v>
      </c>
      <c r="G163" s="182">
        <v>105.4</v>
      </c>
      <c r="H163" s="180">
        <v>110.67</v>
      </c>
      <c r="I163" s="181">
        <v>110.67</v>
      </c>
      <c r="J163" s="182">
        <v>105.4</v>
      </c>
      <c r="K163" s="180">
        <v>110.67</v>
      </c>
      <c r="L163" s="181">
        <v>110.67</v>
      </c>
      <c r="M163" s="182">
        <v>105.4</v>
      </c>
      <c r="N163" s="180">
        <v>110.67</v>
      </c>
      <c r="O163" s="181">
        <v>110.67</v>
      </c>
      <c r="P163" s="182">
        <v>105.4</v>
      </c>
      <c r="Q163" s="180">
        <v>110.67</v>
      </c>
      <c r="R163" s="181">
        <v>110.67</v>
      </c>
      <c r="S163" s="182">
        <v>105.4</v>
      </c>
      <c r="T163" s="180">
        <v>110.67</v>
      </c>
      <c r="U163" s="181">
        <v>110.67</v>
      </c>
      <c r="V163" s="182">
        <v>105.4</v>
      </c>
      <c r="W163" s="180">
        <v>110.67</v>
      </c>
      <c r="X163" s="181">
        <v>110.67</v>
      </c>
      <c r="Y163" s="182">
        <v>105.4</v>
      </c>
      <c r="Z163" s="180">
        <v>110.67</v>
      </c>
      <c r="AA163" s="181">
        <v>110.67</v>
      </c>
      <c r="AB163" s="182">
        <v>105.4</v>
      </c>
      <c r="AC163" s="180">
        <v>110.67</v>
      </c>
      <c r="AD163" s="181">
        <v>110.67</v>
      </c>
      <c r="AE163" s="182">
        <v>105.4</v>
      </c>
      <c r="AF163" s="180">
        <v>110.67</v>
      </c>
      <c r="AG163" s="181">
        <v>110.67</v>
      </c>
      <c r="AH163" s="182">
        <v>105.4</v>
      </c>
      <c r="AI163" s="168" t="s">
        <v>1372</v>
      </c>
      <c r="AJ163" s="169" t="s">
        <v>2485</v>
      </c>
      <c r="AK163" s="170" t="s">
        <v>2486</v>
      </c>
      <c r="AL163" s="169" t="s">
        <v>17</v>
      </c>
      <c r="AM163" s="183">
        <v>1588</v>
      </c>
    </row>
    <row r="164" spans="1:39" s="2" customFormat="1">
      <c r="A164" s="179" t="s">
        <v>7</v>
      </c>
      <c r="B164" s="238" t="s">
        <v>163</v>
      </c>
      <c r="C164" s="164" t="s">
        <v>1638</v>
      </c>
      <c r="D164" s="236" t="s">
        <v>3512</v>
      </c>
      <c r="E164" s="180">
        <v>110</v>
      </c>
      <c r="F164" s="181">
        <v>110</v>
      </c>
      <c r="G164" s="182">
        <v>110</v>
      </c>
      <c r="H164" s="180">
        <v>110</v>
      </c>
      <c r="I164" s="181">
        <v>110</v>
      </c>
      <c r="J164" s="182">
        <v>110</v>
      </c>
      <c r="K164" s="180">
        <v>110</v>
      </c>
      <c r="L164" s="181">
        <v>110</v>
      </c>
      <c r="M164" s="182">
        <v>110</v>
      </c>
      <c r="N164" s="180">
        <v>110</v>
      </c>
      <c r="O164" s="181">
        <v>110</v>
      </c>
      <c r="P164" s="182">
        <v>110</v>
      </c>
      <c r="Q164" s="180">
        <v>110</v>
      </c>
      <c r="R164" s="181">
        <v>110</v>
      </c>
      <c r="S164" s="182">
        <v>110</v>
      </c>
      <c r="T164" s="180">
        <v>110</v>
      </c>
      <c r="U164" s="181">
        <v>110</v>
      </c>
      <c r="V164" s="182">
        <v>110</v>
      </c>
      <c r="W164" s="180">
        <v>110</v>
      </c>
      <c r="X164" s="181">
        <v>110</v>
      </c>
      <c r="Y164" s="182">
        <v>110</v>
      </c>
      <c r="Z164" s="180">
        <v>110</v>
      </c>
      <c r="AA164" s="181">
        <v>110</v>
      </c>
      <c r="AB164" s="182">
        <v>110</v>
      </c>
      <c r="AC164" s="180">
        <v>110</v>
      </c>
      <c r="AD164" s="181">
        <v>110</v>
      </c>
      <c r="AE164" s="182">
        <v>110</v>
      </c>
      <c r="AF164" s="180">
        <v>110</v>
      </c>
      <c r="AG164" s="181">
        <v>110</v>
      </c>
      <c r="AH164" s="182">
        <v>110</v>
      </c>
      <c r="AI164" s="168" t="s">
        <v>3511</v>
      </c>
      <c r="AJ164" s="169" t="s">
        <v>2491</v>
      </c>
      <c r="AK164" s="170" t="s">
        <v>2477</v>
      </c>
      <c r="AL164" s="169" t="s">
        <v>2479</v>
      </c>
      <c r="AM164" s="183">
        <v>1585</v>
      </c>
    </row>
    <row r="165" spans="1:39" s="2" customFormat="1">
      <c r="A165" s="179" t="s">
        <v>7</v>
      </c>
      <c r="B165" s="238" t="s">
        <v>163</v>
      </c>
      <c r="C165" s="164" t="s">
        <v>3518</v>
      </c>
      <c r="D165" s="236" t="s">
        <v>3520</v>
      </c>
      <c r="E165" s="180">
        <v>46.5</v>
      </c>
      <c r="F165" s="181">
        <v>46.5</v>
      </c>
      <c r="G165" s="182">
        <v>0</v>
      </c>
      <c r="H165" s="180">
        <v>46.5</v>
      </c>
      <c r="I165" s="181">
        <v>46.5</v>
      </c>
      <c r="J165" s="182">
        <v>0</v>
      </c>
      <c r="K165" s="180">
        <v>46.5</v>
      </c>
      <c r="L165" s="181">
        <v>46.5</v>
      </c>
      <c r="M165" s="182">
        <v>0</v>
      </c>
      <c r="N165" s="180">
        <v>46.5</v>
      </c>
      <c r="O165" s="181">
        <v>46.5</v>
      </c>
      <c r="P165" s="182">
        <v>0</v>
      </c>
      <c r="Q165" s="180">
        <v>46.5</v>
      </c>
      <c r="R165" s="181">
        <v>46.5</v>
      </c>
      <c r="S165" s="182">
        <v>0</v>
      </c>
      <c r="T165" s="180">
        <v>46.5</v>
      </c>
      <c r="U165" s="181">
        <v>46.5</v>
      </c>
      <c r="V165" s="182">
        <v>0</v>
      </c>
      <c r="W165" s="180">
        <v>46.5</v>
      </c>
      <c r="X165" s="181">
        <v>46.5</v>
      </c>
      <c r="Y165" s="182">
        <v>0</v>
      </c>
      <c r="Z165" s="180">
        <v>46.5</v>
      </c>
      <c r="AA165" s="181">
        <v>46.5</v>
      </c>
      <c r="AB165" s="182">
        <v>0</v>
      </c>
      <c r="AC165" s="180">
        <v>46.5</v>
      </c>
      <c r="AD165" s="181">
        <v>46.5</v>
      </c>
      <c r="AE165" s="182">
        <v>0</v>
      </c>
      <c r="AF165" s="180">
        <v>46.5</v>
      </c>
      <c r="AG165" s="181">
        <v>46.5</v>
      </c>
      <c r="AH165" s="182">
        <v>0</v>
      </c>
      <c r="AI165" s="168" t="s">
        <v>3519</v>
      </c>
      <c r="AJ165" s="169" t="s">
        <v>2485</v>
      </c>
      <c r="AK165" s="170" t="s">
        <v>2486</v>
      </c>
      <c r="AL165" s="169" t="s">
        <v>17</v>
      </c>
      <c r="AM165" s="183">
        <v>1082</v>
      </c>
    </row>
    <row r="166" spans="1:39" s="2" customFormat="1" ht="30.9">
      <c r="A166" s="179" t="s">
        <v>309</v>
      </c>
      <c r="B166" s="238" t="s">
        <v>2463</v>
      </c>
      <c r="C166" s="164" t="s">
        <v>369</v>
      </c>
      <c r="D166" s="236" t="s">
        <v>5182</v>
      </c>
      <c r="E166" s="180">
        <v>0</v>
      </c>
      <c r="F166" s="181">
        <v>0</v>
      </c>
      <c r="G166" s="182">
        <v>0</v>
      </c>
      <c r="H166" s="180">
        <v>94</v>
      </c>
      <c r="I166" s="181">
        <v>94</v>
      </c>
      <c r="J166" s="182">
        <v>94</v>
      </c>
      <c r="K166" s="180">
        <v>94</v>
      </c>
      <c r="L166" s="181">
        <v>94</v>
      </c>
      <c r="M166" s="182">
        <v>94</v>
      </c>
      <c r="N166" s="180">
        <v>94</v>
      </c>
      <c r="O166" s="181">
        <v>94</v>
      </c>
      <c r="P166" s="182">
        <v>94</v>
      </c>
      <c r="Q166" s="180">
        <v>94</v>
      </c>
      <c r="R166" s="181">
        <v>94</v>
      </c>
      <c r="S166" s="182">
        <v>94</v>
      </c>
      <c r="T166" s="180">
        <v>94</v>
      </c>
      <c r="U166" s="181">
        <v>94</v>
      </c>
      <c r="V166" s="182">
        <v>94</v>
      </c>
      <c r="W166" s="180">
        <v>94</v>
      </c>
      <c r="X166" s="181">
        <v>94</v>
      </c>
      <c r="Y166" s="182">
        <v>94</v>
      </c>
      <c r="Z166" s="180">
        <v>94</v>
      </c>
      <c r="AA166" s="181">
        <v>94</v>
      </c>
      <c r="AB166" s="182">
        <v>94</v>
      </c>
      <c r="AC166" s="180">
        <v>94</v>
      </c>
      <c r="AD166" s="181">
        <v>94</v>
      </c>
      <c r="AE166" s="182">
        <v>94</v>
      </c>
      <c r="AF166" s="180">
        <v>94</v>
      </c>
      <c r="AG166" s="181">
        <v>94</v>
      </c>
      <c r="AH166" s="182">
        <v>94</v>
      </c>
      <c r="AI166" s="168" t="s">
        <v>370</v>
      </c>
      <c r="AJ166" s="169" t="s">
        <v>2491</v>
      </c>
      <c r="AK166" s="170" t="s">
        <v>2477</v>
      </c>
      <c r="AL166" s="169" t="s">
        <v>2479</v>
      </c>
      <c r="AM166" s="183">
        <v>2422</v>
      </c>
    </row>
    <row r="167" spans="1:39" s="2" customFormat="1">
      <c r="A167" s="179" t="s">
        <v>7</v>
      </c>
      <c r="B167" s="238" t="s">
        <v>163</v>
      </c>
      <c r="C167" s="164" t="s">
        <v>3525</v>
      </c>
      <c r="D167" s="236" t="s">
        <v>3526</v>
      </c>
      <c r="E167" s="180">
        <v>68</v>
      </c>
      <c r="F167" s="181">
        <v>68</v>
      </c>
      <c r="G167" s="182">
        <v>68</v>
      </c>
      <c r="H167" s="180">
        <v>68</v>
      </c>
      <c r="I167" s="181">
        <v>68</v>
      </c>
      <c r="J167" s="182">
        <v>68</v>
      </c>
      <c r="K167" s="180">
        <v>68</v>
      </c>
      <c r="L167" s="181">
        <v>68</v>
      </c>
      <c r="M167" s="182">
        <v>68</v>
      </c>
      <c r="N167" s="180">
        <v>68</v>
      </c>
      <c r="O167" s="181">
        <v>68</v>
      </c>
      <c r="P167" s="182">
        <v>68</v>
      </c>
      <c r="Q167" s="180">
        <v>68</v>
      </c>
      <c r="R167" s="181">
        <v>68</v>
      </c>
      <c r="S167" s="182">
        <v>68</v>
      </c>
      <c r="T167" s="180">
        <v>68</v>
      </c>
      <c r="U167" s="181">
        <v>68</v>
      </c>
      <c r="V167" s="182">
        <v>68</v>
      </c>
      <c r="W167" s="180">
        <v>68</v>
      </c>
      <c r="X167" s="181">
        <v>68</v>
      </c>
      <c r="Y167" s="182">
        <v>68</v>
      </c>
      <c r="Z167" s="180">
        <v>68</v>
      </c>
      <c r="AA167" s="181">
        <v>68</v>
      </c>
      <c r="AB167" s="182">
        <v>68</v>
      </c>
      <c r="AC167" s="180">
        <v>68</v>
      </c>
      <c r="AD167" s="181">
        <v>68</v>
      </c>
      <c r="AE167" s="182">
        <v>68</v>
      </c>
      <c r="AF167" s="180">
        <v>68</v>
      </c>
      <c r="AG167" s="181">
        <v>68</v>
      </c>
      <c r="AH167" s="182">
        <v>68</v>
      </c>
      <c r="AI167" s="168" t="s">
        <v>218</v>
      </c>
      <c r="AJ167" s="169" t="s">
        <v>2593</v>
      </c>
      <c r="AK167" s="170" t="s">
        <v>2482</v>
      </c>
      <c r="AL167" s="169" t="s">
        <v>18</v>
      </c>
      <c r="AM167" s="183">
        <v>1083</v>
      </c>
    </row>
    <row r="168" spans="1:39" s="2" customFormat="1">
      <c r="A168" s="179" t="s">
        <v>380</v>
      </c>
      <c r="B168" s="238" t="s">
        <v>163</v>
      </c>
      <c r="C168" s="164" t="s">
        <v>2416</v>
      </c>
      <c r="D168" s="236" t="s">
        <v>3532</v>
      </c>
      <c r="E168" s="180">
        <v>131.98500000000001</v>
      </c>
      <c r="F168" s="181">
        <v>131.98500000000001</v>
      </c>
      <c r="G168" s="182">
        <v>88.2</v>
      </c>
      <c r="H168" s="180">
        <v>131.98500000000001</v>
      </c>
      <c r="I168" s="181">
        <v>131.98500000000001</v>
      </c>
      <c r="J168" s="182">
        <v>88.2</v>
      </c>
      <c r="K168" s="180">
        <v>131.98500000000001</v>
      </c>
      <c r="L168" s="181">
        <v>131.98500000000001</v>
      </c>
      <c r="M168" s="182">
        <v>88.2</v>
      </c>
      <c r="N168" s="180">
        <v>131.98500000000001</v>
      </c>
      <c r="O168" s="181">
        <v>131.98500000000001</v>
      </c>
      <c r="P168" s="182">
        <v>88.2</v>
      </c>
      <c r="Q168" s="180">
        <v>131.98500000000001</v>
      </c>
      <c r="R168" s="181">
        <v>131.98500000000001</v>
      </c>
      <c r="S168" s="182">
        <v>88.2</v>
      </c>
      <c r="T168" s="180">
        <v>131.98500000000001</v>
      </c>
      <c r="U168" s="181">
        <v>131.98500000000001</v>
      </c>
      <c r="V168" s="182">
        <v>88.2</v>
      </c>
      <c r="W168" s="180">
        <v>131.98500000000001</v>
      </c>
      <c r="X168" s="181">
        <v>131.98500000000001</v>
      </c>
      <c r="Y168" s="182">
        <v>88.2</v>
      </c>
      <c r="Z168" s="180">
        <v>131.98500000000001</v>
      </c>
      <c r="AA168" s="181">
        <v>131.98500000000001</v>
      </c>
      <c r="AB168" s="182">
        <v>88.2</v>
      </c>
      <c r="AC168" s="180">
        <v>131.98500000000001</v>
      </c>
      <c r="AD168" s="181">
        <v>131.98500000000001</v>
      </c>
      <c r="AE168" s="182">
        <v>88.2</v>
      </c>
      <c r="AF168" s="180">
        <v>131.98500000000001</v>
      </c>
      <c r="AG168" s="181">
        <v>131.98500000000001</v>
      </c>
      <c r="AH168" s="182">
        <v>88.2</v>
      </c>
      <c r="AI168" s="168" t="s">
        <v>3531</v>
      </c>
      <c r="AJ168" s="169" t="s">
        <v>2485</v>
      </c>
      <c r="AK168" s="170" t="s">
        <v>2486</v>
      </c>
      <c r="AL168" s="169" t="s">
        <v>17</v>
      </c>
      <c r="AM168" s="183">
        <v>1311</v>
      </c>
    </row>
    <row r="169" spans="1:39" s="2" customFormat="1">
      <c r="A169" s="179" t="s">
        <v>380</v>
      </c>
      <c r="B169" s="238" t="s">
        <v>163</v>
      </c>
      <c r="C169" s="164" t="s">
        <v>3533</v>
      </c>
      <c r="D169" s="236" t="s">
        <v>3535</v>
      </c>
      <c r="E169" s="180">
        <v>52.5</v>
      </c>
      <c r="F169" s="181">
        <v>52.5</v>
      </c>
      <c r="G169" s="182">
        <v>35</v>
      </c>
      <c r="H169" s="180">
        <v>52.5</v>
      </c>
      <c r="I169" s="181">
        <v>52.5</v>
      </c>
      <c r="J169" s="182">
        <v>35</v>
      </c>
      <c r="K169" s="180">
        <v>52.5</v>
      </c>
      <c r="L169" s="181">
        <v>52.5</v>
      </c>
      <c r="M169" s="182">
        <v>35</v>
      </c>
      <c r="N169" s="180">
        <v>52.5</v>
      </c>
      <c r="O169" s="181">
        <v>52.5</v>
      </c>
      <c r="P169" s="182">
        <v>35</v>
      </c>
      <c r="Q169" s="180">
        <v>52.5</v>
      </c>
      <c r="R169" s="181">
        <v>52.5</v>
      </c>
      <c r="S169" s="182">
        <v>35</v>
      </c>
      <c r="T169" s="180">
        <v>52.5</v>
      </c>
      <c r="U169" s="181">
        <v>52.5</v>
      </c>
      <c r="V169" s="182">
        <v>35</v>
      </c>
      <c r="W169" s="180">
        <v>52.5</v>
      </c>
      <c r="X169" s="181">
        <v>52.5</v>
      </c>
      <c r="Y169" s="182">
        <v>35</v>
      </c>
      <c r="Z169" s="180">
        <v>52.5</v>
      </c>
      <c r="AA169" s="181">
        <v>52.5</v>
      </c>
      <c r="AB169" s="182">
        <v>35</v>
      </c>
      <c r="AC169" s="180">
        <v>52.5</v>
      </c>
      <c r="AD169" s="181">
        <v>52.5</v>
      </c>
      <c r="AE169" s="182">
        <v>35</v>
      </c>
      <c r="AF169" s="180">
        <v>52.5</v>
      </c>
      <c r="AG169" s="181">
        <v>52.5</v>
      </c>
      <c r="AH169" s="182">
        <v>35</v>
      </c>
      <c r="AI169" s="168" t="s">
        <v>3534</v>
      </c>
      <c r="AJ169" s="169" t="s">
        <v>2485</v>
      </c>
      <c r="AK169" s="170" t="s">
        <v>2486</v>
      </c>
      <c r="AL169" s="169" t="s">
        <v>17</v>
      </c>
      <c r="AM169" s="183">
        <v>1085</v>
      </c>
    </row>
    <row r="170" spans="1:39" s="2" customFormat="1">
      <c r="A170" s="179" t="s">
        <v>380</v>
      </c>
      <c r="B170" s="238" t="s">
        <v>163</v>
      </c>
      <c r="C170" s="164" t="s">
        <v>555</v>
      </c>
      <c r="D170" s="236" t="s">
        <v>557</v>
      </c>
      <c r="E170" s="180">
        <v>32.5</v>
      </c>
      <c r="F170" s="181">
        <v>30.5</v>
      </c>
      <c r="G170" s="182">
        <v>30</v>
      </c>
      <c r="H170" s="180">
        <v>32.5</v>
      </c>
      <c r="I170" s="181">
        <v>30.5</v>
      </c>
      <c r="J170" s="182">
        <v>30</v>
      </c>
      <c r="K170" s="180">
        <v>32.5</v>
      </c>
      <c r="L170" s="181">
        <v>30.5</v>
      </c>
      <c r="M170" s="182">
        <v>30</v>
      </c>
      <c r="N170" s="180">
        <v>32.5</v>
      </c>
      <c r="O170" s="181">
        <v>30.5</v>
      </c>
      <c r="P170" s="182">
        <v>30</v>
      </c>
      <c r="Q170" s="180">
        <v>32.5</v>
      </c>
      <c r="R170" s="181">
        <v>30.5</v>
      </c>
      <c r="S170" s="182">
        <v>30</v>
      </c>
      <c r="T170" s="180">
        <v>32.5</v>
      </c>
      <c r="U170" s="181">
        <v>30.5</v>
      </c>
      <c r="V170" s="182">
        <v>30</v>
      </c>
      <c r="W170" s="180">
        <v>32.5</v>
      </c>
      <c r="X170" s="181">
        <v>30.5</v>
      </c>
      <c r="Y170" s="182">
        <v>30</v>
      </c>
      <c r="Z170" s="180">
        <v>32.5</v>
      </c>
      <c r="AA170" s="181">
        <v>30.5</v>
      </c>
      <c r="AB170" s="182">
        <v>30</v>
      </c>
      <c r="AC170" s="180">
        <v>32.5</v>
      </c>
      <c r="AD170" s="181">
        <v>30.5</v>
      </c>
      <c r="AE170" s="182">
        <v>30</v>
      </c>
      <c r="AF170" s="180">
        <v>32.5</v>
      </c>
      <c r="AG170" s="181">
        <v>30.5</v>
      </c>
      <c r="AH170" s="182">
        <v>30</v>
      </c>
      <c r="AI170" s="168" t="s">
        <v>556</v>
      </c>
      <c r="AJ170" s="169" t="s">
        <v>2555</v>
      </c>
      <c r="AK170" s="170" t="s">
        <v>2556</v>
      </c>
      <c r="AL170" s="169" t="s">
        <v>14</v>
      </c>
      <c r="AM170" s="183">
        <v>1086</v>
      </c>
    </row>
    <row r="171" spans="1:39" s="2" customFormat="1">
      <c r="A171" s="179" t="s">
        <v>380</v>
      </c>
      <c r="B171" s="238" t="s">
        <v>163</v>
      </c>
      <c r="C171" s="164" t="s">
        <v>555</v>
      </c>
      <c r="D171" s="236" t="s">
        <v>557</v>
      </c>
      <c r="E171" s="180">
        <v>160.5</v>
      </c>
      <c r="F171" s="181">
        <v>172.5</v>
      </c>
      <c r="G171" s="182">
        <v>163</v>
      </c>
      <c r="H171" s="180">
        <v>183.5</v>
      </c>
      <c r="I171" s="181">
        <v>172.5</v>
      </c>
      <c r="J171" s="182">
        <v>163</v>
      </c>
      <c r="K171" s="180">
        <v>183.5</v>
      </c>
      <c r="L171" s="181">
        <v>172.5</v>
      </c>
      <c r="M171" s="182">
        <v>163</v>
      </c>
      <c r="N171" s="180">
        <v>183.5</v>
      </c>
      <c r="O171" s="181">
        <v>172.5</v>
      </c>
      <c r="P171" s="182">
        <v>163</v>
      </c>
      <c r="Q171" s="180">
        <v>183.5</v>
      </c>
      <c r="R171" s="181">
        <v>172.5</v>
      </c>
      <c r="S171" s="182">
        <v>163</v>
      </c>
      <c r="T171" s="180">
        <v>183.5</v>
      </c>
      <c r="U171" s="181">
        <v>172.5</v>
      </c>
      <c r="V171" s="182">
        <v>163</v>
      </c>
      <c r="W171" s="180">
        <v>183.5</v>
      </c>
      <c r="X171" s="181">
        <v>172.5</v>
      </c>
      <c r="Y171" s="182">
        <v>163</v>
      </c>
      <c r="Z171" s="180">
        <v>183.5</v>
      </c>
      <c r="AA171" s="181">
        <v>172.5</v>
      </c>
      <c r="AB171" s="182">
        <v>163</v>
      </c>
      <c r="AC171" s="180">
        <v>183.5</v>
      </c>
      <c r="AD171" s="181">
        <v>172.5</v>
      </c>
      <c r="AE171" s="182">
        <v>163</v>
      </c>
      <c r="AF171" s="180">
        <v>183.5</v>
      </c>
      <c r="AG171" s="181">
        <v>172.5</v>
      </c>
      <c r="AH171" s="182">
        <v>163</v>
      </c>
      <c r="AI171" s="168" t="s">
        <v>556</v>
      </c>
      <c r="AJ171" s="169" t="s">
        <v>2555</v>
      </c>
      <c r="AK171" s="170" t="s">
        <v>2556</v>
      </c>
      <c r="AL171" s="169" t="s">
        <v>14</v>
      </c>
      <c r="AM171" s="183">
        <v>1086</v>
      </c>
    </row>
    <row r="172" spans="1:39" s="2" customFormat="1">
      <c r="A172" s="179" t="s">
        <v>380</v>
      </c>
      <c r="B172" s="238" t="s">
        <v>163</v>
      </c>
      <c r="C172" s="164" t="s">
        <v>555</v>
      </c>
      <c r="D172" s="236" t="s">
        <v>557</v>
      </c>
      <c r="E172" s="180">
        <v>32</v>
      </c>
      <c r="F172" s="181">
        <v>31</v>
      </c>
      <c r="G172" s="182">
        <v>30</v>
      </c>
      <c r="H172" s="180">
        <v>32</v>
      </c>
      <c r="I172" s="181">
        <v>31</v>
      </c>
      <c r="J172" s="182">
        <v>30</v>
      </c>
      <c r="K172" s="180">
        <v>32</v>
      </c>
      <c r="L172" s="181">
        <v>31</v>
      </c>
      <c r="M172" s="182">
        <v>30</v>
      </c>
      <c r="N172" s="180">
        <v>32</v>
      </c>
      <c r="O172" s="181">
        <v>31</v>
      </c>
      <c r="P172" s="182">
        <v>30</v>
      </c>
      <c r="Q172" s="180">
        <v>32</v>
      </c>
      <c r="R172" s="181">
        <v>31</v>
      </c>
      <c r="S172" s="182">
        <v>30</v>
      </c>
      <c r="T172" s="180">
        <v>32</v>
      </c>
      <c r="U172" s="181">
        <v>31</v>
      </c>
      <c r="V172" s="182">
        <v>30</v>
      </c>
      <c r="W172" s="180">
        <v>32</v>
      </c>
      <c r="X172" s="181">
        <v>31</v>
      </c>
      <c r="Y172" s="182">
        <v>30</v>
      </c>
      <c r="Z172" s="180">
        <v>32</v>
      </c>
      <c r="AA172" s="181">
        <v>31</v>
      </c>
      <c r="AB172" s="182">
        <v>30</v>
      </c>
      <c r="AC172" s="180">
        <v>32</v>
      </c>
      <c r="AD172" s="181">
        <v>31</v>
      </c>
      <c r="AE172" s="182">
        <v>30</v>
      </c>
      <c r="AF172" s="180">
        <v>32</v>
      </c>
      <c r="AG172" s="181">
        <v>31</v>
      </c>
      <c r="AH172" s="182">
        <v>30</v>
      </c>
      <c r="AI172" s="168" t="s">
        <v>556</v>
      </c>
      <c r="AJ172" s="169" t="s">
        <v>2555</v>
      </c>
      <c r="AK172" s="170" t="s">
        <v>2556</v>
      </c>
      <c r="AL172" s="169" t="s">
        <v>14</v>
      </c>
      <c r="AM172" s="183">
        <v>1086</v>
      </c>
    </row>
    <row r="173" spans="1:39" s="2" customFormat="1">
      <c r="A173" s="179" t="s">
        <v>380</v>
      </c>
      <c r="B173" s="238" t="s">
        <v>163</v>
      </c>
      <c r="C173" s="164" t="s">
        <v>2418</v>
      </c>
      <c r="D173" s="236" t="s">
        <v>3538</v>
      </c>
      <c r="E173" s="180">
        <v>94.5</v>
      </c>
      <c r="F173" s="181">
        <v>94.5</v>
      </c>
      <c r="G173" s="182">
        <v>63</v>
      </c>
      <c r="H173" s="180">
        <v>94.5</v>
      </c>
      <c r="I173" s="181">
        <v>94.5</v>
      </c>
      <c r="J173" s="182">
        <v>63</v>
      </c>
      <c r="K173" s="180">
        <v>94.5</v>
      </c>
      <c r="L173" s="181">
        <v>94.5</v>
      </c>
      <c r="M173" s="182">
        <v>63</v>
      </c>
      <c r="N173" s="180">
        <v>94.5</v>
      </c>
      <c r="O173" s="181">
        <v>94.5</v>
      </c>
      <c r="P173" s="182">
        <v>63</v>
      </c>
      <c r="Q173" s="180">
        <v>94.5</v>
      </c>
      <c r="R173" s="181">
        <v>94.5</v>
      </c>
      <c r="S173" s="182">
        <v>63</v>
      </c>
      <c r="T173" s="180">
        <v>94.5</v>
      </c>
      <c r="U173" s="181">
        <v>94.5</v>
      </c>
      <c r="V173" s="182">
        <v>63</v>
      </c>
      <c r="W173" s="180">
        <v>94.5</v>
      </c>
      <c r="X173" s="181">
        <v>94.5</v>
      </c>
      <c r="Y173" s="182">
        <v>63</v>
      </c>
      <c r="Z173" s="180">
        <v>94.5</v>
      </c>
      <c r="AA173" s="181">
        <v>94.5</v>
      </c>
      <c r="AB173" s="182">
        <v>63</v>
      </c>
      <c r="AC173" s="180">
        <v>94.5</v>
      </c>
      <c r="AD173" s="181">
        <v>94.5</v>
      </c>
      <c r="AE173" s="182">
        <v>63</v>
      </c>
      <c r="AF173" s="180">
        <v>94.5</v>
      </c>
      <c r="AG173" s="181">
        <v>94.5</v>
      </c>
      <c r="AH173" s="182">
        <v>63</v>
      </c>
      <c r="AI173" s="168" t="s">
        <v>3537</v>
      </c>
      <c r="AJ173" s="169" t="s">
        <v>2485</v>
      </c>
      <c r="AK173" s="170" t="s">
        <v>2486</v>
      </c>
      <c r="AL173" s="169" t="s">
        <v>17</v>
      </c>
      <c r="AM173" s="183">
        <v>1087</v>
      </c>
    </row>
    <row r="174" spans="1:39" s="2" customFormat="1">
      <c r="A174" s="179" t="s">
        <v>380</v>
      </c>
      <c r="B174" s="238" t="s">
        <v>163</v>
      </c>
      <c r="C174" s="164" t="s">
        <v>3539</v>
      </c>
      <c r="D174" s="236" t="s">
        <v>3541</v>
      </c>
      <c r="E174" s="180">
        <v>71.400000000000006</v>
      </c>
      <c r="F174" s="181">
        <v>71.400000000000006</v>
      </c>
      <c r="G174" s="182">
        <v>47.6</v>
      </c>
      <c r="H174" s="180">
        <v>71.400000000000006</v>
      </c>
      <c r="I174" s="181">
        <v>71.400000000000006</v>
      </c>
      <c r="J174" s="182">
        <v>47.6</v>
      </c>
      <c r="K174" s="180">
        <v>71.400000000000006</v>
      </c>
      <c r="L174" s="181">
        <v>71.400000000000006</v>
      </c>
      <c r="M174" s="182">
        <v>47.6</v>
      </c>
      <c r="N174" s="180">
        <v>71.400000000000006</v>
      </c>
      <c r="O174" s="181">
        <v>71.400000000000006</v>
      </c>
      <c r="P174" s="182">
        <v>47.6</v>
      </c>
      <c r="Q174" s="180">
        <v>71.400000000000006</v>
      </c>
      <c r="R174" s="181">
        <v>71.400000000000006</v>
      </c>
      <c r="S174" s="182">
        <v>47.6</v>
      </c>
      <c r="T174" s="180">
        <v>71.400000000000006</v>
      </c>
      <c r="U174" s="181">
        <v>71.400000000000006</v>
      </c>
      <c r="V174" s="182">
        <v>47.6</v>
      </c>
      <c r="W174" s="180">
        <v>71.400000000000006</v>
      </c>
      <c r="X174" s="181">
        <v>71.400000000000006</v>
      </c>
      <c r="Y174" s="182">
        <v>47.6</v>
      </c>
      <c r="Z174" s="180">
        <v>71.400000000000006</v>
      </c>
      <c r="AA174" s="181">
        <v>71.400000000000006</v>
      </c>
      <c r="AB174" s="182">
        <v>47.6</v>
      </c>
      <c r="AC174" s="180">
        <v>71.400000000000006</v>
      </c>
      <c r="AD174" s="181">
        <v>71.400000000000006</v>
      </c>
      <c r="AE174" s="182">
        <v>47.6</v>
      </c>
      <c r="AF174" s="180">
        <v>71.400000000000006</v>
      </c>
      <c r="AG174" s="181">
        <v>71.400000000000006</v>
      </c>
      <c r="AH174" s="182">
        <v>47.6</v>
      </c>
      <c r="AI174" s="168" t="s">
        <v>3540</v>
      </c>
      <c r="AJ174" s="169" t="s">
        <v>2485</v>
      </c>
      <c r="AK174" s="170" t="s">
        <v>2486</v>
      </c>
      <c r="AL174" s="169" t="s">
        <v>17</v>
      </c>
      <c r="AM174" s="183">
        <v>1088</v>
      </c>
    </row>
    <row r="175" spans="1:39" s="2" customFormat="1">
      <c r="A175" s="179" t="s">
        <v>309</v>
      </c>
      <c r="B175" s="238" t="s">
        <v>163</v>
      </c>
      <c r="C175" s="164" t="s">
        <v>2000</v>
      </c>
      <c r="D175" s="236" t="s">
        <v>3558</v>
      </c>
      <c r="E175" s="180">
        <v>56.005000000000003</v>
      </c>
      <c r="F175" s="181">
        <v>54.901000000000003</v>
      </c>
      <c r="G175" s="182">
        <v>54.119</v>
      </c>
      <c r="H175" s="180">
        <v>56.005000000000003</v>
      </c>
      <c r="I175" s="181">
        <v>54.901000000000003</v>
      </c>
      <c r="J175" s="182">
        <v>54.119</v>
      </c>
      <c r="K175" s="180">
        <v>56.005000000000003</v>
      </c>
      <c r="L175" s="181">
        <v>54.901000000000003</v>
      </c>
      <c r="M175" s="182">
        <v>54.119</v>
      </c>
      <c r="N175" s="180">
        <v>56.005000000000003</v>
      </c>
      <c r="O175" s="181">
        <v>54.901000000000003</v>
      </c>
      <c r="P175" s="182">
        <v>54.119</v>
      </c>
      <c r="Q175" s="180">
        <v>56.005000000000003</v>
      </c>
      <c r="R175" s="181">
        <v>54.901000000000003</v>
      </c>
      <c r="S175" s="182">
        <v>54.119</v>
      </c>
      <c r="T175" s="180">
        <v>56.005000000000003</v>
      </c>
      <c r="U175" s="181">
        <v>54.901000000000003</v>
      </c>
      <c r="V175" s="182">
        <v>54.119</v>
      </c>
      <c r="W175" s="180">
        <v>56.005000000000003</v>
      </c>
      <c r="X175" s="181">
        <v>54.901000000000003</v>
      </c>
      <c r="Y175" s="182">
        <v>54.119</v>
      </c>
      <c r="Z175" s="180">
        <v>56.005000000000003</v>
      </c>
      <c r="AA175" s="181">
        <v>54.901000000000003</v>
      </c>
      <c r="AB175" s="182">
        <v>54.119</v>
      </c>
      <c r="AC175" s="180">
        <v>56.005000000000003</v>
      </c>
      <c r="AD175" s="181">
        <v>54.901000000000003</v>
      </c>
      <c r="AE175" s="182">
        <v>54.119</v>
      </c>
      <c r="AF175" s="180">
        <v>56.005000000000003</v>
      </c>
      <c r="AG175" s="181">
        <v>54.901000000000003</v>
      </c>
      <c r="AH175" s="182">
        <v>54.119</v>
      </c>
      <c r="AI175" s="168" t="s">
        <v>3557</v>
      </c>
      <c r="AJ175" s="169" t="s">
        <v>2491</v>
      </c>
      <c r="AK175" s="170" t="s">
        <v>2477</v>
      </c>
      <c r="AL175" s="169" t="s">
        <v>2479</v>
      </c>
      <c r="AM175" s="183">
        <v>1408</v>
      </c>
    </row>
    <row r="176" spans="1:39" s="2" customFormat="1">
      <c r="A176" s="179" t="s">
        <v>380</v>
      </c>
      <c r="B176" s="238" t="s">
        <v>163</v>
      </c>
      <c r="C176" s="164" t="s">
        <v>1475</v>
      </c>
      <c r="D176" s="236" t="s">
        <v>3562</v>
      </c>
      <c r="E176" s="180">
        <v>4.3</v>
      </c>
      <c r="F176" s="181">
        <v>4.3</v>
      </c>
      <c r="G176" s="182">
        <v>4</v>
      </c>
      <c r="H176" s="180">
        <v>4.3</v>
      </c>
      <c r="I176" s="181">
        <v>4.3</v>
      </c>
      <c r="J176" s="182">
        <v>4</v>
      </c>
      <c r="K176" s="180">
        <v>4.3</v>
      </c>
      <c r="L176" s="181">
        <v>4.3</v>
      </c>
      <c r="M176" s="182">
        <v>4</v>
      </c>
      <c r="N176" s="180">
        <v>4.3</v>
      </c>
      <c r="O176" s="181">
        <v>4.3</v>
      </c>
      <c r="P176" s="182">
        <v>4</v>
      </c>
      <c r="Q176" s="180">
        <v>4.3</v>
      </c>
      <c r="R176" s="181">
        <v>4.3</v>
      </c>
      <c r="S176" s="182">
        <v>4</v>
      </c>
      <c r="T176" s="180">
        <v>4.3</v>
      </c>
      <c r="U176" s="181">
        <v>4.3</v>
      </c>
      <c r="V176" s="182">
        <v>4</v>
      </c>
      <c r="W176" s="180">
        <v>4.3</v>
      </c>
      <c r="X176" s="181">
        <v>4.3</v>
      </c>
      <c r="Y176" s="182">
        <v>4</v>
      </c>
      <c r="Z176" s="180">
        <v>4.3</v>
      </c>
      <c r="AA176" s="181">
        <v>4.3</v>
      </c>
      <c r="AB176" s="182">
        <v>4</v>
      </c>
      <c r="AC176" s="180">
        <v>4.3</v>
      </c>
      <c r="AD176" s="181">
        <v>4.3</v>
      </c>
      <c r="AE176" s="182">
        <v>4</v>
      </c>
      <c r="AF176" s="180">
        <v>4.3</v>
      </c>
      <c r="AG176" s="181">
        <v>4.3</v>
      </c>
      <c r="AH176" s="182">
        <v>4</v>
      </c>
      <c r="AI176" s="168" t="s">
        <v>400</v>
      </c>
      <c r="AJ176" s="169" t="s">
        <v>2466</v>
      </c>
      <c r="AK176" s="170" t="s">
        <v>2467</v>
      </c>
      <c r="AL176" s="169" t="s">
        <v>20</v>
      </c>
      <c r="AM176" s="183">
        <v>1846</v>
      </c>
    </row>
    <row r="177" spans="1:39" s="2" customFormat="1">
      <c r="A177" s="179" t="s">
        <v>380</v>
      </c>
      <c r="B177" s="238" t="s">
        <v>163</v>
      </c>
      <c r="C177" s="164" t="s">
        <v>1475</v>
      </c>
      <c r="D177" s="236" t="s">
        <v>3563</v>
      </c>
      <c r="E177" s="180">
        <v>8.1999999999999993</v>
      </c>
      <c r="F177" s="181">
        <v>8</v>
      </c>
      <c r="G177" s="182">
        <v>7.8</v>
      </c>
      <c r="H177" s="180">
        <v>8.1999999999999993</v>
      </c>
      <c r="I177" s="181">
        <v>8</v>
      </c>
      <c r="J177" s="182">
        <v>7.8</v>
      </c>
      <c r="K177" s="180">
        <v>8.1999999999999993</v>
      </c>
      <c r="L177" s="181">
        <v>8</v>
      </c>
      <c r="M177" s="182">
        <v>7.8</v>
      </c>
      <c r="N177" s="180">
        <v>8.1999999999999993</v>
      </c>
      <c r="O177" s="181">
        <v>8</v>
      </c>
      <c r="P177" s="182">
        <v>7.8</v>
      </c>
      <c r="Q177" s="180">
        <v>8.1999999999999993</v>
      </c>
      <c r="R177" s="181">
        <v>8</v>
      </c>
      <c r="S177" s="182">
        <v>7.8</v>
      </c>
      <c r="T177" s="180">
        <v>8.1999999999999993</v>
      </c>
      <c r="U177" s="181">
        <v>8</v>
      </c>
      <c r="V177" s="182">
        <v>7.8</v>
      </c>
      <c r="W177" s="180">
        <v>8.1999999999999993</v>
      </c>
      <c r="X177" s="181">
        <v>8</v>
      </c>
      <c r="Y177" s="182">
        <v>7.8</v>
      </c>
      <c r="Z177" s="180">
        <v>8.1999999999999993</v>
      </c>
      <c r="AA177" s="181">
        <v>8</v>
      </c>
      <c r="AB177" s="182">
        <v>7.8</v>
      </c>
      <c r="AC177" s="180">
        <v>8.1999999999999993</v>
      </c>
      <c r="AD177" s="181">
        <v>8</v>
      </c>
      <c r="AE177" s="182">
        <v>7.8</v>
      </c>
      <c r="AF177" s="180">
        <v>8.1999999999999993</v>
      </c>
      <c r="AG177" s="181">
        <v>8</v>
      </c>
      <c r="AH177" s="182">
        <v>7.8</v>
      </c>
      <c r="AI177" s="168" t="s">
        <v>400</v>
      </c>
      <c r="AJ177" s="169" t="s">
        <v>2491</v>
      </c>
      <c r="AK177" s="170" t="s">
        <v>2477</v>
      </c>
      <c r="AL177" s="169" t="s">
        <v>2479</v>
      </c>
      <c r="AM177" s="183">
        <v>1846</v>
      </c>
    </row>
    <row r="178" spans="1:39" s="2" customFormat="1">
      <c r="A178" s="179" t="s">
        <v>309</v>
      </c>
      <c r="B178" s="238" t="s">
        <v>163</v>
      </c>
      <c r="C178" s="164" t="s">
        <v>1769</v>
      </c>
      <c r="D178" s="236" t="s">
        <v>1771</v>
      </c>
      <c r="E178" s="180">
        <v>100.035</v>
      </c>
      <c r="F178" s="181">
        <v>100.035</v>
      </c>
      <c r="G178" s="182">
        <v>100.035</v>
      </c>
      <c r="H178" s="180">
        <v>100.035</v>
      </c>
      <c r="I178" s="181">
        <v>100.035</v>
      </c>
      <c r="J178" s="182">
        <v>100.035</v>
      </c>
      <c r="K178" s="180">
        <v>100.035</v>
      </c>
      <c r="L178" s="181">
        <v>100.035</v>
      </c>
      <c r="M178" s="182">
        <v>100.035</v>
      </c>
      <c r="N178" s="180">
        <v>100.035</v>
      </c>
      <c r="O178" s="181">
        <v>100.035</v>
      </c>
      <c r="P178" s="182">
        <v>100.035</v>
      </c>
      <c r="Q178" s="180">
        <v>100.035</v>
      </c>
      <c r="R178" s="181">
        <v>100.035</v>
      </c>
      <c r="S178" s="182">
        <v>100.035</v>
      </c>
      <c r="T178" s="180">
        <v>100.035</v>
      </c>
      <c r="U178" s="181">
        <v>100.035</v>
      </c>
      <c r="V178" s="182">
        <v>100.035</v>
      </c>
      <c r="W178" s="180">
        <v>100.035</v>
      </c>
      <c r="X178" s="181">
        <v>100.035</v>
      </c>
      <c r="Y178" s="182">
        <v>100.035</v>
      </c>
      <c r="Z178" s="180">
        <v>100.035</v>
      </c>
      <c r="AA178" s="181">
        <v>100.035</v>
      </c>
      <c r="AB178" s="182">
        <v>100.035</v>
      </c>
      <c r="AC178" s="180">
        <v>100.035</v>
      </c>
      <c r="AD178" s="181">
        <v>100.035</v>
      </c>
      <c r="AE178" s="182">
        <v>100.035</v>
      </c>
      <c r="AF178" s="180">
        <v>100.035</v>
      </c>
      <c r="AG178" s="181">
        <v>100.035</v>
      </c>
      <c r="AH178" s="182">
        <v>100.035</v>
      </c>
      <c r="AI178" s="168" t="s">
        <v>1770</v>
      </c>
      <c r="AJ178" s="169" t="s">
        <v>2491</v>
      </c>
      <c r="AK178" s="170" t="s">
        <v>2477</v>
      </c>
      <c r="AL178" s="169" t="s">
        <v>2479</v>
      </c>
      <c r="AM178" s="183">
        <v>1564</v>
      </c>
    </row>
    <row r="179" spans="1:39" s="2" customFormat="1" ht="20.6">
      <c r="A179" s="179" t="s">
        <v>423</v>
      </c>
      <c r="B179" s="238" t="s">
        <v>163</v>
      </c>
      <c r="C179" s="164" t="s">
        <v>886</v>
      </c>
      <c r="D179" s="236" t="s">
        <v>888</v>
      </c>
      <c r="E179" s="180">
        <v>89.492999999999995</v>
      </c>
      <c r="F179" s="181">
        <v>89.492999999999995</v>
      </c>
      <c r="G179" s="182">
        <v>89.492999999999995</v>
      </c>
      <c r="H179" s="180">
        <v>89.492999999999995</v>
      </c>
      <c r="I179" s="181">
        <v>89.492999999999995</v>
      </c>
      <c r="J179" s="182">
        <v>89.492999999999995</v>
      </c>
      <c r="K179" s="180">
        <v>89.492999999999995</v>
      </c>
      <c r="L179" s="181">
        <v>89.492999999999995</v>
      </c>
      <c r="M179" s="182">
        <v>89.492999999999995</v>
      </c>
      <c r="N179" s="180">
        <v>89.492999999999995</v>
      </c>
      <c r="O179" s="181">
        <v>89.492999999999995</v>
      </c>
      <c r="P179" s="182">
        <v>89.492999999999995</v>
      </c>
      <c r="Q179" s="180">
        <v>89.492999999999995</v>
      </c>
      <c r="R179" s="181">
        <v>89.492999999999995</v>
      </c>
      <c r="S179" s="182">
        <v>89.492999999999995</v>
      </c>
      <c r="T179" s="180">
        <v>89.492999999999995</v>
      </c>
      <c r="U179" s="181">
        <v>89.492999999999995</v>
      </c>
      <c r="V179" s="182">
        <v>89.492999999999995</v>
      </c>
      <c r="W179" s="180">
        <v>89.492999999999995</v>
      </c>
      <c r="X179" s="181">
        <v>89.492999999999995</v>
      </c>
      <c r="Y179" s="182">
        <v>89.492999999999995</v>
      </c>
      <c r="Z179" s="180">
        <v>89.492999999999995</v>
      </c>
      <c r="AA179" s="181">
        <v>89.492999999999995</v>
      </c>
      <c r="AB179" s="182">
        <v>89.492999999999995</v>
      </c>
      <c r="AC179" s="180">
        <v>89.492999999999995</v>
      </c>
      <c r="AD179" s="181">
        <v>89.492999999999995</v>
      </c>
      <c r="AE179" s="182">
        <v>89.492999999999995</v>
      </c>
      <c r="AF179" s="180">
        <v>89.492999999999995</v>
      </c>
      <c r="AG179" s="181">
        <v>89.492999999999995</v>
      </c>
      <c r="AH179" s="182">
        <v>89.492999999999995</v>
      </c>
      <c r="AI179" s="168" t="s">
        <v>887</v>
      </c>
      <c r="AJ179" s="169" t="s">
        <v>2485</v>
      </c>
      <c r="AK179" s="170" t="s">
        <v>2486</v>
      </c>
      <c r="AL179" s="169" t="s">
        <v>17</v>
      </c>
      <c r="AM179" s="183">
        <v>1089</v>
      </c>
    </row>
    <row r="180" spans="1:39" s="2" customFormat="1">
      <c r="A180" s="179" t="s">
        <v>309</v>
      </c>
      <c r="B180" s="238" t="s">
        <v>163</v>
      </c>
      <c r="C180" s="164" t="s">
        <v>1858</v>
      </c>
      <c r="D180" s="236" t="s">
        <v>1860</v>
      </c>
      <c r="E180" s="180">
        <v>50.000999999999998</v>
      </c>
      <c r="F180" s="181">
        <v>48.006</v>
      </c>
      <c r="G180" s="182">
        <v>47.838000000000001</v>
      </c>
      <c r="H180" s="180">
        <v>50.000999999999998</v>
      </c>
      <c r="I180" s="181">
        <v>48.006</v>
      </c>
      <c r="J180" s="182">
        <v>47.838000000000001</v>
      </c>
      <c r="K180" s="180">
        <v>50.000999999999998</v>
      </c>
      <c r="L180" s="181">
        <v>48.006</v>
      </c>
      <c r="M180" s="182">
        <v>47.838000000000001</v>
      </c>
      <c r="N180" s="180">
        <v>50.000999999999998</v>
      </c>
      <c r="O180" s="181">
        <v>48.006</v>
      </c>
      <c r="P180" s="182">
        <v>47.838000000000001</v>
      </c>
      <c r="Q180" s="180">
        <v>50.000999999999998</v>
      </c>
      <c r="R180" s="181">
        <v>48.006</v>
      </c>
      <c r="S180" s="182">
        <v>47.838000000000001</v>
      </c>
      <c r="T180" s="180">
        <v>50.000999999999998</v>
      </c>
      <c r="U180" s="181">
        <v>48.006</v>
      </c>
      <c r="V180" s="182">
        <v>47.838000000000001</v>
      </c>
      <c r="W180" s="180">
        <v>50.000999999999998</v>
      </c>
      <c r="X180" s="181">
        <v>48.006</v>
      </c>
      <c r="Y180" s="182">
        <v>47.838000000000001</v>
      </c>
      <c r="Z180" s="180">
        <v>50.000999999999998</v>
      </c>
      <c r="AA180" s="181">
        <v>48.006</v>
      </c>
      <c r="AB180" s="182">
        <v>47.838000000000001</v>
      </c>
      <c r="AC180" s="180">
        <v>50.000999999999998</v>
      </c>
      <c r="AD180" s="181">
        <v>48.006</v>
      </c>
      <c r="AE180" s="182">
        <v>47.838000000000001</v>
      </c>
      <c r="AF180" s="180">
        <v>50.000999999999998</v>
      </c>
      <c r="AG180" s="181">
        <v>48.006</v>
      </c>
      <c r="AH180" s="182">
        <v>47.838000000000001</v>
      </c>
      <c r="AI180" s="168" t="s">
        <v>1859</v>
      </c>
      <c r="AJ180" s="169" t="s">
        <v>2491</v>
      </c>
      <c r="AK180" s="170" t="s">
        <v>2477</v>
      </c>
      <c r="AL180" s="169" t="s">
        <v>2479</v>
      </c>
      <c r="AM180" s="183">
        <v>1517</v>
      </c>
    </row>
    <row r="181" spans="1:39" s="2" customFormat="1" ht="20.6">
      <c r="A181" s="179" t="s">
        <v>423</v>
      </c>
      <c r="B181" s="238" t="s">
        <v>163</v>
      </c>
      <c r="C181" s="164" t="s">
        <v>1500</v>
      </c>
      <c r="D181" s="236" t="s">
        <v>3594</v>
      </c>
      <c r="E181" s="180">
        <v>150</v>
      </c>
      <c r="F181" s="181">
        <v>150</v>
      </c>
      <c r="G181" s="182">
        <v>150</v>
      </c>
      <c r="H181" s="180">
        <v>150</v>
      </c>
      <c r="I181" s="181">
        <v>150</v>
      </c>
      <c r="J181" s="182">
        <v>150</v>
      </c>
      <c r="K181" s="180">
        <v>150</v>
      </c>
      <c r="L181" s="181">
        <v>150</v>
      </c>
      <c r="M181" s="182">
        <v>150</v>
      </c>
      <c r="N181" s="180">
        <v>150</v>
      </c>
      <c r="O181" s="181">
        <v>150</v>
      </c>
      <c r="P181" s="182">
        <v>150</v>
      </c>
      <c r="Q181" s="180">
        <v>150</v>
      </c>
      <c r="R181" s="181">
        <v>150</v>
      </c>
      <c r="S181" s="182">
        <v>150</v>
      </c>
      <c r="T181" s="180">
        <v>150</v>
      </c>
      <c r="U181" s="181">
        <v>150</v>
      </c>
      <c r="V181" s="182">
        <v>150</v>
      </c>
      <c r="W181" s="180">
        <v>150</v>
      </c>
      <c r="X181" s="181">
        <v>150</v>
      </c>
      <c r="Y181" s="182">
        <v>150</v>
      </c>
      <c r="Z181" s="180">
        <v>150</v>
      </c>
      <c r="AA181" s="181">
        <v>150</v>
      </c>
      <c r="AB181" s="182">
        <v>150</v>
      </c>
      <c r="AC181" s="180">
        <v>150</v>
      </c>
      <c r="AD181" s="181">
        <v>150</v>
      </c>
      <c r="AE181" s="182">
        <v>150</v>
      </c>
      <c r="AF181" s="180">
        <v>150</v>
      </c>
      <c r="AG181" s="181">
        <v>150</v>
      </c>
      <c r="AH181" s="182">
        <v>150</v>
      </c>
      <c r="AI181" s="168" t="s">
        <v>1286</v>
      </c>
      <c r="AJ181" s="169" t="s">
        <v>2466</v>
      </c>
      <c r="AK181" s="170" t="s">
        <v>2467</v>
      </c>
      <c r="AL181" s="169" t="s">
        <v>20</v>
      </c>
      <c r="AM181" s="183">
        <v>1991</v>
      </c>
    </row>
    <row r="182" spans="1:39" s="2" customFormat="1">
      <c r="A182" s="179" t="s">
        <v>7</v>
      </c>
      <c r="B182" s="238" t="s">
        <v>163</v>
      </c>
      <c r="C182" s="164" t="s">
        <v>1461</v>
      </c>
      <c r="D182" s="236" t="s">
        <v>1463</v>
      </c>
      <c r="E182" s="180">
        <v>85</v>
      </c>
      <c r="F182" s="181">
        <v>85</v>
      </c>
      <c r="G182" s="182">
        <v>76.52</v>
      </c>
      <c r="H182" s="180">
        <v>85</v>
      </c>
      <c r="I182" s="181">
        <v>85</v>
      </c>
      <c r="J182" s="182">
        <v>76.52</v>
      </c>
      <c r="K182" s="180">
        <v>85</v>
      </c>
      <c r="L182" s="181">
        <v>85</v>
      </c>
      <c r="M182" s="182">
        <v>76.52</v>
      </c>
      <c r="N182" s="180">
        <v>85</v>
      </c>
      <c r="O182" s="181">
        <v>85</v>
      </c>
      <c r="P182" s="182">
        <v>76.52</v>
      </c>
      <c r="Q182" s="180">
        <v>85</v>
      </c>
      <c r="R182" s="181">
        <v>85</v>
      </c>
      <c r="S182" s="182">
        <v>76.52</v>
      </c>
      <c r="T182" s="180">
        <v>85</v>
      </c>
      <c r="U182" s="181">
        <v>85</v>
      </c>
      <c r="V182" s="182">
        <v>76.52</v>
      </c>
      <c r="W182" s="180">
        <v>85</v>
      </c>
      <c r="X182" s="181">
        <v>85</v>
      </c>
      <c r="Y182" s="182">
        <v>76.52</v>
      </c>
      <c r="Z182" s="180">
        <v>85</v>
      </c>
      <c r="AA182" s="181">
        <v>85</v>
      </c>
      <c r="AB182" s="182">
        <v>76.52</v>
      </c>
      <c r="AC182" s="180">
        <v>85</v>
      </c>
      <c r="AD182" s="181">
        <v>85</v>
      </c>
      <c r="AE182" s="182">
        <v>76.52</v>
      </c>
      <c r="AF182" s="180">
        <v>85</v>
      </c>
      <c r="AG182" s="181">
        <v>85</v>
      </c>
      <c r="AH182" s="182">
        <v>76.52</v>
      </c>
      <c r="AI182" s="168" t="s">
        <v>1462</v>
      </c>
      <c r="AJ182" s="169" t="s">
        <v>2491</v>
      </c>
      <c r="AK182" s="170" t="s">
        <v>2477</v>
      </c>
      <c r="AL182" s="169" t="s">
        <v>2479</v>
      </c>
      <c r="AM182" s="183">
        <v>1452</v>
      </c>
    </row>
    <row r="183" spans="1:39" s="2" customFormat="1">
      <c r="A183" s="179" t="s">
        <v>380</v>
      </c>
      <c r="B183" s="238" t="s">
        <v>163</v>
      </c>
      <c r="C183" s="164" t="s">
        <v>1724</v>
      </c>
      <c r="D183" s="236" t="s">
        <v>3633</v>
      </c>
      <c r="E183" s="180">
        <v>50</v>
      </c>
      <c r="F183" s="181">
        <v>50</v>
      </c>
      <c r="G183" s="182">
        <v>50</v>
      </c>
      <c r="H183" s="180">
        <v>50</v>
      </c>
      <c r="I183" s="181">
        <v>50</v>
      </c>
      <c r="J183" s="182">
        <v>50</v>
      </c>
      <c r="K183" s="180">
        <v>50</v>
      </c>
      <c r="L183" s="181">
        <v>50</v>
      </c>
      <c r="M183" s="182">
        <v>50</v>
      </c>
      <c r="N183" s="180">
        <v>50</v>
      </c>
      <c r="O183" s="181">
        <v>50</v>
      </c>
      <c r="P183" s="182">
        <v>50</v>
      </c>
      <c r="Q183" s="180">
        <v>50</v>
      </c>
      <c r="R183" s="181">
        <v>50</v>
      </c>
      <c r="S183" s="182">
        <v>50</v>
      </c>
      <c r="T183" s="180">
        <v>50</v>
      </c>
      <c r="U183" s="181">
        <v>50</v>
      </c>
      <c r="V183" s="182">
        <v>50</v>
      </c>
      <c r="W183" s="180">
        <v>50</v>
      </c>
      <c r="X183" s="181">
        <v>50</v>
      </c>
      <c r="Y183" s="182">
        <v>50</v>
      </c>
      <c r="Z183" s="180">
        <v>50</v>
      </c>
      <c r="AA183" s="181">
        <v>50</v>
      </c>
      <c r="AB183" s="182">
        <v>50</v>
      </c>
      <c r="AC183" s="180">
        <v>50</v>
      </c>
      <c r="AD183" s="181">
        <v>50</v>
      </c>
      <c r="AE183" s="182">
        <v>50</v>
      </c>
      <c r="AF183" s="180">
        <v>50</v>
      </c>
      <c r="AG183" s="181">
        <v>50</v>
      </c>
      <c r="AH183" s="182">
        <v>50</v>
      </c>
      <c r="AI183" s="168" t="s">
        <v>1725</v>
      </c>
      <c r="AJ183" s="169" t="s">
        <v>2466</v>
      </c>
      <c r="AK183" s="170" t="s">
        <v>2467</v>
      </c>
      <c r="AL183" s="169" t="s">
        <v>20</v>
      </c>
      <c r="AM183" s="183">
        <v>1610</v>
      </c>
    </row>
    <row r="184" spans="1:39" s="2" customFormat="1">
      <c r="A184" s="179" t="s">
        <v>380</v>
      </c>
      <c r="B184" s="238" t="s">
        <v>163</v>
      </c>
      <c r="C184" s="164" t="s">
        <v>1724</v>
      </c>
      <c r="D184" s="236" t="s">
        <v>3633</v>
      </c>
      <c r="E184" s="180">
        <v>100</v>
      </c>
      <c r="F184" s="181">
        <v>100</v>
      </c>
      <c r="G184" s="182">
        <v>100</v>
      </c>
      <c r="H184" s="180">
        <v>100</v>
      </c>
      <c r="I184" s="181">
        <v>100</v>
      </c>
      <c r="J184" s="182">
        <v>100</v>
      </c>
      <c r="K184" s="180">
        <v>100</v>
      </c>
      <c r="L184" s="181">
        <v>100</v>
      </c>
      <c r="M184" s="182">
        <v>100</v>
      </c>
      <c r="N184" s="180">
        <v>100</v>
      </c>
      <c r="O184" s="181">
        <v>100</v>
      </c>
      <c r="P184" s="182">
        <v>100</v>
      </c>
      <c r="Q184" s="180">
        <v>100</v>
      </c>
      <c r="R184" s="181">
        <v>100</v>
      </c>
      <c r="S184" s="182">
        <v>100</v>
      </c>
      <c r="T184" s="180">
        <v>100</v>
      </c>
      <c r="U184" s="181">
        <v>100</v>
      </c>
      <c r="V184" s="182">
        <v>100</v>
      </c>
      <c r="W184" s="180">
        <v>100</v>
      </c>
      <c r="X184" s="181">
        <v>100</v>
      </c>
      <c r="Y184" s="182">
        <v>100</v>
      </c>
      <c r="Z184" s="180">
        <v>100</v>
      </c>
      <c r="AA184" s="181">
        <v>100</v>
      </c>
      <c r="AB184" s="182">
        <v>100</v>
      </c>
      <c r="AC184" s="180">
        <v>100</v>
      </c>
      <c r="AD184" s="181">
        <v>100</v>
      </c>
      <c r="AE184" s="182">
        <v>100</v>
      </c>
      <c r="AF184" s="180">
        <v>100</v>
      </c>
      <c r="AG184" s="181">
        <v>100</v>
      </c>
      <c r="AH184" s="182">
        <v>100</v>
      </c>
      <c r="AI184" s="168" t="s">
        <v>1725</v>
      </c>
      <c r="AJ184" s="169" t="s">
        <v>2466</v>
      </c>
      <c r="AK184" s="170" t="s">
        <v>2467</v>
      </c>
      <c r="AL184" s="169" t="s">
        <v>20</v>
      </c>
      <c r="AM184" s="183">
        <v>1610</v>
      </c>
    </row>
    <row r="185" spans="1:39" s="2" customFormat="1">
      <c r="A185" s="179" t="s">
        <v>380</v>
      </c>
      <c r="B185" s="238" t="s">
        <v>163</v>
      </c>
      <c r="C185" s="164" t="s">
        <v>2183</v>
      </c>
      <c r="D185" s="236" t="s">
        <v>3635</v>
      </c>
      <c r="E185" s="180">
        <v>97.6</v>
      </c>
      <c r="F185" s="181">
        <v>100</v>
      </c>
      <c r="G185" s="182">
        <v>94.4</v>
      </c>
      <c r="H185" s="180">
        <v>100</v>
      </c>
      <c r="I185" s="181">
        <v>100</v>
      </c>
      <c r="J185" s="182">
        <v>97.6</v>
      </c>
      <c r="K185" s="180">
        <v>100</v>
      </c>
      <c r="L185" s="181">
        <v>100</v>
      </c>
      <c r="M185" s="182">
        <v>97.6</v>
      </c>
      <c r="N185" s="180">
        <v>100</v>
      </c>
      <c r="O185" s="181">
        <v>100</v>
      </c>
      <c r="P185" s="182">
        <v>97.6</v>
      </c>
      <c r="Q185" s="180">
        <v>100</v>
      </c>
      <c r="R185" s="181">
        <v>100</v>
      </c>
      <c r="S185" s="182">
        <v>97.6</v>
      </c>
      <c r="T185" s="180">
        <v>100</v>
      </c>
      <c r="U185" s="181">
        <v>100</v>
      </c>
      <c r="V185" s="182">
        <v>97.6</v>
      </c>
      <c r="W185" s="180">
        <v>100</v>
      </c>
      <c r="X185" s="181">
        <v>100</v>
      </c>
      <c r="Y185" s="182">
        <v>97.6</v>
      </c>
      <c r="Z185" s="180">
        <v>100</v>
      </c>
      <c r="AA185" s="181">
        <v>100</v>
      </c>
      <c r="AB185" s="182">
        <v>97.6</v>
      </c>
      <c r="AC185" s="180">
        <v>100</v>
      </c>
      <c r="AD185" s="181">
        <v>100</v>
      </c>
      <c r="AE185" s="182">
        <v>97.6</v>
      </c>
      <c r="AF185" s="180">
        <v>100</v>
      </c>
      <c r="AG185" s="181">
        <v>100</v>
      </c>
      <c r="AH185" s="182">
        <v>97.6</v>
      </c>
      <c r="AI185" s="168" t="s">
        <v>3634</v>
      </c>
      <c r="AJ185" s="169" t="s">
        <v>2485</v>
      </c>
      <c r="AK185" s="170" t="s">
        <v>2486</v>
      </c>
      <c r="AL185" s="169" t="s">
        <v>17</v>
      </c>
      <c r="AM185" s="183">
        <v>1300</v>
      </c>
    </row>
    <row r="186" spans="1:39" s="2" customFormat="1">
      <c r="A186" s="179" t="s">
        <v>380</v>
      </c>
      <c r="B186" s="238" t="s">
        <v>163</v>
      </c>
      <c r="C186" s="164" t="s">
        <v>2109</v>
      </c>
      <c r="D186" s="236" t="s">
        <v>3637</v>
      </c>
      <c r="E186" s="180">
        <v>100</v>
      </c>
      <c r="F186" s="181">
        <v>100</v>
      </c>
      <c r="G186" s="182">
        <v>97.6</v>
      </c>
      <c r="H186" s="180">
        <v>100</v>
      </c>
      <c r="I186" s="181">
        <v>100</v>
      </c>
      <c r="J186" s="182">
        <v>97.6</v>
      </c>
      <c r="K186" s="180">
        <v>100</v>
      </c>
      <c r="L186" s="181">
        <v>100</v>
      </c>
      <c r="M186" s="182">
        <v>97.6</v>
      </c>
      <c r="N186" s="180">
        <v>100</v>
      </c>
      <c r="O186" s="181">
        <v>100</v>
      </c>
      <c r="P186" s="182">
        <v>97.6</v>
      </c>
      <c r="Q186" s="180">
        <v>100</v>
      </c>
      <c r="R186" s="181">
        <v>100</v>
      </c>
      <c r="S186" s="182">
        <v>97.6</v>
      </c>
      <c r="T186" s="180">
        <v>100</v>
      </c>
      <c r="U186" s="181">
        <v>100</v>
      </c>
      <c r="V186" s="182">
        <v>97.6</v>
      </c>
      <c r="W186" s="180">
        <v>100</v>
      </c>
      <c r="X186" s="181">
        <v>100</v>
      </c>
      <c r="Y186" s="182">
        <v>97.6</v>
      </c>
      <c r="Z186" s="180">
        <v>100</v>
      </c>
      <c r="AA186" s="181">
        <v>100</v>
      </c>
      <c r="AB186" s="182">
        <v>97.6</v>
      </c>
      <c r="AC186" s="180">
        <v>100</v>
      </c>
      <c r="AD186" s="181">
        <v>100</v>
      </c>
      <c r="AE186" s="182">
        <v>97.6</v>
      </c>
      <c r="AF186" s="180">
        <v>100</v>
      </c>
      <c r="AG186" s="181">
        <v>100</v>
      </c>
      <c r="AH186" s="182">
        <v>97.6</v>
      </c>
      <c r="AI186" s="168" t="s">
        <v>3636</v>
      </c>
      <c r="AJ186" s="169" t="s">
        <v>2485</v>
      </c>
      <c r="AK186" s="170" t="s">
        <v>2486</v>
      </c>
      <c r="AL186" s="169" t="s">
        <v>17</v>
      </c>
      <c r="AM186" s="183">
        <v>1376</v>
      </c>
    </row>
    <row r="187" spans="1:39" s="2" customFormat="1">
      <c r="A187" s="179" t="s">
        <v>380</v>
      </c>
      <c r="B187" s="238" t="s">
        <v>163</v>
      </c>
      <c r="C187" s="164" t="s">
        <v>2111</v>
      </c>
      <c r="D187" s="236" t="s">
        <v>3639</v>
      </c>
      <c r="E187" s="180">
        <v>108.99</v>
      </c>
      <c r="F187" s="181">
        <v>108.99</v>
      </c>
      <c r="G187" s="182">
        <v>106.75</v>
      </c>
      <c r="H187" s="180">
        <v>108.99</v>
      </c>
      <c r="I187" s="181">
        <v>108.99</v>
      </c>
      <c r="J187" s="182">
        <v>106.75</v>
      </c>
      <c r="K187" s="180">
        <v>108.99</v>
      </c>
      <c r="L187" s="181">
        <v>108.99</v>
      </c>
      <c r="M187" s="182">
        <v>106.75</v>
      </c>
      <c r="N187" s="180">
        <v>108.99</v>
      </c>
      <c r="O187" s="181">
        <v>108.99</v>
      </c>
      <c r="P187" s="182">
        <v>106.75</v>
      </c>
      <c r="Q187" s="180">
        <v>108.99</v>
      </c>
      <c r="R187" s="181">
        <v>108.99</v>
      </c>
      <c r="S187" s="182">
        <v>106.75</v>
      </c>
      <c r="T187" s="180">
        <v>108.99</v>
      </c>
      <c r="U187" s="181">
        <v>108.99</v>
      </c>
      <c r="V187" s="182">
        <v>106.75</v>
      </c>
      <c r="W187" s="180">
        <v>108.99</v>
      </c>
      <c r="X187" s="181">
        <v>108.99</v>
      </c>
      <c r="Y187" s="182">
        <v>106.75</v>
      </c>
      <c r="Z187" s="180">
        <v>108.99</v>
      </c>
      <c r="AA187" s="181">
        <v>108.99</v>
      </c>
      <c r="AB187" s="182">
        <v>106.75</v>
      </c>
      <c r="AC187" s="180">
        <v>108.99</v>
      </c>
      <c r="AD187" s="181">
        <v>108.99</v>
      </c>
      <c r="AE187" s="182">
        <v>106.75</v>
      </c>
      <c r="AF187" s="180">
        <v>108.99</v>
      </c>
      <c r="AG187" s="181">
        <v>108.99</v>
      </c>
      <c r="AH187" s="182">
        <v>106.75</v>
      </c>
      <c r="AI187" s="168" t="s">
        <v>3638</v>
      </c>
      <c r="AJ187" s="169" t="s">
        <v>2485</v>
      </c>
      <c r="AK187" s="170" t="s">
        <v>2486</v>
      </c>
      <c r="AL187" s="169" t="s">
        <v>17</v>
      </c>
      <c r="AM187" s="183">
        <v>1381</v>
      </c>
    </row>
    <row r="188" spans="1:39" s="2" customFormat="1">
      <c r="A188" s="179" t="s">
        <v>423</v>
      </c>
      <c r="B188" s="238" t="s">
        <v>2463</v>
      </c>
      <c r="C188" s="164" t="s">
        <v>427</v>
      </c>
      <c r="D188" s="236" t="s">
        <v>5182</v>
      </c>
      <c r="E188" s="180">
        <v>0</v>
      </c>
      <c r="F188" s="181">
        <v>0</v>
      </c>
      <c r="G188" s="182">
        <v>0</v>
      </c>
      <c r="H188" s="180">
        <v>0</v>
      </c>
      <c r="I188" s="181">
        <v>118.8</v>
      </c>
      <c r="J188" s="182">
        <v>118.8</v>
      </c>
      <c r="K188" s="180">
        <v>118.8</v>
      </c>
      <c r="L188" s="181">
        <v>118.8</v>
      </c>
      <c r="M188" s="182">
        <v>118.8</v>
      </c>
      <c r="N188" s="180">
        <v>118.8</v>
      </c>
      <c r="O188" s="181">
        <v>118.8</v>
      </c>
      <c r="P188" s="182">
        <v>118.8</v>
      </c>
      <c r="Q188" s="180">
        <v>118.8</v>
      </c>
      <c r="R188" s="181">
        <v>118.8</v>
      </c>
      <c r="S188" s="182">
        <v>118.8</v>
      </c>
      <c r="T188" s="180">
        <v>118.8</v>
      </c>
      <c r="U188" s="181">
        <v>118.8</v>
      </c>
      <c r="V188" s="182">
        <v>118.8</v>
      </c>
      <c r="W188" s="180">
        <v>118.8</v>
      </c>
      <c r="X188" s="181">
        <v>118.8</v>
      </c>
      <c r="Y188" s="182">
        <v>118.8</v>
      </c>
      <c r="Z188" s="180">
        <v>118.8</v>
      </c>
      <c r="AA188" s="181">
        <v>118.8</v>
      </c>
      <c r="AB188" s="182">
        <v>118.8</v>
      </c>
      <c r="AC188" s="180">
        <v>118.8</v>
      </c>
      <c r="AD188" s="181">
        <v>118.8</v>
      </c>
      <c r="AE188" s="182">
        <v>118.8</v>
      </c>
      <c r="AF188" s="180">
        <v>118.8</v>
      </c>
      <c r="AG188" s="181">
        <v>118.8</v>
      </c>
      <c r="AH188" s="182">
        <v>118.8</v>
      </c>
      <c r="AI188" s="168" t="s">
        <v>428</v>
      </c>
      <c r="AJ188" s="169" t="s">
        <v>2491</v>
      </c>
      <c r="AK188" s="170" t="s">
        <v>2477</v>
      </c>
      <c r="AL188" s="169" t="s">
        <v>2479</v>
      </c>
      <c r="AM188" s="183">
        <v>1954</v>
      </c>
    </row>
    <row r="189" spans="1:39" s="2" customFormat="1">
      <c r="A189" s="179" t="s">
        <v>7</v>
      </c>
      <c r="B189" s="238" t="s">
        <v>163</v>
      </c>
      <c r="C189" s="164" t="s">
        <v>3650</v>
      </c>
      <c r="D189" s="236" t="s">
        <v>3652</v>
      </c>
      <c r="E189" s="180">
        <v>0</v>
      </c>
      <c r="F189" s="181">
        <v>29</v>
      </c>
      <c r="G189" s="182">
        <v>29</v>
      </c>
      <c r="H189" s="180">
        <v>0</v>
      </c>
      <c r="I189" s="181">
        <v>29</v>
      </c>
      <c r="J189" s="182">
        <v>29</v>
      </c>
      <c r="K189" s="180">
        <v>0</v>
      </c>
      <c r="L189" s="181">
        <v>29</v>
      </c>
      <c r="M189" s="182">
        <v>29</v>
      </c>
      <c r="N189" s="180">
        <v>0</v>
      </c>
      <c r="O189" s="181">
        <v>29</v>
      </c>
      <c r="P189" s="182">
        <v>29</v>
      </c>
      <c r="Q189" s="180">
        <v>0</v>
      </c>
      <c r="R189" s="181">
        <v>29</v>
      </c>
      <c r="S189" s="182">
        <v>29</v>
      </c>
      <c r="T189" s="180">
        <v>0</v>
      </c>
      <c r="U189" s="181">
        <v>29</v>
      </c>
      <c r="V189" s="182">
        <v>29</v>
      </c>
      <c r="W189" s="180">
        <v>0</v>
      </c>
      <c r="X189" s="181">
        <v>29</v>
      </c>
      <c r="Y189" s="182">
        <v>29</v>
      </c>
      <c r="Z189" s="180">
        <v>0</v>
      </c>
      <c r="AA189" s="181">
        <v>29</v>
      </c>
      <c r="AB189" s="182">
        <v>29</v>
      </c>
      <c r="AC189" s="180">
        <v>0</v>
      </c>
      <c r="AD189" s="181">
        <v>29</v>
      </c>
      <c r="AE189" s="182">
        <v>29</v>
      </c>
      <c r="AF189" s="180">
        <v>0</v>
      </c>
      <c r="AG189" s="181">
        <v>29</v>
      </c>
      <c r="AH189" s="182">
        <v>29</v>
      </c>
      <c r="AI189" s="168" t="s">
        <v>3651</v>
      </c>
      <c r="AJ189" s="169" t="s">
        <v>2593</v>
      </c>
      <c r="AK189" s="170" t="s">
        <v>2482</v>
      </c>
      <c r="AL189" s="169" t="s">
        <v>18</v>
      </c>
      <c r="AM189" s="183">
        <v>1732</v>
      </c>
    </row>
    <row r="190" spans="1:39" s="2" customFormat="1">
      <c r="A190" s="179" t="s">
        <v>423</v>
      </c>
      <c r="B190" s="238" t="s">
        <v>163</v>
      </c>
      <c r="C190" s="164" t="s">
        <v>3653</v>
      </c>
      <c r="D190" s="236" t="s">
        <v>3654</v>
      </c>
      <c r="E190" s="180">
        <v>0</v>
      </c>
      <c r="F190" s="181">
        <v>29</v>
      </c>
      <c r="G190" s="182">
        <v>29</v>
      </c>
      <c r="H190" s="180">
        <v>0</v>
      </c>
      <c r="I190" s="181">
        <v>29</v>
      </c>
      <c r="J190" s="182">
        <v>29</v>
      </c>
      <c r="K190" s="180">
        <v>0</v>
      </c>
      <c r="L190" s="181">
        <v>29</v>
      </c>
      <c r="M190" s="182">
        <v>29</v>
      </c>
      <c r="N190" s="180">
        <v>0</v>
      </c>
      <c r="O190" s="181">
        <v>29</v>
      </c>
      <c r="P190" s="182">
        <v>29</v>
      </c>
      <c r="Q190" s="180">
        <v>0</v>
      </c>
      <c r="R190" s="181">
        <v>29</v>
      </c>
      <c r="S190" s="182">
        <v>29</v>
      </c>
      <c r="T190" s="180">
        <v>0</v>
      </c>
      <c r="U190" s="181">
        <v>29</v>
      </c>
      <c r="V190" s="182">
        <v>29</v>
      </c>
      <c r="W190" s="180">
        <v>0</v>
      </c>
      <c r="X190" s="181">
        <v>29</v>
      </c>
      <c r="Y190" s="182">
        <v>29</v>
      </c>
      <c r="Z190" s="180">
        <v>0</v>
      </c>
      <c r="AA190" s="181">
        <v>29</v>
      </c>
      <c r="AB190" s="182">
        <v>29</v>
      </c>
      <c r="AC190" s="180">
        <v>0</v>
      </c>
      <c r="AD190" s="181">
        <v>29</v>
      </c>
      <c r="AE190" s="182">
        <v>29</v>
      </c>
      <c r="AF190" s="180">
        <v>0</v>
      </c>
      <c r="AG190" s="181">
        <v>29</v>
      </c>
      <c r="AH190" s="182">
        <v>29</v>
      </c>
      <c r="AI190" s="168" t="s">
        <v>2905</v>
      </c>
      <c r="AJ190" s="169" t="s">
        <v>2593</v>
      </c>
      <c r="AK190" s="170" t="s">
        <v>2482</v>
      </c>
      <c r="AL190" s="169" t="s">
        <v>18</v>
      </c>
      <c r="AM190" s="183">
        <v>1736</v>
      </c>
    </row>
    <row r="191" spans="1:39" s="2" customFormat="1" ht="20.6">
      <c r="A191" s="179" t="s">
        <v>7</v>
      </c>
      <c r="B191" s="238" t="s">
        <v>163</v>
      </c>
      <c r="C191" s="164" t="s">
        <v>3661</v>
      </c>
      <c r="D191" s="236" t="s">
        <v>3662</v>
      </c>
      <c r="E191" s="180">
        <v>20.64</v>
      </c>
      <c r="F191" s="181">
        <v>20.64</v>
      </c>
      <c r="G191" s="182">
        <v>20.64</v>
      </c>
      <c r="H191" s="180">
        <v>20.64</v>
      </c>
      <c r="I191" s="181">
        <v>20.64</v>
      </c>
      <c r="J191" s="182">
        <v>20.64</v>
      </c>
      <c r="K191" s="180">
        <v>20.64</v>
      </c>
      <c r="L191" s="181">
        <v>20.64</v>
      </c>
      <c r="M191" s="182">
        <v>20.64</v>
      </c>
      <c r="N191" s="180">
        <v>20.64</v>
      </c>
      <c r="O191" s="181">
        <v>20.64</v>
      </c>
      <c r="P191" s="182">
        <v>20.64</v>
      </c>
      <c r="Q191" s="180">
        <v>20.64</v>
      </c>
      <c r="R191" s="181">
        <v>20.64</v>
      </c>
      <c r="S191" s="182">
        <v>20.64</v>
      </c>
      <c r="T191" s="180">
        <v>20.64</v>
      </c>
      <c r="U191" s="181">
        <v>20.64</v>
      </c>
      <c r="V191" s="182">
        <v>20.64</v>
      </c>
      <c r="W191" s="180">
        <v>20.64</v>
      </c>
      <c r="X191" s="181">
        <v>20.64</v>
      </c>
      <c r="Y191" s="182">
        <v>20.64</v>
      </c>
      <c r="Z191" s="180">
        <v>20.64</v>
      </c>
      <c r="AA191" s="181">
        <v>20.64</v>
      </c>
      <c r="AB191" s="182">
        <v>20.64</v>
      </c>
      <c r="AC191" s="180">
        <v>20.64</v>
      </c>
      <c r="AD191" s="181">
        <v>20.64</v>
      </c>
      <c r="AE191" s="182">
        <v>20.64</v>
      </c>
      <c r="AF191" s="180">
        <v>20.64</v>
      </c>
      <c r="AG191" s="181">
        <v>20.64</v>
      </c>
      <c r="AH191" s="182">
        <v>20.64</v>
      </c>
      <c r="AI191" s="168" t="s">
        <v>218</v>
      </c>
      <c r="AJ191" s="169" t="s">
        <v>2501</v>
      </c>
      <c r="AK191" s="170" t="s">
        <v>2502</v>
      </c>
      <c r="AL191" s="169" t="s">
        <v>21</v>
      </c>
      <c r="AM191" s="183">
        <v>1601</v>
      </c>
    </row>
    <row r="192" spans="1:39" s="2" customFormat="1">
      <c r="A192" s="179" t="s">
        <v>7</v>
      </c>
      <c r="B192" s="238" t="s">
        <v>163</v>
      </c>
      <c r="C192" s="164" t="s">
        <v>229</v>
      </c>
      <c r="D192" s="236" t="s">
        <v>231</v>
      </c>
      <c r="E192" s="180">
        <v>0</v>
      </c>
      <c r="F192" s="181">
        <v>330</v>
      </c>
      <c r="G192" s="182">
        <v>330</v>
      </c>
      <c r="H192" s="180">
        <v>330</v>
      </c>
      <c r="I192" s="181">
        <v>330</v>
      </c>
      <c r="J192" s="182">
        <v>330</v>
      </c>
      <c r="K192" s="180">
        <v>330</v>
      </c>
      <c r="L192" s="181">
        <v>330</v>
      </c>
      <c r="M192" s="182">
        <v>330</v>
      </c>
      <c r="N192" s="180">
        <v>330</v>
      </c>
      <c r="O192" s="181">
        <v>330</v>
      </c>
      <c r="P192" s="182">
        <v>330</v>
      </c>
      <c r="Q192" s="180">
        <v>330</v>
      </c>
      <c r="R192" s="181">
        <v>330</v>
      </c>
      <c r="S192" s="182">
        <v>330</v>
      </c>
      <c r="T192" s="180">
        <v>330</v>
      </c>
      <c r="U192" s="181">
        <v>330</v>
      </c>
      <c r="V192" s="182">
        <v>330</v>
      </c>
      <c r="W192" s="180">
        <v>330</v>
      </c>
      <c r="X192" s="181">
        <v>330</v>
      </c>
      <c r="Y192" s="182">
        <v>330</v>
      </c>
      <c r="Z192" s="180">
        <v>330</v>
      </c>
      <c r="AA192" s="181">
        <v>330</v>
      </c>
      <c r="AB192" s="182">
        <v>330</v>
      </c>
      <c r="AC192" s="180">
        <v>330</v>
      </c>
      <c r="AD192" s="181">
        <v>330</v>
      </c>
      <c r="AE192" s="182">
        <v>330</v>
      </c>
      <c r="AF192" s="180">
        <v>330</v>
      </c>
      <c r="AG192" s="181">
        <v>330</v>
      </c>
      <c r="AH192" s="182">
        <v>330</v>
      </c>
      <c r="AI192" s="168" t="s">
        <v>230</v>
      </c>
      <c r="AJ192" s="169" t="s">
        <v>2555</v>
      </c>
      <c r="AK192" s="170" t="s">
        <v>2556</v>
      </c>
      <c r="AL192" s="169" t="s">
        <v>14</v>
      </c>
      <c r="AM192" s="183">
        <v>1871</v>
      </c>
    </row>
    <row r="193" spans="1:39" s="2" customFormat="1">
      <c r="A193" s="179" t="s">
        <v>7</v>
      </c>
      <c r="B193" s="238" t="s">
        <v>163</v>
      </c>
      <c r="C193" s="164" t="s">
        <v>229</v>
      </c>
      <c r="D193" s="236" t="s">
        <v>233</v>
      </c>
      <c r="E193" s="180">
        <v>0</v>
      </c>
      <c r="F193" s="181">
        <v>330</v>
      </c>
      <c r="G193" s="182">
        <v>330</v>
      </c>
      <c r="H193" s="180">
        <v>330</v>
      </c>
      <c r="I193" s="181">
        <v>330</v>
      </c>
      <c r="J193" s="182">
        <v>330</v>
      </c>
      <c r="K193" s="180">
        <v>330</v>
      </c>
      <c r="L193" s="181">
        <v>330</v>
      </c>
      <c r="M193" s="182">
        <v>330</v>
      </c>
      <c r="N193" s="180">
        <v>330</v>
      </c>
      <c r="O193" s="181">
        <v>330</v>
      </c>
      <c r="P193" s="182">
        <v>330</v>
      </c>
      <c r="Q193" s="180">
        <v>330</v>
      </c>
      <c r="R193" s="181">
        <v>330</v>
      </c>
      <c r="S193" s="182">
        <v>330</v>
      </c>
      <c r="T193" s="180">
        <v>330</v>
      </c>
      <c r="U193" s="181">
        <v>330</v>
      </c>
      <c r="V193" s="182">
        <v>330</v>
      </c>
      <c r="W193" s="180">
        <v>330</v>
      </c>
      <c r="X193" s="181">
        <v>330</v>
      </c>
      <c r="Y193" s="182">
        <v>330</v>
      </c>
      <c r="Z193" s="180">
        <v>330</v>
      </c>
      <c r="AA193" s="181">
        <v>330</v>
      </c>
      <c r="AB193" s="182">
        <v>330</v>
      </c>
      <c r="AC193" s="180">
        <v>330</v>
      </c>
      <c r="AD193" s="181">
        <v>330</v>
      </c>
      <c r="AE193" s="182">
        <v>330</v>
      </c>
      <c r="AF193" s="180">
        <v>330</v>
      </c>
      <c r="AG193" s="181">
        <v>330</v>
      </c>
      <c r="AH193" s="182">
        <v>330</v>
      </c>
      <c r="AI193" s="168" t="s">
        <v>230</v>
      </c>
      <c r="AJ193" s="169" t="s">
        <v>2555</v>
      </c>
      <c r="AK193" s="170" t="s">
        <v>2556</v>
      </c>
      <c r="AL193" s="169" t="s">
        <v>14</v>
      </c>
      <c r="AM193" s="183">
        <v>1871</v>
      </c>
    </row>
    <row r="194" spans="1:39" s="2" customFormat="1">
      <c r="A194" s="179" t="s">
        <v>423</v>
      </c>
      <c r="B194" s="238" t="s">
        <v>163</v>
      </c>
      <c r="C194" s="164" t="s">
        <v>3692</v>
      </c>
      <c r="D194" s="236" t="s">
        <v>3694</v>
      </c>
      <c r="E194" s="180">
        <v>56</v>
      </c>
      <c r="F194" s="181">
        <v>50</v>
      </c>
      <c r="G194" s="182">
        <v>46.6</v>
      </c>
      <c r="H194" s="180">
        <v>56</v>
      </c>
      <c r="I194" s="181">
        <v>50</v>
      </c>
      <c r="J194" s="182">
        <v>46.6</v>
      </c>
      <c r="K194" s="180">
        <v>56</v>
      </c>
      <c r="L194" s="181">
        <v>50</v>
      </c>
      <c r="M194" s="182">
        <v>46.6</v>
      </c>
      <c r="N194" s="180">
        <v>56</v>
      </c>
      <c r="O194" s="181">
        <v>50</v>
      </c>
      <c r="P194" s="182">
        <v>46.6</v>
      </c>
      <c r="Q194" s="180">
        <v>56</v>
      </c>
      <c r="R194" s="181">
        <v>50</v>
      </c>
      <c r="S194" s="182">
        <v>46.6</v>
      </c>
      <c r="T194" s="180">
        <v>56</v>
      </c>
      <c r="U194" s="181">
        <v>50</v>
      </c>
      <c r="V194" s="182">
        <v>46.6</v>
      </c>
      <c r="W194" s="180">
        <v>56</v>
      </c>
      <c r="X194" s="181">
        <v>50</v>
      </c>
      <c r="Y194" s="182">
        <v>46.6</v>
      </c>
      <c r="Z194" s="180">
        <v>56</v>
      </c>
      <c r="AA194" s="181">
        <v>50</v>
      </c>
      <c r="AB194" s="182">
        <v>46.6</v>
      </c>
      <c r="AC194" s="180">
        <v>56</v>
      </c>
      <c r="AD194" s="181">
        <v>50</v>
      </c>
      <c r="AE194" s="182">
        <v>46.6</v>
      </c>
      <c r="AF194" s="180">
        <v>56</v>
      </c>
      <c r="AG194" s="181">
        <v>50</v>
      </c>
      <c r="AH194" s="182">
        <v>46.6</v>
      </c>
      <c r="AI194" s="168" t="s">
        <v>3693</v>
      </c>
      <c r="AJ194" s="169" t="s">
        <v>2555</v>
      </c>
      <c r="AK194" s="170" t="s">
        <v>2556</v>
      </c>
      <c r="AL194" s="169" t="s">
        <v>14</v>
      </c>
      <c r="AM194" s="183">
        <v>1373</v>
      </c>
    </row>
    <row r="195" spans="1:39" s="2" customFormat="1">
      <c r="A195" s="179" t="s">
        <v>423</v>
      </c>
      <c r="B195" s="238" t="s">
        <v>163</v>
      </c>
      <c r="C195" s="164" t="s">
        <v>3692</v>
      </c>
      <c r="D195" s="236" t="s">
        <v>3695</v>
      </c>
      <c r="E195" s="180">
        <v>56</v>
      </c>
      <c r="F195" s="181">
        <v>50</v>
      </c>
      <c r="G195" s="182">
        <v>46.6</v>
      </c>
      <c r="H195" s="180">
        <v>56</v>
      </c>
      <c r="I195" s="181">
        <v>50</v>
      </c>
      <c r="J195" s="182">
        <v>46.6</v>
      </c>
      <c r="K195" s="180">
        <v>56</v>
      </c>
      <c r="L195" s="181">
        <v>50</v>
      </c>
      <c r="M195" s="182">
        <v>46.6</v>
      </c>
      <c r="N195" s="180">
        <v>56</v>
      </c>
      <c r="O195" s="181">
        <v>50</v>
      </c>
      <c r="P195" s="182">
        <v>46.6</v>
      </c>
      <c r="Q195" s="180">
        <v>56</v>
      </c>
      <c r="R195" s="181">
        <v>50</v>
      </c>
      <c r="S195" s="182">
        <v>46.6</v>
      </c>
      <c r="T195" s="180">
        <v>56</v>
      </c>
      <c r="U195" s="181">
        <v>50</v>
      </c>
      <c r="V195" s="182">
        <v>46.6</v>
      </c>
      <c r="W195" s="180">
        <v>56</v>
      </c>
      <c r="X195" s="181">
        <v>50</v>
      </c>
      <c r="Y195" s="182">
        <v>46.6</v>
      </c>
      <c r="Z195" s="180">
        <v>56</v>
      </c>
      <c r="AA195" s="181">
        <v>50</v>
      </c>
      <c r="AB195" s="182">
        <v>46.6</v>
      </c>
      <c r="AC195" s="180">
        <v>56</v>
      </c>
      <c r="AD195" s="181">
        <v>50</v>
      </c>
      <c r="AE195" s="182">
        <v>46.6</v>
      </c>
      <c r="AF195" s="180">
        <v>56</v>
      </c>
      <c r="AG195" s="181">
        <v>50</v>
      </c>
      <c r="AH195" s="182">
        <v>46.6</v>
      </c>
      <c r="AI195" s="168" t="s">
        <v>3693</v>
      </c>
      <c r="AJ195" s="169" t="s">
        <v>2555</v>
      </c>
      <c r="AK195" s="170" t="s">
        <v>2556</v>
      </c>
      <c r="AL195" s="169" t="s">
        <v>14</v>
      </c>
      <c r="AM195" s="183">
        <v>1373</v>
      </c>
    </row>
    <row r="196" spans="1:39" s="2" customFormat="1">
      <c r="A196" s="179" t="s">
        <v>423</v>
      </c>
      <c r="B196" s="238" t="s">
        <v>163</v>
      </c>
      <c r="C196" s="164" t="s">
        <v>3692</v>
      </c>
      <c r="D196" s="236" t="s">
        <v>3696</v>
      </c>
      <c r="E196" s="180">
        <v>56</v>
      </c>
      <c r="F196" s="181">
        <v>50</v>
      </c>
      <c r="G196" s="182">
        <v>46.6</v>
      </c>
      <c r="H196" s="180">
        <v>56</v>
      </c>
      <c r="I196" s="181">
        <v>50</v>
      </c>
      <c r="J196" s="182">
        <v>46.6</v>
      </c>
      <c r="K196" s="180">
        <v>56</v>
      </c>
      <c r="L196" s="181">
        <v>50</v>
      </c>
      <c r="M196" s="182">
        <v>46.6</v>
      </c>
      <c r="N196" s="180">
        <v>56</v>
      </c>
      <c r="O196" s="181">
        <v>50</v>
      </c>
      <c r="P196" s="182">
        <v>46.6</v>
      </c>
      <c r="Q196" s="180">
        <v>56</v>
      </c>
      <c r="R196" s="181">
        <v>50</v>
      </c>
      <c r="S196" s="182">
        <v>46.6</v>
      </c>
      <c r="T196" s="180">
        <v>56</v>
      </c>
      <c r="U196" s="181">
        <v>50</v>
      </c>
      <c r="V196" s="182">
        <v>46.6</v>
      </c>
      <c r="W196" s="180">
        <v>56</v>
      </c>
      <c r="X196" s="181">
        <v>50</v>
      </c>
      <c r="Y196" s="182">
        <v>46.6</v>
      </c>
      <c r="Z196" s="180">
        <v>56</v>
      </c>
      <c r="AA196" s="181">
        <v>50</v>
      </c>
      <c r="AB196" s="182">
        <v>46.6</v>
      </c>
      <c r="AC196" s="180">
        <v>56</v>
      </c>
      <c r="AD196" s="181">
        <v>50</v>
      </c>
      <c r="AE196" s="182">
        <v>46.6</v>
      </c>
      <c r="AF196" s="180">
        <v>56</v>
      </c>
      <c r="AG196" s="181">
        <v>50</v>
      </c>
      <c r="AH196" s="182">
        <v>46.6</v>
      </c>
      <c r="AI196" s="168" t="s">
        <v>3693</v>
      </c>
      <c r="AJ196" s="169" t="s">
        <v>2555</v>
      </c>
      <c r="AK196" s="170" t="s">
        <v>2556</v>
      </c>
      <c r="AL196" s="169" t="s">
        <v>14</v>
      </c>
      <c r="AM196" s="183">
        <v>1373</v>
      </c>
    </row>
    <row r="197" spans="1:39" s="2" customFormat="1">
      <c r="A197" s="179" t="s">
        <v>423</v>
      </c>
      <c r="B197" s="238" t="s">
        <v>163</v>
      </c>
      <c r="C197" s="164" t="s">
        <v>3692</v>
      </c>
      <c r="D197" s="236" t="s">
        <v>3697</v>
      </c>
      <c r="E197" s="180">
        <v>56</v>
      </c>
      <c r="F197" s="181">
        <v>50</v>
      </c>
      <c r="G197" s="182">
        <v>46.6</v>
      </c>
      <c r="H197" s="180">
        <v>56</v>
      </c>
      <c r="I197" s="181">
        <v>50</v>
      </c>
      <c r="J197" s="182">
        <v>46.6</v>
      </c>
      <c r="K197" s="180">
        <v>56</v>
      </c>
      <c r="L197" s="181">
        <v>50</v>
      </c>
      <c r="M197" s="182">
        <v>46.6</v>
      </c>
      <c r="N197" s="180">
        <v>56</v>
      </c>
      <c r="O197" s="181">
        <v>50</v>
      </c>
      <c r="P197" s="182">
        <v>46.6</v>
      </c>
      <c r="Q197" s="180">
        <v>56</v>
      </c>
      <c r="R197" s="181">
        <v>50</v>
      </c>
      <c r="S197" s="182">
        <v>46.6</v>
      </c>
      <c r="T197" s="180">
        <v>56</v>
      </c>
      <c r="U197" s="181">
        <v>50</v>
      </c>
      <c r="V197" s="182">
        <v>46.6</v>
      </c>
      <c r="W197" s="180">
        <v>56</v>
      </c>
      <c r="X197" s="181">
        <v>50</v>
      </c>
      <c r="Y197" s="182">
        <v>46.6</v>
      </c>
      <c r="Z197" s="180">
        <v>56</v>
      </c>
      <c r="AA197" s="181">
        <v>50</v>
      </c>
      <c r="AB197" s="182">
        <v>46.6</v>
      </c>
      <c r="AC197" s="180">
        <v>56</v>
      </c>
      <c r="AD197" s="181">
        <v>50</v>
      </c>
      <c r="AE197" s="182">
        <v>46.6</v>
      </c>
      <c r="AF197" s="180">
        <v>56</v>
      </c>
      <c r="AG197" s="181">
        <v>50</v>
      </c>
      <c r="AH197" s="182">
        <v>46.6</v>
      </c>
      <c r="AI197" s="168" t="s">
        <v>3693</v>
      </c>
      <c r="AJ197" s="169" t="s">
        <v>2555</v>
      </c>
      <c r="AK197" s="170" t="s">
        <v>2556</v>
      </c>
      <c r="AL197" s="169" t="s">
        <v>14</v>
      </c>
      <c r="AM197" s="183">
        <v>1373</v>
      </c>
    </row>
    <row r="198" spans="1:39" s="2" customFormat="1">
      <c r="A198" s="179" t="s">
        <v>423</v>
      </c>
      <c r="B198" s="238" t="s">
        <v>163</v>
      </c>
      <c r="C198" s="164" t="s">
        <v>1276</v>
      </c>
      <c r="D198" s="236" t="s">
        <v>1278</v>
      </c>
      <c r="E198" s="180">
        <v>85</v>
      </c>
      <c r="F198" s="181">
        <v>76</v>
      </c>
      <c r="G198" s="182">
        <v>70.3</v>
      </c>
      <c r="H198" s="180">
        <v>85</v>
      </c>
      <c r="I198" s="181">
        <v>76</v>
      </c>
      <c r="J198" s="182">
        <v>70.3</v>
      </c>
      <c r="K198" s="180">
        <v>85</v>
      </c>
      <c r="L198" s="181">
        <v>76</v>
      </c>
      <c r="M198" s="182">
        <v>70.3</v>
      </c>
      <c r="N198" s="180">
        <v>85</v>
      </c>
      <c r="O198" s="181">
        <v>76</v>
      </c>
      <c r="P198" s="182">
        <v>70.3</v>
      </c>
      <c r="Q198" s="180">
        <v>85</v>
      </c>
      <c r="R198" s="181">
        <v>76</v>
      </c>
      <c r="S198" s="182">
        <v>70.3</v>
      </c>
      <c r="T198" s="180">
        <v>85</v>
      </c>
      <c r="U198" s="181">
        <v>76</v>
      </c>
      <c r="V198" s="182">
        <v>70.3</v>
      </c>
      <c r="W198" s="180">
        <v>85</v>
      </c>
      <c r="X198" s="181">
        <v>76</v>
      </c>
      <c r="Y198" s="182">
        <v>70.3</v>
      </c>
      <c r="Z198" s="180">
        <v>85</v>
      </c>
      <c r="AA198" s="181">
        <v>76</v>
      </c>
      <c r="AB198" s="182">
        <v>70.3</v>
      </c>
      <c r="AC198" s="180">
        <v>85</v>
      </c>
      <c r="AD198" s="181">
        <v>76</v>
      </c>
      <c r="AE198" s="182">
        <v>70.3</v>
      </c>
      <c r="AF198" s="180">
        <v>85</v>
      </c>
      <c r="AG198" s="181">
        <v>76</v>
      </c>
      <c r="AH198" s="182">
        <v>70.3</v>
      </c>
      <c r="AI198" s="168" t="s">
        <v>1277</v>
      </c>
      <c r="AJ198" s="169" t="s">
        <v>2555</v>
      </c>
      <c r="AK198" s="170" t="s">
        <v>2556</v>
      </c>
      <c r="AL198" s="169" t="s">
        <v>14</v>
      </c>
      <c r="AM198" s="183">
        <v>1374</v>
      </c>
    </row>
    <row r="199" spans="1:39" s="2" customFormat="1">
      <c r="A199" s="179" t="s">
        <v>423</v>
      </c>
      <c r="B199" s="238" t="s">
        <v>163</v>
      </c>
      <c r="C199" s="164" t="s">
        <v>1276</v>
      </c>
      <c r="D199" s="236" t="s">
        <v>3698</v>
      </c>
      <c r="E199" s="180">
        <v>83</v>
      </c>
      <c r="F199" s="181">
        <v>74</v>
      </c>
      <c r="G199" s="182">
        <v>68.3</v>
      </c>
      <c r="H199" s="180">
        <v>83</v>
      </c>
      <c r="I199" s="181">
        <v>74</v>
      </c>
      <c r="J199" s="182">
        <v>68.3</v>
      </c>
      <c r="K199" s="180">
        <v>83</v>
      </c>
      <c r="L199" s="181">
        <v>74</v>
      </c>
      <c r="M199" s="182">
        <v>68.3</v>
      </c>
      <c r="N199" s="180">
        <v>83</v>
      </c>
      <c r="O199" s="181">
        <v>74</v>
      </c>
      <c r="P199" s="182">
        <v>68.3</v>
      </c>
      <c r="Q199" s="180">
        <v>83</v>
      </c>
      <c r="R199" s="181">
        <v>74</v>
      </c>
      <c r="S199" s="182">
        <v>68.3</v>
      </c>
      <c r="T199" s="180">
        <v>83</v>
      </c>
      <c r="U199" s="181">
        <v>74</v>
      </c>
      <c r="V199" s="182">
        <v>68.3</v>
      </c>
      <c r="W199" s="180">
        <v>83</v>
      </c>
      <c r="X199" s="181">
        <v>74</v>
      </c>
      <c r="Y199" s="182">
        <v>68.3</v>
      </c>
      <c r="Z199" s="180">
        <v>83</v>
      </c>
      <c r="AA199" s="181">
        <v>74</v>
      </c>
      <c r="AB199" s="182">
        <v>68.3</v>
      </c>
      <c r="AC199" s="180">
        <v>83</v>
      </c>
      <c r="AD199" s="181">
        <v>74</v>
      </c>
      <c r="AE199" s="182">
        <v>68.3</v>
      </c>
      <c r="AF199" s="180">
        <v>83</v>
      </c>
      <c r="AG199" s="181">
        <v>74</v>
      </c>
      <c r="AH199" s="182">
        <v>68.3</v>
      </c>
      <c r="AI199" s="168" t="s">
        <v>1277</v>
      </c>
      <c r="AJ199" s="169" t="s">
        <v>2555</v>
      </c>
      <c r="AK199" s="170" t="s">
        <v>2556</v>
      </c>
      <c r="AL199" s="169" t="s">
        <v>14</v>
      </c>
      <c r="AM199" s="183">
        <v>1374</v>
      </c>
    </row>
    <row r="200" spans="1:39" s="2" customFormat="1">
      <c r="A200" s="179" t="s">
        <v>423</v>
      </c>
      <c r="B200" s="238" t="s">
        <v>163</v>
      </c>
      <c r="C200" s="164" t="s">
        <v>1276</v>
      </c>
      <c r="D200" s="236" t="s">
        <v>3699</v>
      </c>
      <c r="E200" s="180">
        <v>87</v>
      </c>
      <c r="F200" s="181">
        <v>78</v>
      </c>
      <c r="G200" s="182">
        <v>72.3</v>
      </c>
      <c r="H200" s="180">
        <v>87</v>
      </c>
      <c r="I200" s="181">
        <v>78</v>
      </c>
      <c r="J200" s="182">
        <v>72.3</v>
      </c>
      <c r="K200" s="180">
        <v>87</v>
      </c>
      <c r="L200" s="181">
        <v>78</v>
      </c>
      <c r="M200" s="182">
        <v>72.3</v>
      </c>
      <c r="N200" s="180">
        <v>87</v>
      </c>
      <c r="O200" s="181">
        <v>78</v>
      </c>
      <c r="P200" s="182">
        <v>72.3</v>
      </c>
      <c r="Q200" s="180">
        <v>87</v>
      </c>
      <c r="R200" s="181">
        <v>78</v>
      </c>
      <c r="S200" s="182">
        <v>72.3</v>
      </c>
      <c r="T200" s="180">
        <v>87</v>
      </c>
      <c r="U200" s="181">
        <v>78</v>
      </c>
      <c r="V200" s="182">
        <v>72.3</v>
      </c>
      <c r="W200" s="180">
        <v>87</v>
      </c>
      <c r="X200" s="181">
        <v>78</v>
      </c>
      <c r="Y200" s="182">
        <v>72.3</v>
      </c>
      <c r="Z200" s="180">
        <v>87</v>
      </c>
      <c r="AA200" s="181">
        <v>78</v>
      </c>
      <c r="AB200" s="182">
        <v>72.3</v>
      </c>
      <c r="AC200" s="180">
        <v>87</v>
      </c>
      <c r="AD200" s="181">
        <v>78</v>
      </c>
      <c r="AE200" s="182">
        <v>72.3</v>
      </c>
      <c r="AF200" s="180">
        <v>87</v>
      </c>
      <c r="AG200" s="181">
        <v>78</v>
      </c>
      <c r="AH200" s="182">
        <v>72.3</v>
      </c>
      <c r="AI200" s="168" t="s">
        <v>1277</v>
      </c>
      <c r="AJ200" s="169" t="s">
        <v>2555</v>
      </c>
      <c r="AK200" s="170" t="s">
        <v>2556</v>
      </c>
      <c r="AL200" s="169" t="s">
        <v>14</v>
      </c>
      <c r="AM200" s="183">
        <v>1374</v>
      </c>
    </row>
    <row r="201" spans="1:39" s="2" customFormat="1">
      <c r="A201" s="179" t="s">
        <v>7</v>
      </c>
      <c r="B201" s="238" t="s">
        <v>163</v>
      </c>
      <c r="C201" s="164" t="s">
        <v>1530</v>
      </c>
      <c r="D201" s="236" t="s">
        <v>1532</v>
      </c>
      <c r="E201" s="180">
        <v>50</v>
      </c>
      <c r="F201" s="181">
        <v>50</v>
      </c>
      <c r="G201" s="182">
        <v>50</v>
      </c>
      <c r="H201" s="180">
        <v>50</v>
      </c>
      <c r="I201" s="181">
        <v>50</v>
      </c>
      <c r="J201" s="182">
        <v>50</v>
      </c>
      <c r="K201" s="180">
        <v>50</v>
      </c>
      <c r="L201" s="181">
        <v>50</v>
      </c>
      <c r="M201" s="182">
        <v>50</v>
      </c>
      <c r="N201" s="180">
        <v>50</v>
      </c>
      <c r="O201" s="181">
        <v>50</v>
      </c>
      <c r="P201" s="182">
        <v>50</v>
      </c>
      <c r="Q201" s="180">
        <v>50</v>
      </c>
      <c r="R201" s="181">
        <v>50</v>
      </c>
      <c r="S201" s="182">
        <v>50</v>
      </c>
      <c r="T201" s="180">
        <v>50</v>
      </c>
      <c r="U201" s="181">
        <v>50</v>
      </c>
      <c r="V201" s="182">
        <v>50</v>
      </c>
      <c r="W201" s="180">
        <v>50</v>
      </c>
      <c r="X201" s="181">
        <v>50</v>
      </c>
      <c r="Y201" s="182">
        <v>50</v>
      </c>
      <c r="Z201" s="180">
        <v>50</v>
      </c>
      <c r="AA201" s="181">
        <v>50</v>
      </c>
      <c r="AB201" s="182">
        <v>50</v>
      </c>
      <c r="AC201" s="180">
        <v>50</v>
      </c>
      <c r="AD201" s="181">
        <v>50</v>
      </c>
      <c r="AE201" s="182">
        <v>50</v>
      </c>
      <c r="AF201" s="180">
        <v>50</v>
      </c>
      <c r="AG201" s="181">
        <v>50</v>
      </c>
      <c r="AH201" s="182">
        <v>50</v>
      </c>
      <c r="AI201" s="168" t="s">
        <v>1531</v>
      </c>
      <c r="AJ201" s="169" t="s">
        <v>2491</v>
      </c>
      <c r="AK201" s="170" t="s">
        <v>2477</v>
      </c>
      <c r="AL201" s="169" t="s">
        <v>2479</v>
      </c>
      <c r="AM201" s="183">
        <v>1521</v>
      </c>
    </row>
    <row r="202" spans="1:39" s="2" customFormat="1">
      <c r="A202" s="179" t="s">
        <v>565</v>
      </c>
      <c r="B202" s="238" t="s">
        <v>163</v>
      </c>
      <c r="C202" s="164" t="s">
        <v>3712</v>
      </c>
      <c r="D202" s="236" t="s">
        <v>3713</v>
      </c>
      <c r="E202" s="180">
        <v>140</v>
      </c>
      <c r="F202" s="181">
        <v>140</v>
      </c>
      <c r="G202" s="182">
        <v>140</v>
      </c>
      <c r="H202" s="180">
        <v>140</v>
      </c>
      <c r="I202" s="181">
        <v>140</v>
      </c>
      <c r="J202" s="182">
        <v>140</v>
      </c>
      <c r="K202" s="180">
        <v>140</v>
      </c>
      <c r="L202" s="181">
        <v>140</v>
      </c>
      <c r="M202" s="182">
        <v>140</v>
      </c>
      <c r="N202" s="180">
        <v>140</v>
      </c>
      <c r="O202" s="181">
        <v>140</v>
      </c>
      <c r="P202" s="182">
        <v>140</v>
      </c>
      <c r="Q202" s="180">
        <v>144</v>
      </c>
      <c r="R202" s="181">
        <v>0</v>
      </c>
      <c r="S202" s="182">
        <v>0</v>
      </c>
      <c r="T202" s="180">
        <v>0</v>
      </c>
      <c r="U202" s="181">
        <v>144</v>
      </c>
      <c r="V202" s="182">
        <v>144</v>
      </c>
      <c r="W202" s="180">
        <v>144</v>
      </c>
      <c r="X202" s="181">
        <v>144</v>
      </c>
      <c r="Y202" s="182">
        <v>144</v>
      </c>
      <c r="Z202" s="180">
        <v>144</v>
      </c>
      <c r="AA202" s="181">
        <v>144</v>
      </c>
      <c r="AB202" s="182">
        <v>144</v>
      </c>
      <c r="AC202" s="180">
        <v>144</v>
      </c>
      <c r="AD202" s="181">
        <v>144</v>
      </c>
      <c r="AE202" s="182">
        <v>144</v>
      </c>
      <c r="AF202" s="180">
        <v>144</v>
      </c>
      <c r="AG202" s="181">
        <v>144</v>
      </c>
      <c r="AH202" s="182">
        <v>144</v>
      </c>
      <c r="AI202" s="168" t="s">
        <v>1137</v>
      </c>
      <c r="AJ202" s="169" t="s">
        <v>2593</v>
      </c>
      <c r="AK202" s="170" t="s">
        <v>2482</v>
      </c>
      <c r="AL202" s="169" t="s">
        <v>18</v>
      </c>
      <c r="AM202" s="183">
        <v>1097</v>
      </c>
    </row>
    <row r="203" spans="1:39" s="2" customFormat="1" ht="20.6">
      <c r="A203" s="179" t="s">
        <v>7</v>
      </c>
      <c r="B203" s="238" t="s">
        <v>163</v>
      </c>
      <c r="C203" s="164" t="s">
        <v>1464</v>
      </c>
      <c r="D203" s="236" t="s">
        <v>1466</v>
      </c>
      <c r="E203" s="180">
        <v>30.007999999999999</v>
      </c>
      <c r="F203" s="181">
        <v>30.007999999999999</v>
      </c>
      <c r="G203" s="182">
        <v>30.007999999999999</v>
      </c>
      <c r="H203" s="180">
        <v>30.007999999999999</v>
      </c>
      <c r="I203" s="181">
        <v>30.007999999999999</v>
      </c>
      <c r="J203" s="182">
        <v>30.007999999999999</v>
      </c>
      <c r="K203" s="180">
        <v>30.007999999999999</v>
      </c>
      <c r="L203" s="181">
        <v>30.007999999999999</v>
      </c>
      <c r="M203" s="182">
        <v>30.007999999999999</v>
      </c>
      <c r="N203" s="180">
        <v>30.007999999999999</v>
      </c>
      <c r="O203" s="181">
        <v>30.007999999999999</v>
      </c>
      <c r="P203" s="182">
        <v>30.007999999999999</v>
      </c>
      <c r="Q203" s="180">
        <v>30.007999999999999</v>
      </c>
      <c r="R203" s="181">
        <v>30.007999999999999</v>
      </c>
      <c r="S203" s="182">
        <v>30.007999999999999</v>
      </c>
      <c r="T203" s="180">
        <v>30.007999999999999</v>
      </c>
      <c r="U203" s="181">
        <v>30.007999999999999</v>
      </c>
      <c r="V203" s="182">
        <v>30.007999999999999</v>
      </c>
      <c r="W203" s="180">
        <v>30.007999999999999</v>
      </c>
      <c r="X203" s="181">
        <v>30.007999999999999</v>
      </c>
      <c r="Y203" s="182">
        <v>30.007999999999999</v>
      </c>
      <c r="Z203" s="180">
        <v>30.007999999999999</v>
      </c>
      <c r="AA203" s="181">
        <v>30.007999999999999</v>
      </c>
      <c r="AB203" s="182">
        <v>30.007999999999999</v>
      </c>
      <c r="AC203" s="180">
        <v>30.007999999999999</v>
      </c>
      <c r="AD203" s="181">
        <v>30.007999999999999</v>
      </c>
      <c r="AE203" s="182">
        <v>30.007999999999999</v>
      </c>
      <c r="AF203" s="180">
        <v>30.007999999999999</v>
      </c>
      <c r="AG203" s="181">
        <v>30.007999999999999</v>
      </c>
      <c r="AH203" s="182">
        <v>30.007999999999999</v>
      </c>
      <c r="AI203" s="168" t="s">
        <v>1465</v>
      </c>
      <c r="AJ203" s="169" t="s">
        <v>2491</v>
      </c>
      <c r="AK203" s="170" t="s">
        <v>2477</v>
      </c>
      <c r="AL203" s="169" t="s">
        <v>2479</v>
      </c>
      <c r="AM203" s="183">
        <v>1526</v>
      </c>
    </row>
    <row r="204" spans="1:39" s="2" customFormat="1">
      <c r="A204" s="179" t="s">
        <v>309</v>
      </c>
      <c r="B204" s="238" t="s">
        <v>163</v>
      </c>
      <c r="C204" s="164" t="s">
        <v>371</v>
      </c>
      <c r="D204" s="236" t="s">
        <v>373</v>
      </c>
      <c r="E204" s="180">
        <v>151.98400000000001</v>
      </c>
      <c r="F204" s="181">
        <v>151.98400000000001</v>
      </c>
      <c r="G204" s="182">
        <v>151.98400000000001</v>
      </c>
      <c r="H204" s="180">
        <v>151.98400000000001</v>
      </c>
      <c r="I204" s="181">
        <v>151.98400000000001</v>
      </c>
      <c r="J204" s="182">
        <v>151.98400000000001</v>
      </c>
      <c r="K204" s="180">
        <v>151.98400000000001</v>
      </c>
      <c r="L204" s="181">
        <v>151.98400000000001</v>
      </c>
      <c r="M204" s="182">
        <v>151.98400000000001</v>
      </c>
      <c r="N204" s="180">
        <v>151.98400000000001</v>
      </c>
      <c r="O204" s="181">
        <v>151.98400000000001</v>
      </c>
      <c r="P204" s="182">
        <v>151.98400000000001</v>
      </c>
      <c r="Q204" s="180">
        <v>151.98400000000001</v>
      </c>
      <c r="R204" s="181">
        <v>151.98400000000001</v>
      </c>
      <c r="S204" s="182">
        <v>151.98400000000001</v>
      </c>
      <c r="T204" s="180">
        <v>151.98400000000001</v>
      </c>
      <c r="U204" s="181">
        <v>151.98400000000001</v>
      </c>
      <c r="V204" s="182">
        <v>151.98400000000001</v>
      </c>
      <c r="W204" s="180">
        <v>151.98400000000001</v>
      </c>
      <c r="X204" s="181">
        <v>151.98400000000001</v>
      </c>
      <c r="Y204" s="182">
        <v>151.98400000000001</v>
      </c>
      <c r="Z204" s="180">
        <v>151.98400000000001</v>
      </c>
      <c r="AA204" s="181">
        <v>151.98400000000001</v>
      </c>
      <c r="AB204" s="182">
        <v>151.98400000000001</v>
      </c>
      <c r="AC204" s="180">
        <v>151.98400000000001</v>
      </c>
      <c r="AD204" s="181">
        <v>151.98400000000001</v>
      </c>
      <c r="AE204" s="182">
        <v>151.98400000000001</v>
      </c>
      <c r="AF204" s="180">
        <v>151.98400000000001</v>
      </c>
      <c r="AG204" s="181">
        <v>151.98400000000001</v>
      </c>
      <c r="AH204" s="182">
        <v>151.98400000000001</v>
      </c>
      <c r="AI204" s="168" t="s">
        <v>372</v>
      </c>
      <c r="AJ204" s="169" t="s">
        <v>2485</v>
      </c>
      <c r="AK204" s="170" t="s">
        <v>2486</v>
      </c>
      <c r="AL204" s="169" t="s">
        <v>17</v>
      </c>
      <c r="AM204" s="183">
        <v>2020</v>
      </c>
    </row>
    <row r="205" spans="1:39" s="2" customFormat="1">
      <c r="A205" s="179" t="s">
        <v>423</v>
      </c>
      <c r="B205" s="238" t="s">
        <v>163</v>
      </c>
      <c r="C205" s="164" t="s">
        <v>1947</v>
      </c>
      <c r="D205" s="236" t="s">
        <v>3728</v>
      </c>
      <c r="E205" s="180">
        <v>90.022000000000006</v>
      </c>
      <c r="F205" s="181">
        <v>90.022000000000006</v>
      </c>
      <c r="G205" s="182">
        <v>90.022000000000006</v>
      </c>
      <c r="H205" s="180">
        <v>90.022000000000006</v>
      </c>
      <c r="I205" s="181">
        <v>90.022000000000006</v>
      </c>
      <c r="J205" s="182">
        <v>90.022000000000006</v>
      </c>
      <c r="K205" s="180">
        <v>90.022000000000006</v>
      </c>
      <c r="L205" s="181">
        <v>90.022000000000006</v>
      </c>
      <c r="M205" s="182">
        <v>90.022000000000006</v>
      </c>
      <c r="N205" s="180">
        <v>90.022000000000006</v>
      </c>
      <c r="O205" s="181">
        <v>90.022000000000006</v>
      </c>
      <c r="P205" s="182">
        <v>90.022000000000006</v>
      </c>
      <c r="Q205" s="180">
        <v>90.022000000000006</v>
      </c>
      <c r="R205" s="181">
        <v>90.022000000000006</v>
      </c>
      <c r="S205" s="182">
        <v>90.022000000000006</v>
      </c>
      <c r="T205" s="180">
        <v>90.022000000000006</v>
      </c>
      <c r="U205" s="181">
        <v>90.022000000000006</v>
      </c>
      <c r="V205" s="182">
        <v>90.022000000000006</v>
      </c>
      <c r="W205" s="180">
        <v>90.022000000000006</v>
      </c>
      <c r="X205" s="181">
        <v>90.022000000000006</v>
      </c>
      <c r="Y205" s="182">
        <v>90.022000000000006</v>
      </c>
      <c r="Z205" s="180">
        <v>90.022000000000006</v>
      </c>
      <c r="AA205" s="181">
        <v>90.022000000000006</v>
      </c>
      <c r="AB205" s="182">
        <v>90.022000000000006</v>
      </c>
      <c r="AC205" s="180">
        <v>90.022000000000006</v>
      </c>
      <c r="AD205" s="181">
        <v>90.022000000000006</v>
      </c>
      <c r="AE205" s="182">
        <v>90.022000000000006</v>
      </c>
      <c r="AF205" s="180">
        <v>90.022000000000006</v>
      </c>
      <c r="AG205" s="181">
        <v>90.022000000000006</v>
      </c>
      <c r="AH205" s="182">
        <v>90.022000000000006</v>
      </c>
      <c r="AI205" s="168" t="s">
        <v>3727</v>
      </c>
      <c r="AJ205" s="169" t="s">
        <v>2491</v>
      </c>
      <c r="AK205" s="170" t="s">
        <v>2477</v>
      </c>
      <c r="AL205" s="169" t="s">
        <v>2479</v>
      </c>
      <c r="AM205" s="183">
        <v>1424</v>
      </c>
    </row>
    <row r="206" spans="1:39" s="2" customFormat="1">
      <c r="A206" s="179" t="s">
        <v>309</v>
      </c>
      <c r="B206" s="238" t="s">
        <v>163</v>
      </c>
      <c r="C206" s="164" t="s">
        <v>944</v>
      </c>
      <c r="D206" s="236" t="s">
        <v>945</v>
      </c>
      <c r="E206" s="180">
        <v>21.6</v>
      </c>
      <c r="F206" s="181">
        <v>21.6</v>
      </c>
      <c r="G206" s="182">
        <v>21.6</v>
      </c>
      <c r="H206" s="180">
        <v>21.6</v>
      </c>
      <c r="I206" s="181">
        <v>21.6</v>
      </c>
      <c r="J206" s="182">
        <v>21.6</v>
      </c>
      <c r="K206" s="180">
        <v>21.6</v>
      </c>
      <c r="L206" s="181">
        <v>21.6</v>
      </c>
      <c r="M206" s="182">
        <v>21.6</v>
      </c>
      <c r="N206" s="180">
        <v>21.6</v>
      </c>
      <c r="O206" s="181">
        <v>21.6</v>
      </c>
      <c r="P206" s="182">
        <v>21.6</v>
      </c>
      <c r="Q206" s="180">
        <v>21.6</v>
      </c>
      <c r="R206" s="181">
        <v>21.6</v>
      </c>
      <c r="S206" s="182">
        <v>21.6</v>
      </c>
      <c r="T206" s="180">
        <v>21.6</v>
      </c>
      <c r="U206" s="181">
        <v>21.6</v>
      </c>
      <c r="V206" s="182">
        <v>21.6</v>
      </c>
      <c r="W206" s="180">
        <v>21.6</v>
      </c>
      <c r="X206" s="181">
        <v>21.6</v>
      </c>
      <c r="Y206" s="182">
        <v>21.6</v>
      </c>
      <c r="Z206" s="180">
        <v>21.6</v>
      </c>
      <c r="AA206" s="181">
        <v>21.6</v>
      </c>
      <c r="AB206" s="182">
        <v>21.6</v>
      </c>
      <c r="AC206" s="180">
        <v>21.6</v>
      </c>
      <c r="AD206" s="181">
        <v>21.6</v>
      </c>
      <c r="AE206" s="182">
        <v>21.6</v>
      </c>
      <c r="AF206" s="180">
        <v>21.6</v>
      </c>
      <c r="AG206" s="181">
        <v>21.6</v>
      </c>
      <c r="AH206" s="182">
        <v>21.6</v>
      </c>
      <c r="AI206" s="168" t="s">
        <v>936</v>
      </c>
      <c r="AJ206" s="169" t="s">
        <v>2481</v>
      </c>
      <c r="AK206" s="170" t="s">
        <v>2482</v>
      </c>
      <c r="AL206" s="169" t="s">
        <v>18</v>
      </c>
      <c r="AM206" s="183">
        <v>1100</v>
      </c>
    </row>
    <row r="207" spans="1:39" s="2" customFormat="1">
      <c r="A207" s="179" t="s">
        <v>309</v>
      </c>
      <c r="B207" s="238" t="s">
        <v>163</v>
      </c>
      <c r="C207" s="164" t="s">
        <v>944</v>
      </c>
      <c r="D207" s="236" t="s">
        <v>947</v>
      </c>
      <c r="E207" s="180">
        <v>21.6</v>
      </c>
      <c r="F207" s="181">
        <v>21.6</v>
      </c>
      <c r="G207" s="182">
        <v>21.6</v>
      </c>
      <c r="H207" s="180">
        <v>21.6</v>
      </c>
      <c r="I207" s="181">
        <v>21.6</v>
      </c>
      <c r="J207" s="182">
        <v>21.6</v>
      </c>
      <c r="K207" s="180">
        <v>21.6</v>
      </c>
      <c r="L207" s="181">
        <v>21.6</v>
      </c>
      <c r="M207" s="182">
        <v>21.6</v>
      </c>
      <c r="N207" s="180">
        <v>21.6</v>
      </c>
      <c r="O207" s="181">
        <v>21.6</v>
      </c>
      <c r="P207" s="182">
        <v>21.6</v>
      </c>
      <c r="Q207" s="180">
        <v>21.6</v>
      </c>
      <c r="R207" s="181">
        <v>21.6</v>
      </c>
      <c r="S207" s="182">
        <v>21.6</v>
      </c>
      <c r="T207" s="180">
        <v>21.6</v>
      </c>
      <c r="U207" s="181">
        <v>21.6</v>
      </c>
      <c r="V207" s="182">
        <v>21.6</v>
      </c>
      <c r="W207" s="180">
        <v>21.6</v>
      </c>
      <c r="X207" s="181">
        <v>21.6</v>
      </c>
      <c r="Y207" s="182">
        <v>21.6</v>
      </c>
      <c r="Z207" s="180">
        <v>21.6</v>
      </c>
      <c r="AA207" s="181">
        <v>21.6</v>
      </c>
      <c r="AB207" s="182">
        <v>21.6</v>
      </c>
      <c r="AC207" s="180">
        <v>21.6</v>
      </c>
      <c r="AD207" s="181">
        <v>21.6</v>
      </c>
      <c r="AE207" s="182">
        <v>21.6</v>
      </c>
      <c r="AF207" s="180">
        <v>21.6</v>
      </c>
      <c r="AG207" s="181">
        <v>21.6</v>
      </c>
      <c r="AH207" s="182">
        <v>21.6</v>
      </c>
      <c r="AI207" s="168" t="s">
        <v>936</v>
      </c>
      <c r="AJ207" s="169" t="s">
        <v>2481</v>
      </c>
      <c r="AK207" s="170" t="s">
        <v>2482</v>
      </c>
      <c r="AL207" s="169" t="s">
        <v>18</v>
      </c>
      <c r="AM207" s="183">
        <v>1100</v>
      </c>
    </row>
    <row r="208" spans="1:39" s="2" customFormat="1">
      <c r="A208" s="179" t="s">
        <v>309</v>
      </c>
      <c r="B208" s="238" t="s">
        <v>163</v>
      </c>
      <c r="C208" s="164" t="s">
        <v>944</v>
      </c>
      <c r="D208" s="236" t="s">
        <v>948</v>
      </c>
      <c r="E208" s="180">
        <v>21.6</v>
      </c>
      <c r="F208" s="181">
        <v>21.6</v>
      </c>
      <c r="G208" s="182">
        <v>21.6</v>
      </c>
      <c r="H208" s="180">
        <v>21.6</v>
      </c>
      <c r="I208" s="181">
        <v>21.6</v>
      </c>
      <c r="J208" s="182">
        <v>21.6</v>
      </c>
      <c r="K208" s="180">
        <v>21.6</v>
      </c>
      <c r="L208" s="181">
        <v>21.6</v>
      </c>
      <c r="M208" s="182">
        <v>21.6</v>
      </c>
      <c r="N208" s="180">
        <v>21.6</v>
      </c>
      <c r="O208" s="181">
        <v>21.6</v>
      </c>
      <c r="P208" s="182">
        <v>21.6</v>
      </c>
      <c r="Q208" s="180">
        <v>21.6</v>
      </c>
      <c r="R208" s="181">
        <v>21.6</v>
      </c>
      <c r="S208" s="182">
        <v>21.6</v>
      </c>
      <c r="T208" s="180">
        <v>21.6</v>
      </c>
      <c r="U208" s="181">
        <v>21.6</v>
      </c>
      <c r="V208" s="182">
        <v>21.6</v>
      </c>
      <c r="W208" s="180">
        <v>21.6</v>
      </c>
      <c r="X208" s="181">
        <v>21.6</v>
      </c>
      <c r="Y208" s="182">
        <v>21.6</v>
      </c>
      <c r="Z208" s="180">
        <v>21.6</v>
      </c>
      <c r="AA208" s="181">
        <v>21.6</v>
      </c>
      <c r="AB208" s="182">
        <v>21.6</v>
      </c>
      <c r="AC208" s="180">
        <v>21.6</v>
      </c>
      <c r="AD208" s="181">
        <v>21.6</v>
      </c>
      <c r="AE208" s="182">
        <v>21.6</v>
      </c>
      <c r="AF208" s="180">
        <v>21.6</v>
      </c>
      <c r="AG208" s="181">
        <v>21.6</v>
      </c>
      <c r="AH208" s="182">
        <v>21.6</v>
      </c>
      <c r="AI208" s="168" t="s">
        <v>936</v>
      </c>
      <c r="AJ208" s="169" t="s">
        <v>2481</v>
      </c>
      <c r="AK208" s="170" t="s">
        <v>2482</v>
      </c>
      <c r="AL208" s="169" t="s">
        <v>18</v>
      </c>
      <c r="AM208" s="183">
        <v>1100</v>
      </c>
    </row>
    <row r="209" spans="1:39" s="2" customFormat="1">
      <c r="A209" s="179" t="s">
        <v>309</v>
      </c>
      <c r="B209" s="238" t="s">
        <v>163</v>
      </c>
      <c r="C209" s="164" t="s">
        <v>944</v>
      </c>
      <c r="D209" s="236" t="s">
        <v>949</v>
      </c>
      <c r="E209" s="180">
        <v>21.6</v>
      </c>
      <c r="F209" s="181">
        <v>21.6</v>
      </c>
      <c r="G209" s="182">
        <v>21.6</v>
      </c>
      <c r="H209" s="180">
        <v>21.6</v>
      </c>
      <c r="I209" s="181">
        <v>21.6</v>
      </c>
      <c r="J209" s="182">
        <v>21.6</v>
      </c>
      <c r="K209" s="180">
        <v>21.6</v>
      </c>
      <c r="L209" s="181">
        <v>21.6</v>
      </c>
      <c r="M209" s="182">
        <v>21.6</v>
      </c>
      <c r="N209" s="180">
        <v>21.6</v>
      </c>
      <c r="O209" s="181">
        <v>21.6</v>
      </c>
      <c r="P209" s="182">
        <v>21.6</v>
      </c>
      <c r="Q209" s="180">
        <v>21.6</v>
      </c>
      <c r="R209" s="181">
        <v>21.6</v>
      </c>
      <c r="S209" s="182">
        <v>21.6</v>
      </c>
      <c r="T209" s="180">
        <v>21.6</v>
      </c>
      <c r="U209" s="181">
        <v>21.6</v>
      </c>
      <c r="V209" s="182">
        <v>21.6</v>
      </c>
      <c r="W209" s="180">
        <v>21.6</v>
      </c>
      <c r="X209" s="181">
        <v>21.6</v>
      </c>
      <c r="Y209" s="182">
        <v>21.6</v>
      </c>
      <c r="Z209" s="180">
        <v>21.6</v>
      </c>
      <c r="AA209" s="181">
        <v>21.6</v>
      </c>
      <c r="AB209" s="182">
        <v>21.6</v>
      </c>
      <c r="AC209" s="180">
        <v>21.6</v>
      </c>
      <c r="AD209" s="181">
        <v>21.6</v>
      </c>
      <c r="AE209" s="182">
        <v>21.6</v>
      </c>
      <c r="AF209" s="180">
        <v>21.6</v>
      </c>
      <c r="AG209" s="181">
        <v>21.6</v>
      </c>
      <c r="AH209" s="182">
        <v>21.6</v>
      </c>
      <c r="AI209" s="168" t="s">
        <v>936</v>
      </c>
      <c r="AJ209" s="169" t="s">
        <v>2481</v>
      </c>
      <c r="AK209" s="170" t="s">
        <v>2482</v>
      </c>
      <c r="AL209" s="169" t="s">
        <v>18</v>
      </c>
      <c r="AM209" s="183">
        <v>1100</v>
      </c>
    </row>
    <row r="210" spans="1:39" s="2" customFormat="1">
      <c r="A210" s="179" t="s">
        <v>309</v>
      </c>
      <c r="B210" s="238" t="s">
        <v>163</v>
      </c>
      <c r="C210" s="164" t="s">
        <v>966</v>
      </c>
      <c r="D210" s="236" t="s">
        <v>968</v>
      </c>
      <c r="E210" s="180">
        <v>15</v>
      </c>
      <c r="F210" s="181">
        <v>14.58</v>
      </c>
      <c r="G210" s="182">
        <v>14.28</v>
      </c>
      <c r="H210" s="180">
        <v>15</v>
      </c>
      <c r="I210" s="181">
        <v>14.58</v>
      </c>
      <c r="J210" s="182">
        <v>14.28</v>
      </c>
      <c r="K210" s="180">
        <v>15</v>
      </c>
      <c r="L210" s="181">
        <v>14.58</v>
      </c>
      <c r="M210" s="182">
        <v>14.28</v>
      </c>
      <c r="N210" s="180">
        <v>15</v>
      </c>
      <c r="O210" s="181">
        <v>14.58</v>
      </c>
      <c r="P210" s="182">
        <v>14.28</v>
      </c>
      <c r="Q210" s="180">
        <v>15</v>
      </c>
      <c r="R210" s="181">
        <v>14.58</v>
      </c>
      <c r="S210" s="182">
        <v>14.28</v>
      </c>
      <c r="T210" s="180">
        <v>15</v>
      </c>
      <c r="U210" s="181">
        <v>14.58</v>
      </c>
      <c r="V210" s="182">
        <v>14.28</v>
      </c>
      <c r="W210" s="180">
        <v>15</v>
      </c>
      <c r="X210" s="181">
        <v>14.58</v>
      </c>
      <c r="Y210" s="182">
        <v>14.28</v>
      </c>
      <c r="Z210" s="180">
        <v>15</v>
      </c>
      <c r="AA210" s="181">
        <v>14.58</v>
      </c>
      <c r="AB210" s="182">
        <v>14.28</v>
      </c>
      <c r="AC210" s="180">
        <v>15</v>
      </c>
      <c r="AD210" s="181">
        <v>14.58</v>
      </c>
      <c r="AE210" s="182">
        <v>14.28</v>
      </c>
      <c r="AF210" s="180">
        <v>15</v>
      </c>
      <c r="AG210" s="181">
        <v>14.58</v>
      </c>
      <c r="AH210" s="182">
        <v>14.28</v>
      </c>
      <c r="AI210" s="168" t="s">
        <v>967</v>
      </c>
      <c r="AJ210" s="169" t="s">
        <v>2491</v>
      </c>
      <c r="AK210" s="170" t="s">
        <v>2477</v>
      </c>
      <c r="AL210" s="169" t="s">
        <v>2479</v>
      </c>
      <c r="AM210" s="183">
        <v>1465</v>
      </c>
    </row>
    <row r="211" spans="1:39" s="2" customFormat="1">
      <c r="A211" s="179" t="s">
        <v>309</v>
      </c>
      <c r="B211" s="238" t="s">
        <v>163</v>
      </c>
      <c r="C211" s="164" t="s">
        <v>972</v>
      </c>
      <c r="D211" s="236" t="s">
        <v>973</v>
      </c>
      <c r="E211" s="180">
        <v>43.2</v>
      </c>
      <c r="F211" s="181">
        <v>43.2</v>
      </c>
      <c r="G211" s="182">
        <v>36</v>
      </c>
      <c r="H211" s="180">
        <v>43.2</v>
      </c>
      <c r="I211" s="181">
        <v>43.2</v>
      </c>
      <c r="J211" s="182">
        <v>36</v>
      </c>
      <c r="K211" s="180">
        <v>43.2</v>
      </c>
      <c r="L211" s="181">
        <v>43.2</v>
      </c>
      <c r="M211" s="182">
        <v>36</v>
      </c>
      <c r="N211" s="180">
        <v>43.2</v>
      </c>
      <c r="O211" s="181">
        <v>43.2</v>
      </c>
      <c r="P211" s="182">
        <v>36</v>
      </c>
      <c r="Q211" s="180">
        <v>43.2</v>
      </c>
      <c r="R211" s="181">
        <v>43.2</v>
      </c>
      <c r="S211" s="182">
        <v>36</v>
      </c>
      <c r="T211" s="180">
        <v>43.2</v>
      </c>
      <c r="U211" s="181">
        <v>43.2</v>
      </c>
      <c r="V211" s="182">
        <v>36</v>
      </c>
      <c r="W211" s="180">
        <v>43.2</v>
      </c>
      <c r="X211" s="181">
        <v>43.2</v>
      </c>
      <c r="Y211" s="182">
        <v>36</v>
      </c>
      <c r="Z211" s="180">
        <v>43.2</v>
      </c>
      <c r="AA211" s="181">
        <v>43.2</v>
      </c>
      <c r="AB211" s="182">
        <v>36</v>
      </c>
      <c r="AC211" s="180">
        <v>43.2</v>
      </c>
      <c r="AD211" s="181">
        <v>43.2</v>
      </c>
      <c r="AE211" s="182">
        <v>36</v>
      </c>
      <c r="AF211" s="180">
        <v>43.2</v>
      </c>
      <c r="AG211" s="181">
        <v>43.2</v>
      </c>
      <c r="AH211" s="182">
        <v>36</v>
      </c>
      <c r="AI211" s="168" t="s">
        <v>967</v>
      </c>
      <c r="AJ211" s="169" t="s">
        <v>2485</v>
      </c>
      <c r="AK211" s="170" t="s">
        <v>2486</v>
      </c>
      <c r="AL211" s="169" t="s">
        <v>17</v>
      </c>
      <c r="AM211" s="183">
        <v>1464</v>
      </c>
    </row>
    <row r="212" spans="1:39" s="2" customFormat="1">
      <c r="A212" s="179" t="s">
        <v>423</v>
      </c>
      <c r="B212" s="238" t="s">
        <v>163</v>
      </c>
      <c r="C212" s="164" t="s">
        <v>3749</v>
      </c>
      <c r="D212" s="236" t="s">
        <v>467</v>
      </c>
      <c r="E212" s="180">
        <v>0</v>
      </c>
      <c r="F212" s="181">
        <v>0</v>
      </c>
      <c r="G212" s="182">
        <v>0</v>
      </c>
      <c r="H212" s="180">
        <v>0</v>
      </c>
      <c r="I212" s="181">
        <v>0</v>
      </c>
      <c r="J212" s="182">
        <v>0</v>
      </c>
      <c r="K212" s="180">
        <v>0</v>
      </c>
      <c r="L212" s="181">
        <v>0</v>
      </c>
      <c r="M212" s="182">
        <v>0</v>
      </c>
      <c r="N212" s="180">
        <v>0</v>
      </c>
      <c r="O212" s="181">
        <v>0</v>
      </c>
      <c r="P212" s="182">
        <v>0</v>
      </c>
      <c r="Q212" s="180">
        <v>200</v>
      </c>
      <c r="R212" s="181">
        <v>200</v>
      </c>
      <c r="S212" s="182">
        <v>200</v>
      </c>
      <c r="T212" s="180">
        <v>200</v>
      </c>
      <c r="U212" s="181">
        <v>200</v>
      </c>
      <c r="V212" s="182">
        <v>200</v>
      </c>
      <c r="W212" s="180">
        <v>200</v>
      </c>
      <c r="X212" s="181">
        <v>200</v>
      </c>
      <c r="Y212" s="182">
        <v>200</v>
      </c>
      <c r="Z212" s="180">
        <v>200</v>
      </c>
      <c r="AA212" s="181">
        <v>200</v>
      </c>
      <c r="AB212" s="182">
        <v>200</v>
      </c>
      <c r="AC212" s="180">
        <v>200</v>
      </c>
      <c r="AD212" s="181">
        <v>200</v>
      </c>
      <c r="AE212" s="182">
        <v>200</v>
      </c>
      <c r="AF212" s="180">
        <v>200</v>
      </c>
      <c r="AG212" s="181">
        <v>200</v>
      </c>
      <c r="AH212" s="182">
        <v>200</v>
      </c>
      <c r="AI212" s="168" t="s">
        <v>3750</v>
      </c>
      <c r="AJ212" s="169" t="s">
        <v>2466</v>
      </c>
      <c r="AK212" s="170" t="s">
        <v>2467</v>
      </c>
      <c r="AL212" s="169" t="s">
        <v>20</v>
      </c>
      <c r="AM212" s="183">
        <v>1916</v>
      </c>
    </row>
    <row r="213" spans="1:39" s="2" customFormat="1">
      <c r="A213" s="179" t="s">
        <v>423</v>
      </c>
      <c r="B213" s="238" t="s">
        <v>163</v>
      </c>
      <c r="C213" s="164" t="s">
        <v>1551</v>
      </c>
      <c r="D213" s="236" t="s">
        <v>1553</v>
      </c>
      <c r="E213" s="180">
        <v>199.95</v>
      </c>
      <c r="F213" s="181">
        <v>198</v>
      </c>
      <c r="G213" s="182">
        <v>189</v>
      </c>
      <c r="H213" s="180">
        <v>199.95</v>
      </c>
      <c r="I213" s="181">
        <v>198</v>
      </c>
      <c r="J213" s="182">
        <v>189</v>
      </c>
      <c r="K213" s="180">
        <v>199.95</v>
      </c>
      <c r="L213" s="181">
        <v>198</v>
      </c>
      <c r="M213" s="182">
        <v>189</v>
      </c>
      <c r="N213" s="180">
        <v>199.95</v>
      </c>
      <c r="O213" s="181">
        <v>198</v>
      </c>
      <c r="P213" s="182">
        <v>189</v>
      </c>
      <c r="Q213" s="180">
        <v>199.95</v>
      </c>
      <c r="R213" s="181">
        <v>198</v>
      </c>
      <c r="S213" s="182">
        <v>189</v>
      </c>
      <c r="T213" s="180">
        <v>199.95</v>
      </c>
      <c r="U213" s="181">
        <v>198</v>
      </c>
      <c r="V213" s="182">
        <v>189</v>
      </c>
      <c r="W213" s="180">
        <v>199.95</v>
      </c>
      <c r="X213" s="181">
        <v>198</v>
      </c>
      <c r="Y213" s="182">
        <v>189</v>
      </c>
      <c r="Z213" s="180">
        <v>199.95</v>
      </c>
      <c r="AA213" s="181">
        <v>198</v>
      </c>
      <c r="AB213" s="182">
        <v>189</v>
      </c>
      <c r="AC213" s="180">
        <v>199.95</v>
      </c>
      <c r="AD213" s="181">
        <v>198</v>
      </c>
      <c r="AE213" s="182">
        <v>189</v>
      </c>
      <c r="AF213" s="180"/>
      <c r="AG213" s="181"/>
      <c r="AH213" s="182"/>
      <c r="AI213" s="168" t="s">
        <v>1552</v>
      </c>
      <c r="AJ213" s="169" t="s">
        <v>2491</v>
      </c>
      <c r="AK213" s="170" t="s">
        <v>2477</v>
      </c>
      <c r="AL213" s="169" t="s">
        <v>2479</v>
      </c>
      <c r="AM213" s="183">
        <v>1602</v>
      </c>
    </row>
    <row r="214" spans="1:39" s="2" customFormat="1">
      <c r="A214" s="179" t="s">
        <v>423</v>
      </c>
      <c r="B214" s="238" t="s">
        <v>163</v>
      </c>
      <c r="C214" s="164" t="s">
        <v>2117</v>
      </c>
      <c r="D214" s="236" t="s">
        <v>5183</v>
      </c>
      <c r="E214" s="180">
        <v>31.05</v>
      </c>
      <c r="F214" s="181">
        <v>29.7</v>
      </c>
      <c r="G214" s="182">
        <v>27</v>
      </c>
      <c r="H214" s="180">
        <v>31.05</v>
      </c>
      <c r="I214" s="181">
        <v>29.7</v>
      </c>
      <c r="J214" s="182">
        <v>27</v>
      </c>
      <c r="K214" s="180">
        <v>31.05</v>
      </c>
      <c r="L214" s="181">
        <v>29.7</v>
      </c>
      <c r="M214" s="182">
        <v>27</v>
      </c>
      <c r="N214" s="180">
        <v>31.05</v>
      </c>
      <c r="O214" s="181">
        <v>29.7</v>
      </c>
      <c r="P214" s="182">
        <v>27</v>
      </c>
      <c r="Q214" s="180">
        <v>31.05</v>
      </c>
      <c r="R214" s="181">
        <v>29.7</v>
      </c>
      <c r="S214" s="182">
        <v>27</v>
      </c>
      <c r="T214" s="180">
        <v>31.05</v>
      </c>
      <c r="U214" s="181">
        <v>29.7</v>
      </c>
      <c r="V214" s="182">
        <v>27</v>
      </c>
      <c r="W214" s="180">
        <v>31.05</v>
      </c>
      <c r="X214" s="181">
        <v>29.7</v>
      </c>
      <c r="Y214" s="182">
        <v>27</v>
      </c>
      <c r="Z214" s="180">
        <v>31.05</v>
      </c>
      <c r="AA214" s="181">
        <v>29.7</v>
      </c>
      <c r="AB214" s="182">
        <v>27</v>
      </c>
      <c r="AC214" s="180">
        <v>31.05</v>
      </c>
      <c r="AD214" s="181">
        <v>29.7</v>
      </c>
      <c r="AE214" s="182">
        <v>27</v>
      </c>
      <c r="AF214" s="180">
        <v>31.05</v>
      </c>
      <c r="AG214" s="181">
        <v>29.7</v>
      </c>
      <c r="AH214" s="182">
        <v>27</v>
      </c>
      <c r="AI214" s="168" t="s">
        <v>3760</v>
      </c>
      <c r="AJ214" s="169" t="s">
        <v>2485</v>
      </c>
      <c r="AK214" s="170" t="s">
        <v>2486</v>
      </c>
      <c r="AL214" s="169" t="s">
        <v>17</v>
      </c>
      <c r="AM214" s="183">
        <v>1382</v>
      </c>
    </row>
    <row r="215" spans="1:39" s="2" customFormat="1">
      <c r="A215" s="179" t="s">
        <v>309</v>
      </c>
      <c r="B215" s="238" t="s">
        <v>2463</v>
      </c>
      <c r="C215" s="164" t="s">
        <v>336</v>
      </c>
      <c r="D215" s="236" t="s">
        <v>5182</v>
      </c>
      <c r="E215" s="180">
        <v>0</v>
      </c>
      <c r="F215" s="181">
        <v>0</v>
      </c>
      <c r="G215" s="182">
        <v>0</v>
      </c>
      <c r="H215" s="180">
        <v>0</v>
      </c>
      <c r="I215" s="181">
        <v>250</v>
      </c>
      <c r="J215" s="182">
        <v>250</v>
      </c>
      <c r="K215" s="180">
        <v>250</v>
      </c>
      <c r="L215" s="181">
        <v>250</v>
      </c>
      <c r="M215" s="182">
        <v>250</v>
      </c>
      <c r="N215" s="180">
        <v>250</v>
      </c>
      <c r="O215" s="181">
        <v>250</v>
      </c>
      <c r="P215" s="182">
        <v>250</v>
      </c>
      <c r="Q215" s="180">
        <v>250</v>
      </c>
      <c r="R215" s="181">
        <v>250</v>
      </c>
      <c r="S215" s="182">
        <v>250</v>
      </c>
      <c r="T215" s="180">
        <v>250</v>
      </c>
      <c r="U215" s="181">
        <v>250</v>
      </c>
      <c r="V215" s="182">
        <v>250</v>
      </c>
      <c r="W215" s="180">
        <v>250</v>
      </c>
      <c r="X215" s="181">
        <v>250</v>
      </c>
      <c r="Y215" s="182">
        <v>250</v>
      </c>
      <c r="Z215" s="180">
        <v>250</v>
      </c>
      <c r="AA215" s="181">
        <v>250</v>
      </c>
      <c r="AB215" s="182">
        <v>250</v>
      </c>
      <c r="AC215" s="180">
        <v>250</v>
      </c>
      <c r="AD215" s="181">
        <v>250</v>
      </c>
      <c r="AE215" s="182">
        <v>250</v>
      </c>
      <c r="AF215" s="180">
        <v>250</v>
      </c>
      <c r="AG215" s="181">
        <v>250</v>
      </c>
      <c r="AH215" s="182">
        <v>250</v>
      </c>
      <c r="AI215" s="168" t="s">
        <v>337</v>
      </c>
      <c r="AJ215" s="169" t="s">
        <v>2636</v>
      </c>
      <c r="AK215" s="170" t="s">
        <v>2482</v>
      </c>
      <c r="AL215" s="169" t="s">
        <v>18</v>
      </c>
      <c r="AM215" s="183">
        <v>1352</v>
      </c>
    </row>
    <row r="216" spans="1:39" s="2" customFormat="1">
      <c r="A216" s="179" t="s">
        <v>309</v>
      </c>
      <c r="B216" s="238" t="s">
        <v>163</v>
      </c>
      <c r="C216" s="164" t="s">
        <v>3762</v>
      </c>
      <c r="D216" s="236" t="s">
        <v>3763</v>
      </c>
      <c r="E216" s="180">
        <v>48.5</v>
      </c>
      <c r="F216" s="181">
        <v>48.5</v>
      </c>
      <c r="G216" s="182">
        <v>48.5</v>
      </c>
      <c r="H216" s="180">
        <v>48.5</v>
      </c>
      <c r="I216" s="181">
        <v>48.5</v>
      </c>
      <c r="J216" s="182">
        <v>48.5</v>
      </c>
      <c r="K216" s="180">
        <v>48.5</v>
      </c>
      <c r="L216" s="181">
        <v>48.5</v>
      </c>
      <c r="M216" s="182">
        <v>48.5</v>
      </c>
      <c r="N216" s="180">
        <v>48.5</v>
      </c>
      <c r="O216" s="181">
        <v>48.5</v>
      </c>
      <c r="P216" s="182">
        <v>48.5</v>
      </c>
      <c r="Q216" s="180">
        <v>48.5</v>
      </c>
      <c r="R216" s="181">
        <v>48.5</v>
      </c>
      <c r="S216" s="182">
        <v>48.5</v>
      </c>
      <c r="T216" s="180">
        <v>48.5</v>
      </c>
      <c r="U216" s="181">
        <v>48.5</v>
      </c>
      <c r="V216" s="182">
        <v>48.5</v>
      </c>
      <c r="W216" s="180">
        <v>48.5</v>
      </c>
      <c r="X216" s="181">
        <v>48.5</v>
      </c>
      <c r="Y216" s="182">
        <v>48.5</v>
      </c>
      <c r="Z216" s="180">
        <v>48.5</v>
      </c>
      <c r="AA216" s="181">
        <v>48.5</v>
      </c>
      <c r="AB216" s="182">
        <v>48.5</v>
      </c>
      <c r="AC216" s="180">
        <v>48.5</v>
      </c>
      <c r="AD216" s="181">
        <v>48.5</v>
      </c>
      <c r="AE216" s="182">
        <v>48.5</v>
      </c>
      <c r="AF216" s="180">
        <v>48.5</v>
      </c>
      <c r="AG216" s="181">
        <v>48.5</v>
      </c>
      <c r="AH216" s="182">
        <v>48.5</v>
      </c>
      <c r="AI216" s="168" t="s">
        <v>1255</v>
      </c>
      <c r="AJ216" s="169" t="s">
        <v>2476</v>
      </c>
      <c r="AK216" s="170" t="s">
        <v>2477</v>
      </c>
      <c r="AL216" s="169" t="s">
        <v>2479</v>
      </c>
      <c r="AM216" s="183">
        <v>1378</v>
      </c>
    </row>
    <row r="217" spans="1:39" s="2" customFormat="1" ht="20.6">
      <c r="A217" s="179" t="s">
        <v>309</v>
      </c>
      <c r="B217" s="238" t="s">
        <v>163</v>
      </c>
      <c r="C217" s="164" t="s">
        <v>724</v>
      </c>
      <c r="D217" s="236" t="s">
        <v>726</v>
      </c>
      <c r="E217" s="180">
        <v>39.996000000000002</v>
      </c>
      <c r="F217" s="181">
        <v>39.996000000000002</v>
      </c>
      <c r="G217" s="182">
        <v>39.996000000000002</v>
      </c>
      <c r="H217" s="180">
        <v>39.996000000000002</v>
      </c>
      <c r="I217" s="181">
        <v>39.996000000000002</v>
      </c>
      <c r="J217" s="182">
        <v>39.996000000000002</v>
      </c>
      <c r="K217" s="180">
        <v>39.996000000000002</v>
      </c>
      <c r="L217" s="181">
        <v>39.996000000000002</v>
      </c>
      <c r="M217" s="182">
        <v>39.996000000000002</v>
      </c>
      <c r="N217" s="180">
        <v>39.996000000000002</v>
      </c>
      <c r="O217" s="181">
        <v>39.996000000000002</v>
      </c>
      <c r="P217" s="182">
        <v>39.996000000000002</v>
      </c>
      <c r="Q217" s="180">
        <v>39.996000000000002</v>
      </c>
      <c r="R217" s="181">
        <v>39.996000000000002</v>
      </c>
      <c r="S217" s="182">
        <v>39.996000000000002</v>
      </c>
      <c r="T217" s="180">
        <v>39.996000000000002</v>
      </c>
      <c r="U217" s="181">
        <v>39.996000000000002</v>
      </c>
      <c r="V217" s="182">
        <v>39.996000000000002</v>
      </c>
      <c r="W217" s="180">
        <v>39.996000000000002</v>
      </c>
      <c r="X217" s="181">
        <v>39.996000000000002</v>
      </c>
      <c r="Y217" s="182">
        <v>39.996000000000002</v>
      </c>
      <c r="Z217" s="180">
        <v>39.996000000000002</v>
      </c>
      <c r="AA217" s="181">
        <v>39.996000000000002</v>
      </c>
      <c r="AB217" s="182">
        <v>39.996000000000002</v>
      </c>
      <c r="AC217" s="180">
        <v>39.996000000000002</v>
      </c>
      <c r="AD217" s="181">
        <v>39.996000000000002</v>
      </c>
      <c r="AE217" s="182">
        <v>39.996000000000002</v>
      </c>
      <c r="AF217" s="180">
        <v>39.996000000000002</v>
      </c>
      <c r="AG217" s="181">
        <v>39.996000000000002</v>
      </c>
      <c r="AH217" s="182">
        <v>39.996000000000002</v>
      </c>
      <c r="AI217" s="168" t="s">
        <v>725</v>
      </c>
      <c r="AJ217" s="169" t="s">
        <v>2491</v>
      </c>
      <c r="AK217" s="170" t="s">
        <v>2477</v>
      </c>
      <c r="AL217" s="169" t="s">
        <v>2479</v>
      </c>
      <c r="AM217" s="183">
        <v>1528</v>
      </c>
    </row>
    <row r="218" spans="1:39" s="2" customFormat="1">
      <c r="A218" s="179" t="s">
        <v>309</v>
      </c>
      <c r="B218" s="238" t="s">
        <v>163</v>
      </c>
      <c r="C218" s="164" t="s">
        <v>3781</v>
      </c>
      <c r="D218" s="236" t="s">
        <v>3783</v>
      </c>
      <c r="E218" s="180">
        <v>760</v>
      </c>
      <c r="F218" s="181">
        <v>730</v>
      </c>
      <c r="G218" s="182">
        <v>715</v>
      </c>
      <c r="H218" s="180">
        <v>760</v>
      </c>
      <c r="I218" s="181">
        <v>730</v>
      </c>
      <c r="J218" s="182">
        <v>715</v>
      </c>
      <c r="K218" s="180">
        <v>760</v>
      </c>
      <c r="L218" s="181">
        <v>730</v>
      </c>
      <c r="M218" s="182">
        <v>715</v>
      </c>
      <c r="N218" s="180">
        <v>760</v>
      </c>
      <c r="O218" s="181">
        <v>730</v>
      </c>
      <c r="P218" s="182">
        <v>715</v>
      </c>
      <c r="Q218" s="180">
        <v>760</v>
      </c>
      <c r="R218" s="181">
        <v>730</v>
      </c>
      <c r="S218" s="182">
        <v>715</v>
      </c>
      <c r="T218" s="180">
        <v>760</v>
      </c>
      <c r="U218" s="181">
        <v>730</v>
      </c>
      <c r="V218" s="182">
        <v>715</v>
      </c>
      <c r="W218" s="180">
        <v>760</v>
      </c>
      <c r="X218" s="181">
        <v>730</v>
      </c>
      <c r="Y218" s="182">
        <v>715</v>
      </c>
      <c r="Z218" s="180">
        <v>760</v>
      </c>
      <c r="AA218" s="181">
        <v>730</v>
      </c>
      <c r="AB218" s="182">
        <v>715</v>
      </c>
      <c r="AC218" s="180">
        <v>760</v>
      </c>
      <c r="AD218" s="181">
        <v>730</v>
      </c>
      <c r="AE218" s="182">
        <v>715</v>
      </c>
      <c r="AF218" s="180">
        <v>760</v>
      </c>
      <c r="AG218" s="181">
        <v>730</v>
      </c>
      <c r="AH218" s="182">
        <v>715</v>
      </c>
      <c r="AI218" s="168" t="s">
        <v>3782</v>
      </c>
      <c r="AJ218" s="169" t="s">
        <v>2918</v>
      </c>
      <c r="AK218" s="170" t="s">
        <v>2640</v>
      </c>
      <c r="AL218" s="169" t="s">
        <v>12</v>
      </c>
      <c r="AM218" s="183">
        <v>1104</v>
      </c>
    </row>
    <row r="219" spans="1:39" s="2" customFormat="1">
      <c r="A219" s="179" t="s">
        <v>423</v>
      </c>
      <c r="B219" s="238" t="s">
        <v>163</v>
      </c>
      <c r="C219" s="164" t="s">
        <v>429</v>
      </c>
      <c r="D219" s="236" t="s">
        <v>431</v>
      </c>
      <c r="E219" s="180">
        <v>185</v>
      </c>
      <c r="F219" s="181">
        <v>185</v>
      </c>
      <c r="G219" s="182">
        <v>185</v>
      </c>
      <c r="H219" s="180">
        <v>185</v>
      </c>
      <c r="I219" s="181">
        <v>185</v>
      </c>
      <c r="J219" s="182">
        <v>185</v>
      </c>
      <c r="K219" s="180">
        <v>185</v>
      </c>
      <c r="L219" s="181">
        <v>185</v>
      </c>
      <c r="M219" s="182">
        <v>185</v>
      </c>
      <c r="N219" s="180">
        <v>185</v>
      </c>
      <c r="O219" s="181">
        <v>185</v>
      </c>
      <c r="P219" s="182">
        <v>185</v>
      </c>
      <c r="Q219" s="180">
        <v>185</v>
      </c>
      <c r="R219" s="181">
        <v>185</v>
      </c>
      <c r="S219" s="182">
        <v>185</v>
      </c>
      <c r="T219" s="180">
        <v>185</v>
      </c>
      <c r="U219" s="181">
        <v>185</v>
      </c>
      <c r="V219" s="182">
        <v>185</v>
      </c>
      <c r="W219" s="180">
        <v>185</v>
      </c>
      <c r="X219" s="181">
        <v>185</v>
      </c>
      <c r="Y219" s="182">
        <v>185</v>
      </c>
      <c r="Z219" s="180">
        <v>185</v>
      </c>
      <c r="AA219" s="181">
        <v>185</v>
      </c>
      <c r="AB219" s="182">
        <v>185</v>
      </c>
      <c r="AC219" s="180">
        <v>185</v>
      </c>
      <c r="AD219" s="181">
        <v>185</v>
      </c>
      <c r="AE219" s="182">
        <v>185</v>
      </c>
      <c r="AF219" s="180">
        <v>185</v>
      </c>
      <c r="AG219" s="181">
        <v>185</v>
      </c>
      <c r="AH219" s="182">
        <v>185</v>
      </c>
      <c r="AI219" s="168" t="s">
        <v>430</v>
      </c>
      <c r="AJ219" s="169" t="s">
        <v>2466</v>
      </c>
      <c r="AK219" s="170" t="s">
        <v>2467</v>
      </c>
      <c r="AL219" s="169" t="s">
        <v>20</v>
      </c>
      <c r="AM219" s="183">
        <v>2173</v>
      </c>
    </row>
    <row r="220" spans="1:39" s="2" customFormat="1">
      <c r="A220" s="179" t="s">
        <v>380</v>
      </c>
      <c r="B220" s="238" t="s">
        <v>163</v>
      </c>
      <c r="C220" s="164" t="s">
        <v>1778</v>
      </c>
      <c r="D220" s="236" t="s">
        <v>3798</v>
      </c>
      <c r="E220" s="180">
        <v>42</v>
      </c>
      <c r="F220" s="181">
        <v>37</v>
      </c>
      <c r="G220" s="182">
        <v>35</v>
      </c>
      <c r="H220" s="180">
        <v>42</v>
      </c>
      <c r="I220" s="181">
        <v>37</v>
      </c>
      <c r="J220" s="182">
        <v>35</v>
      </c>
      <c r="K220" s="180">
        <v>42</v>
      </c>
      <c r="L220" s="181">
        <v>37</v>
      </c>
      <c r="M220" s="182">
        <v>35</v>
      </c>
      <c r="N220" s="180">
        <v>42</v>
      </c>
      <c r="O220" s="181">
        <v>37</v>
      </c>
      <c r="P220" s="182">
        <v>35</v>
      </c>
      <c r="Q220" s="180">
        <v>42</v>
      </c>
      <c r="R220" s="181">
        <v>37</v>
      </c>
      <c r="S220" s="182">
        <v>35</v>
      </c>
      <c r="T220" s="180">
        <v>42</v>
      </c>
      <c r="U220" s="181">
        <v>37</v>
      </c>
      <c r="V220" s="182">
        <v>35</v>
      </c>
      <c r="W220" s="180">
        <v>42</v>
      </c>
      <c r="X220" s="181">
        <v>37</v>
      </c>
      <c r="Y220" s="182">
        <v>35</v>
      </c>
      <c r="Z220" s="180">
        <v>42</v>
      </c>
      <c r="AA220" s="181">
        <v>37</v>
      </c>
      <c r="AB220" s="182">
        <v>35</v>
      </c>
      <c r="AC220" s="180">
        <v>42</v>
      </c>
      <c r="AD220" s="181">
        <v>37</v>
      </c>
      <c r="AE220" s="182">
        <v>35</v>
      </c>
      <c r="AF220" s="180">
        <v>42</v>
      </c>
      <c r="AG220" s="181">
        <v>37</v>
      </c>
      <c r="AH220" s="182">
        <v>35</v>
      </c>
      <c r="AI220" s="168" t="s">
        <v>1759</v>
      </c>
      <c r="AJ220" s="169" t="s">
        <v>2555</v>
      </c>
      <c r="AK220" s="170" t="s">
        <v>2556</v>
      </c>
      <c r="AL220" s="169" t="s">
        <v>14</v>
      </c>
      <c r="AM220" s="183">
        <v>1107</v>
      </c>
    </row>
    <row r="221" spans="1:39" s="2" customFormat="1">
      <c r="A221" s="179" t="s">
        <v>380</v>
      </c>
      <c r="B221" s="238" t="s">
        <v>163</v>
      </c>
      <c r="C221" s="164" t="s">
        <v>1778</v>
      </c>
      <c r="D221" s="236" t="s">
        <v>3799</v>
      </c>
      <c r="E221" s="180">
        <v>42</v>
      </c>
      <c r="F221" s="181">
        <v>37</v>
      </c>
      <c r="G221" s="182">
        <v>35</v>
      </c>
      <c r="H221" s="180">
        <v>42</v>
      </c>
      <c r="I221" s="181">
        <v>37</v>
      </c>
      <c r="J221" s="182">
        <v>35</v>
      </c>
      <c r="K221" s="180">
        <v>42</v>
      </c>
      <c r="L221" s="181">
        <v>37</v>
      </c>
      <c r="M221" s="182">
        <v>35</v>
      </c>
      <c r="N221" s="180">
        <v>42</v>
      </c>
      <c r="O221" s="181">
        <v>37</v>
      </c>
      <c r="P221" s="182">
        <v>35</v>
      </c>
      <c r="Q221" s="180">
        <v>42</v>
      </c>
      <c r="R221" s="181">
        <v>37</v>
      </c>
      <c r="S221" s="182">
        <v>35</v>
      </c>
      <c r="T221" s="180">
        <v>42</v>
      </c>
      <c r="U221" s="181">
        <v>37</v>
      </c>
      <c r="V221" s="182">
        <v>35</v>
      </c>
      <c r="W221" s="180">
        <v>42</v>
      </c>
      <c r="X221" s="181">
        <v>37</v>
      </c>
      <c r="Y221" s="182">
        <v>35</v>
      </c>
      <c r="Z221" s="180">
        <v>42</v>
      </c>
      <c r="AA221" s="181">
        <v>37</v>
      </c>
      <c r="AB221" s="182">
        <v>35</v>
      </c>
      <c r="AC221" s="180">
        <v>42</v>
      </c>
      <c r="AD221" s="181">
        <v>37</v>
      </c>
      <c r="AE221" s="182">
        <v>35</v>
      </c>
      <c r="AF221" s="180">
        <v>42</v>
      </c>
      <c r="AG221" s="181">
        <v>37</v>
      </c>
      <c r="AH221" s="182">
        <v>35</v>
      </c>
      <c r="AI221" s="168" t="s">
        <v>1759</v>
      </c>
      <c r="AJ221" s="169" t="s">
        <v>2555</v>
      </c>
      <c r="AK221" s="170" t="s">
        <v>2556</v>
      </c>
      <c r="AL221" s="169" t="s">
        <v>14</v>
      </c>
      <c r="AM221" s="183">
        <v>1107</v>
      </c>
    </row>
    <row r="222" spans="1:39" s="2" customFormat="1">
      <c r="A222" s="179" t="s">
        <v>380</v>
      </c>
      <c r="B222" s="238" t="s">
        <v>163</v>
      </c>
      <c r="C222" s="164" t="s">
        <v>3800</v>
      </c>
      <c r="D222" s="236" t="s">
        <v>3802</v>
      </c>
      <c r="E222" s="180">
        <v>80.5</v>
      </c>
      <c r="F222" s="181">
        <v>80.5</v>
      </c>
      <c r="G222" s="182">
        <v>80.5</v>
      </c>
      <c r="H222" s="180">
        <v>80.5</v>
      </c>
      <c r="I222" s="181">
        <v>80.5</v>
      </c>
      <c r="J222" s="182">
        <v>80.5</v>
      </c>
      <c r="K222" s="180">
        <v>80.5</v>
      </c>
      <c r="L222" s="181">
        <v>80.5</v>
      </c>
      <c r="M222" s="182">
        <v>80.5</v>
      </c>
      <c r="N222" s="180">
        <v>80.5</v>
      </c>
      <c r="O222" s="181">
        <v>80.5</v>
      </c>
      <c r="P222" s="182">
        <v>80.5</v>
      </c>
      <c r="Q222" s="180">
        <v>80.5</v>
      </c>
      <c r="R222" s="181">
        <v>80.5</v>
      </c>
      <c r="S222" s="182">
        <v>80.5</v>
      </c>
      <c r="T222" s="180">
        <v>80.5</v>
      </c>
      <c r="U222" s="181">
        <v>80.5</v>
      </c>
      <c r="V222" s="182">
        <v>80.5</v>
      </c>
      <c r="W222" s="180">
        <v>80.5</v>
      </c>
      <c r="X222" s="181">
        <v>80.5</v>
      </c>
      <c r="Y222" s="182">
        <v>80.5</v>
      </c>
      <c r="Z222" s="180">
        <v>80.5</v>
      </c>
      <c r="AA222" s="181">
        <v>80.5</v>
      </c>
      <c r="AB222" s="182">
        <v>80.5</v>
      </c>
      <c r="AC222" s="180">
        <v>80.5</v>
      </c>
      <c r="AD222" s="181">
        <v>80.5</v>
      </c>
      <c r="AE222" s="182">
        <v>80.5</v>
      </c>
      <c r="AF222" s="180">
        <v>80.5</v>
      </c>
      <c r="AG222" s="181">
        <v>80.5</v>
      </c>
      <c r="AH222" s="182">
        <v>80.5</v>
      </c>
      <c r="AI222" s="168" t="s">
        <v>3801</v>
      </c>
      <c r="AJ222" s="169" t="s">
        <v>2485</v>
      </c>
      <c r="AK222" s="170" t="s">
        <v>2486</v>
      </c>
      <c r="AL222" s="169" t="s">
        <v>17</v>
      </c>
      <c r="AM222" s="183">
        <v>1108</v>
      </c>
    </row>
    <row r="223" spans="1:39" s="2" customFormat="1">
      <c r="A223" s="179" t="s">
        <v>380</v>
      </c>
      <c r="B223" s="238" t="s">
        <v>163</v>
      </c>
      <c r="C223" s="164" t="s">
        <v>3803</v>
      </c>
      <c r="D223" s="236" t="s">
        <v>3804</v>
      </c>
      <c r="E223" s="180">
        <v>159</v>
      </c>
      <c r="F223" s="181">
        <v>159</v>
      </c>
      <c r="G223" s="182">
        <v>159</v>
      </c>
      <c r="H223" s="180">
        <v>159</v>
      </c>
      <c r="I223" s="181">
        <v>159</v>
      </c>
      <c r="J223" s="182">
        <v>159</v>
      </c>
      <c r="K223" s="180">
        <v>159</v>
      </c>
      <c r="L223" s="181">
        <v>159</v>
      </c>
      <c r="M223" s="182">
        <v>159</v>
      </c>
      <c r="N223" s="180">
        <v>159</v>
      </c>
      <c r="O223" s="181">
        <v>159</v>
      </c>
      <c r="P223" s="182">
        <v>159</v>
      </c>
      <c r="Q223" s="180">
        <v>159</v>
      </c>
      <c r="R223" s="181">
        <v>159</v>
      </c>
      <c r="S223" s="182">
        <v>159</v>
      </c>
      <c r="T223" s="180">
        <v>159</v>
      </c>
      <c r="U223" s="181">
        <v>159</v>
      </c>
      <c r="V223" s="182">
        <v>159</v>
      </c>
      <c r="W223" s="180">
        <v>159</v>
      </c>
      <c r="X223" s="181">
        <v>159</v>
      </c>
      <c r="Y223" s="182">
        <v>159</v>
      </c>
      <c r="Z223" s="180">
        <v>159</v>
      </c>
      <c r="AA223" s="181">
        <v>159</v>
      </c>
      <c r="AB223" s="182">
        <v>159</v>
      </c>
      <c r="AC223" s="180">
        <v>159</v>
      </c>
      <c r="AD223" s="181">
        <v>159</v>
      </c>
      <c r="AE223" s="182">
        <v>159</v>
      </c>
      <c r="AF223" s="180">
        <v>159</v>
      </c>
      <c r="AG223" s="181">
        <v>159</v>
      </c>
      <c r="AH223" s="182">
        <v>159</v>
      </c>
      <c r="AI223" s="168" t="s">
        <v>3801</v>
      </c>
      <c r="AJ223" s="169" t="s">
        <v>2485</v>
      </c>
      <c r="AK223" s="170" t="s">
        <v>2486</v>
      </c>
      <c r="AL223" s="169" t="s">
        <v>17</v>
      </c>
      <c r="AM223" s="183">
        <v>1109</v>
      </c>
    </row>
    <row r="224" spans="1:39" s="2" customFormat="1">
      <c r="A224" s="179" t="s">
        <v>380</v>
      </c>
      <c r="B224" s="238" t="s">
        <v>163</v>
      </c>
      <c r="C224" s="164" t="s">
        <v>3805</v>
      </c>
      <c r="D224" s="236" t="s">
        <v>3806</v>
      </c>
      <c r="E224" s="180">
        <v>39</v>
      </c>
      <c r="F224" s="181">
        <v>39</v>
      </c>
      <c r="G224" s="182">
        <v>39</v>
      </c>
      <c r="H224" s="180">
        <v>39</v>
      </c>
      <c r="I224" s="181">
        <v>39</v>
      </c>
      <c r="J224" s="182">
        <v>39</v>
      </c>
      <c r="K224" s="180">
        <v>39</v>
      </c>
      <c r="L224" s="181">
        <v>39</v>
      </c>
      <c r="M224" s="182">
        <v>39</v>
      </c>
      <c r="N224" s="180">
        <v>39</v>
      </c>
      <c r="O224" s="181">
        <v>39</v>
      </c>
      <c r="P224" s="182">
        <v>39</v>
      </c>
      <c r="Q224" s="180">
        <v>39</v>
      </c>
      <c r="R224" s="181">
        <v>39</v>
      </c>
      <c r="S224" s="182">
        <v>39</v>
      </c>
      <c r="T224" s="180">
        <v>39</v>
      </c>
      <c r="U224" s="181">
        <v>39</v>
      </c>
      <c r="V224" s="182">
        <v>39</v>
      </c>
      <c r="W224" s="180">
        <v>39</v>
      </c>
      <c r="X224" s="181">
        <v>39</v>
      </c>
      <c r="Y224" s="182">
        <v>39</v>
      </c>
      <c r="Z224" s="180">
        <v>39</v>
      </c>
      <c r="AA224" s="181">
        <v>39</v>
      </c>
      <c r="AB224" s="182">
        <v>39</v>
      </c>
      <c r="AC224" s="180">
        <v>39</v>
      </c>
      <c r="AD224" s="181">
        <v>39</v>
      </c>
      <c r="AE224" s="182">
        <v>39</v>
      </c>
      <c r="AF224" s="180">
        <v>39</v>
      </c>
      <c r="AG224" s="181">
        <v>39</v>
      </c>
      <c r="AH224" s="182">
        <v>39</v>
      </c>
      <c r="AI224" s="168" t="s">
        <v>3801</v>
      </c>
      <c r="AJ224" s="169" t="s">
        <v>2485</v>
      </c>
      <c r="AK224" s="170" t="s">
        <v>2486</v>
      </c>
      <c r="AL224" s="169" t="s">
        <v>17</v>
      </c>
      <c r="AM224" s="183">
        <v>1110</v>
      </c>
    </row>
    <row r="225" spans="1:39" s="2" customFormat="1">
      <c r="A225" s="179" t="s">
        <v>380</v>
      </c>
      <c r="B225" s="238" t="s">
        <v>163</v>
      </c>
      <c r="C225" s="164" t="s">
        <v>1969</v>
      </c>
      <c r="D225" s="236" t="s">
        <v>3808</v>
      </c>
      <c r="E225" s="180">
        <v>25</v>
      </c>
      <c r="F225" s="181">
        <v>25</v>
      </c>
      <c r="G225" s="182">
        <v>25</v>
      </c>
      <c r="H225" s="180">
        <v>25</v>
      </c>
      <c r="I225" s="181">
        <v>25</v>
      </c>
      <c r="J225" s="182">
        <v>25</v>
      </c>
      <c r="K225" s="180">
        <v>25</v>
      </c>
      <c r="L225" s="181">
        <v>25</v>
      </c>
      <c r="M225" s="182">
        <v>25</v>
      </c>
      <c r="N225" s="180">
        <v>25</v>
      </c>
      <c r="O225" s="181">
        <v>25</v>
      </c>
      <c r="P225" s="182">
        <v>25</v>
      </c>
      <c r="Q225" s="180">
        <v>25</v>
      </c>
      <c r="R225" s="181">
        <v>25</v>
      </c>
      <c r="S225" s="182">
        <v>25</v>
      </c>
      <c r="T225" s="180">
        <v>25</v>
      </c>
      <c r="U225" s="181">
        <v>25</v>
      </c>
      <c r="V225" s="182">
        <v>25</v>
      </c>
      <c r="W225" s="180">
        <v>25</v>
      </c>
      <c r="X225" s="181">
        <v>25</v>
      </c>
      <c r="Y225" s="182">
        <v>25</v>
      </c>
      <c r="Z225" s="180">
        <v>25</v>
      </c>
      <c r="AA225" s="181">
        <v>25</v>
      </c>
      <c r="AB225" s="182">
        <v>25</v>
      </c>
      <c r="AC225" s="180">
        <v>25</v>
      </c>
      <c r="AD225" s="181">
        <v>25</v>
      </c>
      <c r="AE225" s="182">
        <v>25</v>
      </c>
      <c r="AF225" s="180">
        <v>25</v>
      </c>
      <c r="AG225" s="181">
        <v>25</v>
      </c>
      <c r="AH225" s="182">
        <v>25</v>
      </c>
      <c r="AI225" s="168" t="s">
        <v>3807</v>
      </c>
      <c r="AJ225" s="169" t="s">
        <v>2466</v>
      </c>
      <c r="AK225" s="170" t="s">
        <v>2467</v>
      </c>
      <c r="AL225" s="169" t="s">
        <v>20</v>
      </c>
      <c r="AM225" s="183">
        <v>1568</v>
      </c>
    </row>
    <row r="226" spans="1:39" s="2" customFormat="1">
      <c r="A226" s="179" t="s">
        <v>565</v>
      </c>
      <c r="B226" s="238" t="s">
        <v>163</v>
      </c>
      <c r="C226" s="164" t="s">
        <v>3809</v>
      </c>
      <c r="D226" s="236" t="s">
        <v>3810</v>
      </c>
      <c r="E226" s="180">
        <v>30</v>
      </c>
      <c r="F226" s="181">
        <v>30</v>
      </c>
      <c r="G226" s="182">
        <v>30</v>
      </c>
      <c r="H226" s="180">
        <v>30</v>
      </c>
      <c r="I226" s="181">
        <v>30</v>
      </c>
      <c r="J226" s="182">
        <v>30</v>
      </c>
      <c r="K226" s="180">
        <v>30</v>
      </c>
      <c r="L226" s="181">
        <v>30</v>
      </c>
      <c r="M226" s="182">
        <v>30</v>
      </c>
      <c r="N226" s="180">
        <v>30</v>
      </c>
      <c r="O226" s="181">
        <v>0</v>
      </c>
      <c r="P226" s="182">
        <v>0</v>
      </c>
      <c r="Q226" s="180">
        <v>30</v>
      </c>
      <c r="R226" s="181">
        <v>30</v>
      </c>
      <c r="S226" s="182">
        <v>30</v>
      </c>
      <c r="T226" s="180">
        <v>30</v>
      </c>
      <c r="U226" s="181">
        <v>30</v>
      </c>
      <c r="V226" s="182">
        <v>30</v>
      </c>
      <c r="W226" s="180">
        <v>30</v>
      </c>
      <c r="X226" s="181">
        <v>30</v>
      </c>
      <c r="Y226" s="182">
        <v>30</v>
      </c>
      <c r="Z226" s="180">
        <v>30</v>
      </c>
      <c r="AA226" s="181">
        <v>30</v>
      </c>
      <c r="AB226" s="182">
        <v>30</v>
      </c>
      <c r="AC226" s="180">
        <v>30</v>
      </c>
      <c r="AD226" s="181">
        <v>30</v>
      </c>
      <c r="AE226" s="182">
        <v>30</v>
      </c>
      <c r="AF226" s="180">
        <v>30</v>
      </c>
      <c r="AG226" s="181">
        <v>30</v>
      </c>
      <c r="AH226" s="182">
        <v>30</v>
      </c>
      <c r="AI226" s="168" t="s">
        <v>1137</v>
      </c>
      <c r="AJ226" s="169" t="s">
        <v>2593</v>
      </c>
      <c r="AK226" s="170" t="s">
        <v>2482</v>
      </c>
      <c r="AL226" s="169" t="s">
        <v>18</v>
      </c>
      <c r="AM226" s="183">
        <v>1111</v>
      </c>
    </row>
    <row r="227" spans="1:39" s="2" customFormat="1" ht="20.6">
      <c r="A227" s="179" t="s">
        <v>423</v>
      </c>
      <c r="B227" s="238" t="s">
        <v>2463</v>
      </c>
      <c r="C227" s="164" t="s">
        <v>469</v>
      </c>
      <c r="D227" s="236" t="s">
        <v>5182</v>
      </c>
      <c r="E227" s="180">
        <v>0</v>
      </c>
      <c r="F227" s="181">
        <v>0</v>
      </c>
      <c r="G227" s="182">
        <v>0</v>
      </c>
      <c r="H227" s="180">
        <v>80.040000000000006</v>
      </c>
      <c r="I227" s="181">
        <v>80.040000000000006</v>
      </c>
      <c r="J227" s="182">
        <v>80.040000000000006</v>
      </c>
      <c r="K227" s="180">
        <v>80.040000000000006</v>
      </c>
      <c r="L227" s="181">
        <v>80.040000000000006</v>
      </c>
      <c r="M227" s="182">
        <v>80.040000000000006</v>
      </c>
      <c r="N227" s="180">
        <v>80.040000000000006</v>
      </c>
      <c r="O227" s="181">
        <v>80.040000000000006</v>
      </c>
      <c r="P227" s="182">
        <v>80.040000000000006</v>
      </c>
      <c r="Q227" s="180">
        <v>80.040000000000006</v>
      </c>
      <c r="R227" s="181">
        <v>80.040000000000006</v>
      </c>
      <c r="S227" s="182">
        <v>80.040000000000006</v>
      </c>
      <c r="T227" s="180">
        <v>80.040000000000006</v>
      </c>
      <c r="U227" s="181">
        <v>80.040000000000006</v>
      </c>
      <c r="V227" s="182">
        <v>80.040000000000006</v>
      </c>
      <c r="W227" s="180">
        <v>80.040000000000006</v>
      </c>
      <c r="X227" s="181">
        <v>80.040000000000006</v>
      </c>
      <c r="Y227" s="182">
        <v>80.040000000000006</v>
      </c>
      <c r="Z227" s="180">
        <v>80.040000000000006</v>
      </c>
      <c r="AA227" s="181">
        <v>80.040000000000006</v>
      </c>
      <c r="AB227" s="182">
        <v>80.040000000000006</v>
      </c>
      <c r="AC227" s="180">
        <v>80.040000000000006</v>
      </c>
      <c r="AD227" s="181">
        <v>80.040000000000006</v>
      </c>
      <c r="AE227" s="182">
        <v>80.040000000000006</v>
      </c>
      <c r="AF227" s="180">
        <v>80.040000000000006</v>
      </c>
      <c r="AG227" s="181">
        <v>80.040000000000006</v>
      </c>
      <c r="AH227" s="182">
        <v>80.040000000000006</v>
      </c>
      <c r="AI227" s="168" t="s">
        <v>470</v>
      </c>
      <c r="AJ227" s="169" t="s">
        <v>2491</v>
      </c>
      <c r="AK227" s="170" t="s">
        <v>2477</v>
      </c>
      <c r="AL227" s="169" t="s">
        <v>2479</v>
      </c>
      <c r="AM227" s="183">
        <v>2684</v>
      </c>
    </row>
    <row r="228" spans="1:39" s="2" customFormat="1">
      <c r="A228" s="179" t="s">
        <v>423</v>
      </c>
      <c r="B228" s="238" t="s">
        <v>163</v>
      </c>
      <c r="C228" s="164" t="s">
        <v>432</v>
      </c>
      <c r="D228" s="236" t="s">
        <v>433</v>
      </c>
      <c r="E228" s="180">
        <v>100</v>
      </c>
      <c r="F228" s="181">
        <v>100</v>
      </c>
      <c r="G228" s="182">
        <v>100</v>
      </c>
      <c r="H228" s="180">
        <v>100</v>
      </c>
      <c r="I228" s="181">
        <v>100</v>
      </c>
      <c r="J228" s="182">
        <v>100</v>
      </c>
      <c r="K228" s="180">
        <v>100</v>
      </c>
      <c r="L228" s="181">
        <v>100</v>
      </c>
      <c r="M228" s="182">
        <v>100</v>
      </c>
      <c r="N228" s="180">
        <v>98</v>
      </c>
      <c r="O228" s="181">
        <v>98</v>
      </c>
      <c r="P228" s="182">
        <v>98</v>
      </c>
      <c r="Q228" s="180">
        <v>98</v>
      </c>
      <c r="R228" s="181">
        <v>98</v>
      </c>
      <c r="S228" s="182">
        <v>98</v>
      </c>
      <c r="T228" s="180">
        <v>96</v>
      </c>
      <c r="U228" s="181">
        <v>96</v>
      </c>
      <c r="V228" s="182">
        <v>96</v>
      </c>
      <c r="W228" s="180">
        <v>96</v>
      </c>
      <c r="X228" s="181">
        <v>96</v>
      </c>
      <c r="Y228" s="182">
        <v>96</v>
      </c>
      <c r="Z228" s="180">
        <v>94</v>
      </c>
      <c r="AA228" s="181">
        <v>94</v>
      </c>
      <c r="AB228" s="182">
        <v>94</v>
      </c>
      <c r="AC228" s="180">
        <v>94</v>
      </c>
      <c r="AD228" s="181">
        <v>94</v>
      </c>
      <c r="AE228" s="182">
        <v>94</v>
      </c>
      <c r="AF228" s="180">
        <v>92</v>
      </c>
      <c r="AG228" s="181">
        <v>92</v>
      </c>
      <c r="AH228" s="182">
        <v>92</v>
      </c>
      <c r="AI228" s="168" t="s">
        <v>236</v>
      </c>
      <c r="AJ228" s="169" t="s">
        <v>2466</v>
      </c>
      <c r="AK228" s="170" t="s">
        <v>2467</v>
      </c>
      <c r="AL228" s="169" t="s">
        <v>20</v>
      </c>
      <c r="AM228" s="183">
        <v>1932</v>
      </c>
    </row>
    <row r="229" spans="1:39" s="2" customFormat="1">
      <c r="A229" s="179" t="s">
        <v>423</v>
      </c>
      <c r="B229" s="238" t="s">
        <v>163</v>
      </c>
      <c r="C229" s="164" t="s">
        <v>3827</v>
      </c>
      <c r="D229" s="236" t="s">
        <v>3828</v>
      </c>
      <c r="E229" s="180">
        <v>172</v>
      </c>
      <c r="F229" s="181">
        <v>172</v>
      </c>
      <c r="G229" s="182">
        <v>172</v>
      </c>
      <c r="H229" s="180">
        <v>172</v>
      </c>
      <c r="I229" s="181">
        <v>172</v>
      </c>
      <c r="J229" s="182">
        <v>172</v>
      </c>
      <c r="K229" s="180">
        <v>172</v>
      </c>
      <c r="L229" s="181">
        <v>172</v>
      </c>
      <c r="M229" s="182">
        <v>172</v>
      </c>
      <c r="N229" s="180">
        <v>172</v>
      </c>
      <c r="O229" s="181">
        <v>172</v>
      </c>
      <c r="P229" s="182">
        <v>172</v>
      </c>
      <c r="Q229" s="180">
        <v>172</v>
      </c>
      <c r="R229" s="181">
        <v>172</v>
      </c>
      <c r="S229" s="182">
        <v>172</v>
      </c>
      <c r="T229" s="180">
        <v>172</v>
      </c>
      <c r="U229" s="181">
        <v>172</v>
      </c>
      <c r="V229" s="182">
        <v>172</v>
      </c>
      <c r="W229" s="180">
        <v>172</v>
      </c>
      <c r="X229" s="181">
        <v>172</v>
      </c>
      <c r="Y229" s="182">
        <v>172</v>
      </c>
      <c r="Z229" s="180">
        <v>172</v>
      </c>
      <c r="AA229" s="181">
        <v>172</v>
      </c>
      <c r="AB229" s="182">
        <v>172</v>
      </c>
      <c r="AC229" s="180">
        <v>172</v>
      </c>
      <c r="AD229" s="181">
        <v>172</v>
      </c>
      <c r="AE229" s="182">
        <v>172</v>
      </c>
      <c r="AF229" s="180">
        <v>172</v>
      </c>
      <c r="AG229" s="181">
        <v>172</v>
      </c>
      <c r="AH229" s="182">
        <v>172</v>
      </c>
      <c r="AI229" s="168" t="s">
        <v>218</v>
      </c>
      <c r="AJ229" s="169" t="s">
        <v>2555</v>
      </c>
      <c r="AK229" s="170" t="s">
        <v>2556</v>
      </c>
      <c r="AL229" s="169" t="s">
        <v>14</v>
      </c>
      <c r="AM229" s="183">
        <v>1115</v>
      </c>
    </row>
    <row r="230" spans="1:39" s="2" customFormat="1">
      <c r="A230" s="179" t="s">
        <v>423</v>
      </c>
      <c r="B230" s="238" t="s">
        <v>163</v>
      </c>
      <c r="C230" s="164" t="s">
        <v>3827</v>
      </c>
      <c r="D230" s="236" t="s">
        <v>3829</v>
      </c>
      <c r="E230" s="180">
        <v>172</v>
      </c>
      <c r="F230" s="181">
        <v>172</v>
      </c>
      <c r="G230" s="182">
        <v>172</v>
      </c>
      <c r="H230" s="180">
        <v>172</v>
      </c>
      <c r="I230" s="181">
        <v>172</v>
      </c>
      <c r="J230" s="182">
        <v>172</v>
      </c>
      <c r="K230" s="180">
        <v>172</v>
      </c>
      <c r="L230" s="181">
        <v>172</v>
      </c>
      <c r="M230" s="182">
        <v>172</v>
      </c>
      <c r="N230" s="180">
        <v>172</v>
      </c>
      <c r="O230" s="181">
        <v>172</v>
      </c>
      <c r="P230" s="182">
        <v>172</v>
      </c>
      <c r="Q230" s="180">
        <v>172</v>
      </c>
      <c r="R230" s="181">
        <v>172</v>
      </c>
      <c r="S230" s="182">
        <v>172</v>
      </c>
      <c r="T230" s="180">
        <v>172</v>
      </c>
      <c r="U230" s="181">
        <v>172</v>
      </c>
      <c r="V230" s="182">
        <v>172</v>
      </c>
      <c r="W230" s="180">
        <v>172</v>
      </c>
      <c r="X230" s="181">
        <v>172</v>
      </c>
      <c r="Y230" s="182">
        <v>172</v>
      </c>
      <c r="Z230" s="180">
        <v>172</v>
      </c>
      <c r="AA230" s="181">
        <v>172</v>
      </c>
      <c r="AB230" s="182">
        <v>172</v>
      </c>
      <c r="AC230" s="180">
        <v>172</v>
      </c>
      <c r="AD230" s="181">
        <v>172</v>
      </c>
      <c r="AE230" s="182">
        <v>172</v>
      </c>
      <c r="AF230" s="180">
        <v>172</v>
      </c>
      <c r="AG230" s="181">
        <v>172</v>
      </c>
      <c r="AH230" s="182">
        <v>172</v>
      </c>
      <c r="AI230" s="168" t="s">
        <v>218</v>
      </c>
      <c r="AJ230" s="169" t="s">
        <v>2555</v>
      </c>
      <c r="AK230" s="170" t="s">
        <v>2556</v>
      </c>
      <c r="AL230" s="169" t="s">
        <v>14</v>
      </c>
      <c r="AM230" s="183">
        <v>1115</v>
      </c>
    </row>
    <row r="231" spans="1:39" s="2" customFormat="1">
      <c r="A231" s="179" t="s">
        <v>565</v>
      </c>
      <c r="B231" s="238" t="s">
        <v>163</v>
      </c>
      <c r="C231" s="164" t="s">
        <v>3835</v>
      </c>
      <c r="D231" s="236" t="s">
        <v>3836</v>
      </c>
      <c r="E231" s="180">
        <v>87</v>
      </c>
      <c r="F231" s="181">
        <v>33</v>
      </c>
      <c r="G231" s="182">
        <v>33</v>
      </c>
      <c r="H231" s="180">
        <v>33</v>
      </c>
      <c r="I231" s="181">
        <v>88</v>
      </c>
      <c r="J231" s="182">
        <v>88</v>
      </c>
      <c r="K231" s="180">
        <v>88</v>
      </c>
      <c r="L231" s="181">
        <v>55</v>
      </c>
      <c r="M231" s="182">
        <v>55</v>
      </c>
      <c r="N231" s="180">
        <v>88</v>
      </c>
      <c r="O231" s="181">
        <v>88</v>
      </c>
      <c r="P231" s="182">
        <v>88</v>
      </c>
      <c r="Q231" s="180">
        <v>88</v>
      </c>
      <c r="R231" s="181">
        <v>33</v>
      </c>
      <c r="S231" s="182">
        <v>33</v>
      </c>
      <c r="T231" s="180">
        <v>88</v>
      </c>
      <c r="U231" s="181">
        <v>88</v>
      </c>
      <c r="V231" s="182">
        <v>88</v>
      </c>
      <c r="W231" s="180">
        <v>88</v>
      </c>
      <c r="X231" s="181">
        <v>88</v>
      </c>
      <c r="Y231" s="182">
        <v>88</v>
      </c>
      <c r="Z231" s="180">
        <v>88</v>
      </c>
      <c r="AA231" s="181">
        <v>88</v>
      </c>
      <c r="AB231" s="182">
        <v>88</v>
      </c>
      <c r="AC231" s="180">
        <v>88</v>
      </c>
      <c r="AD231" s="181">
        <v>88</v>
      </c>
      <c r="AE231" s="182">
        <v>88</v>
      </c>
      <c r="AF231" s="180">
        <v>88</v>
      </c>
      <c r="AG231" s="181">
        <v>88</v>
      </c>
      <c r="AH231" s="182">
        <v>88</v>
      </c>
      <c r="AI231" s="168" t="s">
        <v>1137</v>
      </c>
      <c r="AJ231" s="169" t="s">
        <v>2593</v>
      </c>
      <c r="AK231" s="170" t="s">
        <v>2482</v>
      </c>
      <c r="AL231" s="169" t="s">
        <v>18</v>
      </c>
      <c r="AM231" s="183">
        <v>1116</v>
      </c>
    </row>
    <row r="232" spans="1:39" s="2" customFormat="1">
      <c r="A232" s="179" t="s">
        <v>7</v>
      </c>
      <c r="B232" s="238" t="s">
        <v>2463</v>
      </c>
      <c r="C232" s="164" t="s">
        <v>204</v>
      </c>
      <c r="D232" s="236" t="s">
        <v>3844</v>
      </c>
      <c r="E232" s="180">
        <v>0</v>
      </c>
      <c r="F232" s="181">
        <v>250</v>
      </c>
      <c r="G232" s="182">
        <v>250</v>
      </c>
      <c r="H232" s="180">
        <v>500</v>
      </c>
      <c r="I232" s="181">
        <v>500</v>
      </c>
      <c r="J232" s="182">
        <v>500</v>
      </c>
      <c r="K232" s="180">
        <v>500</v>
      </c>
      <c r="L232" s="181">
        <v>500</v>
      </c>
      <c r="M232" s="182">
        <v>500</v>
      </c>
      <c r="N232" s="180">
        <v>500</v>
      </c>
      <c r="O232" s="181">
        <v>500</v>
      </c>
      <c r="P232" s="182">
        <v>500</v>
      </c>
      <c r="Q232" s="180">
        <v>500</v>
      </c>
      <c r="R232" s="181">
        <v>500</v>
      </c>
      <c r="S232" s="182">
        <v>500</v>
      </c>
      <c r="T232" s="180">
        <v>500</v>
      </c>
      <c r="U232" s="181">
        <v>500</v>
      </c>
      <c r="V232" s="182">
        <v>500</v>
      </c>
      <c r="W232" s="180">
        <v>500</v>
      </c>
      <c r="X232" s="181">
        <v>500</v>
      </c>
      <c r="Y232" s="182">
        <v>500</v>
      </c>
      <c r="Z232" s="180">
        <v>500</v>
      </c>
      <c r="AA232" s="181">
        <v>500</v>
      </c>
      <c r="AB232" s="182">
        <v>500</v>
      </c>
      <c r="AC232" s="180">
        <v>500</v>
      </c>
      <c r="AD232" s="181">
        <v>500</v>
      </c>
      <c r="AE232" s="182">
        <v>500</v>
      </c>
      <c r="AF232" s="180">
        <v>500</v>
      </c>
      <c r="AG232" s="181">
        <v>500</v>
      </c>
      <c r="AH232" s="182">
        <v>500</v>
      </c>
      <c r="AI232" s="168" t="s">
        <v>205</v>
      </c>
      <c r="AJ232" s="169" t="s">
        <v>2466</v>
      </c>
      <c r="AK232" s="170" t="s">
        <v>2467</v>
      </c>
      <c r="AL232" s="169" t="s">
        <v>20</v>
      </c>
      <c r="AM232" s="183">
        <v>2171</v>
      </c>
    </row>
    <row r="233" spans="1:39" s="2" customFormat="1">
      <c r="A233" s="179" t="s">
        <v>309</v>
      </c>
      <c r="B233" s="238" t="s">
        <v>163</v>
      </c>
      <c r="C233" s="164" t="s">
        <v>1431</v>
      </c>
      <c r="D233" s="236" t="s">
        <v>1433</v>
      </c>
      <c r="E233" s="180">
        <v>99.974000000000004</v>
      </c>
      <c r="F233" s="181">
        <v>98.79</v>
      </c>
      <c r="G233" s="182">
        <v>97.531999999999996</v>
      </c>
      <c r="H233" s="180">
        <v>99.974000000000004</v>
      </c>
      <c r="I233" s="181">
        <v>98.79</v>
      </c>
      <c r="J233" s="182">
        <v>97.531999999999996</v>
      </c>
      <c r="K233" s="180">
        <v>99.974000000000004</v>
      </c>
      <c r="L233" s="181">
        <v>98.79</v>
      </c>
      <c r="M233" s="182">
        <v>97.531999999999996</v>
      </c>
      <c r="N233" s="180">
        <v>99.974000000000004</v>
      </c>
      <c r="O233" s="181">
        <v>98.79</v>
      </c>
      <c r="P233" s="182">
        <v>97.531999999999996</v>
      </c>
      <c r="Q233" s="180">
        <v>99.974000000000004</v>
      </c>
      <c r="R233" s="181">
        <v>98.79</v>
      </c>
      <c r="S233" s="182">
        <v>97.531999999999996</v>
      </c>
      <c r="T233" s="180">
        <v>99.974000000000004</v>
      </c>
      <c r="U233" s="181">
        <v>98.79</v>
      </c>
      <c r="V233" s="182">
        <v>97.531999999999996</v>
      </c>
      <c r="W233" s="180">
        <v>99.974000000000004</v>
      </c>
      <c r="X233" s="181">
        <v>98.79</v>
      </c>
      <c r="Y233" s="182">
        <v>97.531999999999996</v>
      </c>
      <c r="Z233" s="180">
        <v>99.974000000000004</v>
      </c>
      <c r="AA233" s="181">
        <v>98.79</v>
      </c>
      <c r="AB233" s="182">
        <v>97.531999999999996</v>
      </c>
      <c r="AC233" s="180">
        <v>99.974000000000004</v>
      </c>
      <c r="AD233" s="181">
        <v>98.79</v>
      </c>
      <c r="AE233" s="182">
        <v>97.531999999999996</v>
      </c>
      <c r="AF233" s="180">
        <v>99.974000000000004</v>
      </c>
      <c r="AG233" s="181">
        <v>98.79</v>
      </c>
      <c r="AH233" s="182">
        <v>97.531999999999996</v>
      </c>
      <c r="AI233" s="168" t="s">
        <v>1432</v>
      </c>
      <c r="AJ233" s="169" t="s">
        <v>2491</v>
      </c>
      <c r="AK233" s="170" t="s">
        <v>2477</v>
      </c>
      <c r="AL233" s="169" t="s">
        <v>2479</v>
      </c>
      <c r="AM233" s="183">
        <v>1384</v>
      </c>
    </row>
    <row r="234" spans="1:39" s="2" customFormat="1">
      <c r="A234" s="179" t="s">
        <v>7</v>
      </c>
      <c r="B234" s="238" t="s">
        <v>2463</v>
      </c>
      <c r="C234" s="164" t="s">
        <v>207</v>
      </c>
      <c r="D234" s="236" t="s">
        <v>209</v>
      </c>
      <c r="E234" s="180">
        <v>0</v>
      </c>
      <c r="F234" s="181">
        <v>50</v>
      </c>
      <c r="G234" s="182">
        <v>50</v>
      </c>
      <c r="H234" s="180">
        <v>50</v>
      </c>
      <c r="I234" s="181">
        <v>50</v>
      </c>
      <c r="J234" s="182">
        <v>50</v>
      </c>
      <c r="K234" s="180">
        <v>50</v>
      </c>
      <c r="L234" s="181">
        <v>50</v>
      </c>
      <c r="M234" s="182">
        <v>50</v>
      </c>
      <c r="N234" s="180">
        <v>50</v>
      </c>
      <c r="O234" s="181">
        <v>50</v>
      </c>
      <c r="P234" s="182">
        <v>50</v>
      </c>
      <c r="Q234" s="180">
        <v>50</v>
      </c>
      <c r="R234" s="181">
        <v>50</v>
      </c>
      <c r="S234" s="182">
        <v>50</v>
      </c>
      <c r="T234" s="180">
        <v>50</v>
      </c>
      <c r="U234" s="181">
        <v>50</v>
      </c>
      <c r="V234" s="182">
        <v>50</v>
      </c>
      <c r="W234" s="180">
        <v>50</v>
      </c>
      <c r="X234" s="181">
        <v>50</v>
      </c>
      <c r="Y234" s="182">
        <v>50</v>
      </c>
      <c r="Z234" s="180">
        <v>50</v>
      </c>
      <c r="AA234" s="181">
        <v>50</v>
      </c>
      <c r="AB234" s="182">
        <v>50</v>
      </c>
      <c r="AC234" s="180">
        <v>50</v>
      </c>
      <c r="AD234" s="181">
        <v>50</v>
      </c>
      <c r="AE234" s="182">
        <v>50</v>
      </c>
      <c r="AF234" s="180">
        <v>50</v>
      </c>
      <c r="AG234" s="181">
        <v>50</v>
      </c>
      <c r="AH234" s="182">
        <v>50</v>
      </c>
      <c r="AI234" s="168" t="s">
        <v>208</v>
      </c>
      <c r="AJ234" s="169" t="s">
        <v>2466</v>
      </c>
      <c r="AK234" s="170" t="s">
        <v>2467</v>
      </c>
      <c r="AL234" s="169" t="s">
        <v>20</v>
      </c>
      <c r="AM234" s="183">
        <v>2223</v>
      </c>
    </row>
    <row r="235" spans="1:39" s="2" customFormat="1">
      <c r="A235" s="179" t="s">
        <v>7</v>
      </c>
      <c r="B235" s="238" t="s">
        <v>163</v>
      </c>
      <c r="C235" s="164" t="s">
        <v>1672</v>
      </c>
      <c r="D235" s="236" t="s">
        <v>1738</v>
      </c>
      <c r="E235" s="180">
        <v>220</v>
      </c>
      <c r="F235" s="181">
        <v>220</v>
      </c>
      <c r="G235" s="182">
        <v>207.1</v>
      </c>
      <c r="H235" s="180">
        <v>220</v>
      </c>
      <c r="I235" s="181">
        <v>220</v>
      </c>
      <c r="J235" s="182">
        <v>207.1</v>
      </c>
      <c r="K235" s="180">
        <v>220</v>
      </c>
      <c r="L235" s="181">
        <v>220</v>
      </c>
      <c r="M235" s="182">
        <v>207.1</v>
      </c>
      <c r="N235" s="180">
        <v>220</v>
      </c>
      <c r="O235" s="181">
        <v>220</v>
      </c>
      <c r="P235" s="182">
        <v>207.1</v>
      </c>
      <c r="Q235" s="180">
        <v>220</v>
      </c>
      <c r="R235" s="181">
        <v>220</v>
      </c>
      <c r="S235" s="182">
        <v>207.1</v>
      </c>
      <c r="T235" s="180">
        <v>220</v>
      </c>
      <c r="U235" s="181">
        <v>220</v>
      </c>
      <c r="V235" s="182">
        <v>207.1</v>
      </c>
      <c r="W235" s="180">
        <v>220</v>
      </c>
      <c r="X235" s="181">
        <v>220</v>
      </c>
      <c r="Y235" s="182">
        <v>207.1</v>
      </c>
      <c r="Z235" s="180">
        <v>220</v>
      </c>
      <c r="AA235" s="181">
        <v>220</v>
      </c>
      <c r="AB235" s="182">
        <v>207.1</v>
      </c>
      <c r="AC235" s="180">
        <v>220</v>
      </c>
      <c r="AD235" s="181">
        <v>220</v>
      </c>
      <c r="AE235" s="182">
        <v>207.1</v>
      </c>
      <c r="AF235" s="180">
        <v>220</v>
      </c>
      <c r="AG235" s="181">
        <v>220</v>
      </c>
      <c r="AH235" s="182">
        <v>207.1</v>
      </c>
      <c r="AI235" s="168" t="s">
        <v>1673</v>
      </c>
      <c r="AJ235" s="169" t="s">
        <v>2491</v>
      </c>
      <c r="AK235" s="170" t="s">
        <v>2477</v>
      </c>
      <c r="AL235" s="169" t="s">
        <v>2479</v>
      </c>
      <c r="AM235" s="183">
        <v>1453</v>
      </c>
    </row>
    <row r="236" spans="1:39" s="2" customFormat="1">
      <c r="A236" s="179" t="s">
        <v>7</v>
      </c>
      <c r="B236" s="238" t="s">
        <v>163</v>
      </c>
      <c r="C236" s="164" t="s">
        <v>1767</v>
      </c>
      <c r="D236" s="236" t="s">
        <v>1768</v>
      </c>
      <c r="E236" s="180">
        <v>28.994</v>
      </c>
      <c r="F236" s="181">
        <v>28.994</v>
      </c>
      <c r="G236" s="182">
        <v>28.994</v>
      </c>
      <c r="H236" s="180">
        <v>28.994</v>
      </c>
      <c r="I236" s="181">
        <v>28.994</v>
      </c>
      <c r="J236" s="182">
        <v>28.994</v>
      </c>
      <c r="K236" s="180">
        <v>28.994</v>
      </c>
      <c r="L236" s="181">
        <v>28.994</v>
      </c>
      <c r="M236" s="182">
        <v>28.994</v>
      </c>
      <c r="N236" s="180">
        <v>28.994</v>
      </c>
      <c r="O236" s="181">
        <v>28.994</v>
      </c>
      <c r="P236" s="182">
        <v>28.994</v>
      </c>
      <c r="Q236" s="180">
        <v>28.994</v>
      </c>
      <c r="R236" s="181">
        <v>28.994</v>
      </c>
      <c r="S236" s="182">
        <v>28.994</v>
      </c>
      <c r="T236" s="180">
        <v>28.994</v>
      </c>
      <c r="U236" s="181">
        <v>28.994</v>
      </c>
      <c r="V236" s="182">
        <v>28.994</v>
      </c>
      <c r="W236" s="180">
        <v>28.994</v>
      </c>
      <c r="X236" s="181">
        <v>28.994</v>
      </c>
      <c r="Y236" s="182">
        <v>28.994</v>
      </c>
      <c r="Z236" s="180">
        <v>28.994</v>
      </c>
      <c r="AA236" s="181">
        <v>28.994</v>
      </c>
      <c r="AB236" s="182">
        <v>28.994</v>
      </c>
      <c r="AC236" s="180">
        <v>28.994</v>
      </c>
      <c r="AD236" s="181">
        <v>28.994</v>
      </c>
      <c r="AE236" s="182">
        <v>28.994</v>
      </c>
      <c r="AF236" s="180">
        <v>28.994</v>
      </c>
      <c r="AG236" s="181">
        <v>28.994</v>
      </c>
      <c r="AH236" s="182">
        <v>28.994</v>
      </c>
      <c r="AI236" s="168" t="s">
        <v>1673</v>
      </c>
      <c r="AJ236" s="169" t="s">
        <v>2491</v>
      </c>
      <c r="AK236" s="170" t="s">
        <v>2477</v>
      </c>
      <c r="AL236" s="169" t="s">
        <v>2479</v>
      </c>
      <c r="AM236" s="183">
        <v>1675</v>
      </c>
    </row>
    <row r="237" spans="1:39" s="2" customFormat="1">
      <c r="A237" s="179" t="s">
        <v>380</v>
      </c>
      <c r="B237" s="238" t="s">
        <v>163</v>
      </c>
      <c r="C237" s="164" t="s">
        <v>1727</v>
      </c>
      <c r="D237" s="236" t="s">
        <v>1728</v>
      </c>
      <c r="E237" s="180">
        <v>122.5</v>
      </c>
      <c r="F237" s="181">
        <v>122.5</v>
      </c>
      <c r="G237" s="182">
        <v>42</v>
      </c>
      <c r="H237" s="180">
        <v>122.5</v>
      </c>
      <c r="I237" s="181">
        <v>122.5</v>
      </c>
      <c r="J237" s="182">
        <v>42</v>
      </c>
      <c r="K237" s="180">
        <v>122.5</v>
      </c>
      <c r="L237" s="181">
        <v>122.5</v>
      </c>
      <c r="M237" s="182">
        <v>42</v>
      </c>
      <c r="N237" s="180">
        <v>122.5</v>
      </c>
      <c r="O237" s="181">
        <v>122.5</v>
      </c>
      <c r="P237" s="182">
        <v>42</v>
      </c>
      <c r="Q237" s="180">
        <v>122.5</v>
      </c>
      <c r="R237" s="181">
        <v>122.5</v>
      </c>
      <c r="S237" s="182">
        <v>42</v>
      </c>
      <c r="T237" s="180">
        <v>122.5</v>
      </c>
      <c r="U237" s="181">
        <v>122.5</v>
      </c>
      <c r="V237" s="182">
        <v>42</v>
      </c>
      <c r="W237" s="180">
        <v>122.5</v>
      </c>
      <c r="X237" s="181">
        <v>122.5</v>
      </c>
      <c r="Y237" s="182">
        <v>42</v>
      </c>
      <c r="Z237" s="180">
        <v>122.5</v>
      </c>
      <c r="AA237" s="181">
        <v>122.5</v>
      </c>
      <c r="AB237" s="182">
        <v>42</v>
      </c>
      <c r="AC237" s="180">
        <v>122.5</v>
      </c>
      <c r="AD237" s="181">
        <v>122.5</v>
      </c>
      <c r="AE237" s="182">
        <v>42</v>
      </c>
      <c r="AF237" s="180">
        <v>122.5</v>
      </c>
      <c r="AG237" s="181">
        <v>122.5</v>
      </c>
      <c r="AH237" s="182">
        <v>42</v>
      </c>
      <c r="AI237" s="168" t="s">
        <v>1444</v>
      </c>
      <c r="AJ237" s="169" t="s">
        <v>2485</v>
      </c>
      <c r="AK237" s="170" t="s">
        <v>2486</v>
      </c>
      <c r="AL237" s="169" t="s">
        <v>17</v>
      </c>
      <c r="AM237" s="183">
        <v>1119</v>
      </c>
    </row>
    <row r="238" spans="1:39" s="2" customFormat="1">
      <c r="A238" s="179" t="s">
        <v>380</v>
      </c>
      <c r="B238" s="238" t="s">
        <v>163</v>
      </c>
      <c r="C238" s="164" t="s">
        <v>1443</v>
      </c>
      <c r="D238" s="236" t="s">
        <v>1445</v>
      </c>
      <c r="E238" s="180">
        <v>84</v>
      </c>
      <c r="F238" s="181">
        <v>84</v>
      </c>
      <c r="G238" s="182">
        <v>38.4</v>
      </c>
      <c r="H238" s="180">
        <v>84</v>
      </c>
      <c r="I238" s="181">
        <v>84</v>
      </c>
      <c r="J238" s="182">
        <v>38.4</v>
      </c>
      <c r="K238" s="180">
        <v>84</v>
      </c>
      <c r="L238" s="181">
        <v>84</v>
      </c>
      <c r="M238" s="182">
        <v>38.4</v>
      </c>
      <c r="N238" s="180">
        <v>84</v>
      </c>
      <c r="O238" s="181">
        <v>84</v>
      </c>
      <c r="P238" s="182">
        <v>38.4</v>
      </c>
      <c r="Q238" s="180">
        <v>84</v>
      </c>
      <c r="R238" s="181">
        <v>84</v>
      </c>
      <c r="S238" s="182">
        <v>38.4</v>
      </c>
      <c r="T238" s="180">
        <v>84</v>
      </c>
      <c r="U238" s="181">
        <v>84</v>
      </c>
      <c r="V238" s="182">
        <v>38.4</v>
      </c>
      <c r="W238" s="180">
        <v>84</v>
      </c>
      <c r="X238" s="181">
        <v>84</v>
      </c>
      <c r="Y238" s="182">
        <v>38.4</v>
      </c>
      <c r="Z238" s="180">
        <v>84</v>
      </c>
      <c r="AA238" s="181">
        <v>84</v>
      </c>
      <c r="AB238" s="182">
        <v>38.4</v>
      </c>
      <c r="AC238" s="180">
        <v>84</v>
      </c>
      <c r="AD238" s="181">
        <v>84</v>
      </c>
      <c r="AE238" s="182">
        <v>38.4</v>
      </c>
      <c r="AF238" s="180">
        <v>84</v>
      </c>
      <c r="AG238" s="181">
        <v>84</v>
      </c>
      <c r="AH238" s="182">
        <v>38.4</v>
      </c>
      <c r="AI238" s="168" t="s">
        <v>1444</v>
      </c>
      <c r="AJ238" s="169" t="s">
        <v>2485</v>
      </c>
      <c r="AK238" s="170" t="s">
        <v>2486</v>
      </c>
      <c r="AL238" s="169" t="s">
        <v>17</v>
      </c>
      <c r="AM238" s="183">
        <v>1574</v>
      </c>
    </row>
    <row r="239" spans="1:39" s="2" customFormat="1">
      <c r="A239" s="179" t="s">
        <v>7</v>
      </c>
      <c r="B239" s="238" t="s">
        <v>2463</v>
      </c>
      <c r="C239" s="164" t="s">
        <v>507</v>
      </c>
      <c r="D239" s="236" t="s">
        <v>5182</v>
      </c>
      <c r="E239" s="180">
        <v>0</v>
      </c>
      <c r="F239" s="181">
        <v>0</v>
      </c>
      <c r="G239" s="182">
        <v>0</v>
      </c>
      <c r="H239" s="180">
        <v>9.9</v>
      </c>
      <c r="I239" s="181">
        <v>9.9</v>
      </c>
      <c r="J239" s="182">
        <v>9.9</v>
      </c>
      <c r="K239" s="180">
        <v>9.9</v>
      </c>
      <c r="L239" s="181">
        <v>9.9</v>
      </c>
      <c r="M239" s="182">
        <v>9.9</v>
      </c>
      <c r="N239" s="180">
        <v>9.9</v>
      </c>
      <c r="O239" s="181">
        <v>9.9</v>
      </c>
      <c r="P239" s="182">
        <v>9.9</v>
      </c>
      <c r="Q239" s="180">
        <v>9.9</v>
      </c>
      <c r="R239" s="181">
        <v>9.9</v>
      </c>
      <c r="S239" s="182">
        <v>9.9</v>
      </c>
      <c r="T239" s="180">
        <v>9.9</v>
      </c>
      <c r="U239" s="181">
        <v>9.9</v>
      </c>
      <c r="V239" s="182">
        <v>9.9</v>
      </c>
      <c r="W239" s="180">
        <v>9.9</v>
      </c>
      <c r="X239" s="181">
        <v>9.9</v>
      </c>
      <c r="Y239" s="182">
        <v>9.9</v>
      </c>
      <c r="Z239" s="180">
        <v>9.9</v>
      </c>
      <c r="AA239" s="181">
        <v>9.9</v>
      </c>
      <c r="AB239" s="182">
        <v>9.9</v>
      </c>
      <c r="AC239" s="180">
        <v>9.9</v>
      </c>
      <c r="AD239" s="181">
        <v>9.9</v>
      </c>
      <c r="AE239" s="182">
        <v>9.9</v>
      </c>
      <c r="AF239" s="180">
        <v>9.9</v>
      </c>
      <c r="AG239" s="181">
        <v>9.9</v>
      </c>
      <c r="AH239" s="182">
        <v>9.9</v>
      </c>
      <c r="AI239" s="168" t="s">
        <v>508</v>
      </c>
      <c r="AJ239" s="169" t="s">
        <v>2466</v>
      </c>
      <c r="AK239" s="170" t="s">
        <v>2477</v>
      </c>
      <c r="AL239" s="169" t="s">
        <v>20</v>
      </c>
      <c r="AM239" s="183">
        <v>2627</v>
      </c>
    </row>
    <row r="240" spans="1:39" s="2" customFormat="1">
      <c r="A240" s="179" t="s">
        <v>7</v>
      </c>
      <c r="B240" s="238" t="s">
        <v>2463</v>
      </c>
      <c r="C240" s="164" t="s">
        <v>510</v>
      </c>
      <c r="D240" s="236" t="s">
        <v>5182</v>
      </c>
      <c r="E240" s="180">
        <v>0</v>
      </c>
      <c r="F240" s="181">
        <v>0</v>
      </c>
      <c r="G240" s="182">
        <v>0</v>
      </c>
      <c r="H240" s="180">
        <v>9.9</v>
      </c>
      <c r="I240" s="181">
        <v>9.9</v>
      </c>
      <c r="J240" s="182">
        <v>9.9</v>
      </c>
      <c r="K240" s="180">
        <v>9.9</v>
      </c>
      <c r="L240" s="181">
        <v>9.9</v>
      </c>
      <c r="M240" s="182">
        <v>9.9</v>
      </c>
      <c r="N240" s="180">
        <v>9.9</v>
      </c>
      <c r="O240" s="181">
        <v>9.9</v>
      </c>
      <c r="P240" s="182">
        <v>9.9</v>
      </c>
      <c r="Q240" s="180">
        <v>9.9</v>
      </c>
      <c r="R240" s="181">
        <v>9.9</v>
      </c>
      <c r="S240" s="182">
        <v>9.9</v>
      </c>
      <c r="T240" s="180">
        <v>9.9</v>
      </c>
      <c r="U240" s="181">
        <v>9.9</v>
      </c>
      <c r="V240" s="182">
        <v>9.9</v>
      </c>
      <c r="W240" s="180">
        <v>9.9</v>
      </c>
      <c r="X240" s="181">
        <v>9.9</v>
      </c>
      <c r="Y240" s="182">
        <v>9.9</v>
      </c>
      <c r="Z240" s="180">
        <v>9.9</v>
      </c>
      <c r="AA240" s="181">
        <v>9.9</v>
      </c>
      <c r="AB240" s="182">
        <v>9.9</v>
      </c>
      <c r="AC240" s="180">
        <v>9.9</v>
      </c>
      <c r="AD240" s="181">
        <v>9.9</v>
      </c>
      <c r="AE240" s="182">
        <v>9.9</v>
      </c>
      <c r="AF240" s="180">
        <v>9.9</v>
      </c>
      <c r="AG240" s="181">
        <v>9.9</v>
      </c>
      <c r="AH240" s="182">
        <v>9.9</v>
      </c>
      <c r="AI240" s="168" t="s">
        <v>508</v>
      </c>
      <c r="AJ240" s="169" t="s">
        <v>2491</v>
      </c>
      <c r="AK240" s="170" t="s">
        <v>2477</v>
      </c>
      <c r="AL240" s="169" t="s">
        <v>2479</v>
      </c>
      <c r="AM240" s="183">
        <v>2626</v>
      </c>
    </row>
    <row r="241" spans="1:39" s="2" customFormat="1" ht="20.6">
      <c r="A241" s="179" t="s">
        <v>380</v>
      </c>
      <c r="B241" s="238" t="s">
        <v>163</v>
      </c>
      <c r="C241" s="164" t="s">
        <v>3875</v>
      </c>
      <c r="D241" s="236" t="s">
        <v>3877</v>
      </c>
      <c r="E241" s="180">
        <v>20.16</v>
      </c>
      <c r="F241" s="181">
        <v>20.16</v>
      </c>
      <c r="G241" s="182">
        <v>20.16</v>
      </c>
      <c r="H241" s="180">
        <v>20.16</v>
      </c>
      <c r="I241" s="181">
        <v>20.16</v>
      </c>
      <c r="J241" s="182">
        <v>20.16</v>
      </c>
      <c r="K241" s="180">
        <v>20.16</v>
      </c>
      <c r="L241" s="181">
        <v>20.16</v>
      </c>
      <c r="M241" s="182">
        <v>20.16</v>
      </c>
      <c r="N241" s="180">
        <v>20.16</v>
      </c>
      <c r="O241" s="181">
        <v>20.16</v>
      </c>
      <c r="P241" s="182">
        <v>20.16</v>
      </c>
      <c r="Q241" s="180">
        <v>20.16</v>
      </c>
      <c r="R241" s="181">
        <v>20.16</v>
      </c>
      <c r="S241" s="182">
        <v>20.16</v>
      </c>
      <c r="T241" s="180">
        <v>20.16</v>
      </c>
      <c r="U241" s="181">
        <v>20.16</v>
      </c>
      <c r="V241" s="182">
        <v>20.16</v>
      </c>
      <c r="W241" s="180">
        <v>20.16</v>
      </c>
      <c r="X241" s="181">
        <v>20.16</v>
      </c>
      <c r="Y241" s="182">
        <v>20.16</v>
      </c>
      <c r="Z241" s="180">
        <v>20.16</v>
      </c>
      <c r="AA241" s="181">
        <v>20.16</v>
      </c>
      <c r="AB241" s="182">
        <v>20.16</v>
      </c>
      <c r="AC241" s="180">
        <v>20.16</v>
      </c>
      <c r="AD241" s="181">
        <v>20.16</v>
      </c>
      <c r="AE241" s="182">
        <v>20.16</v>
      </c>
      <c r="AF241" s="180">
        <v>20.16</v>
      </c>
      <c r="AG241" s="181">
        <v>20.16</v>
      </c>
      <c r="AH241" s="182">
        <v>20.16</v>
      </c>
      <c r="AI241" s="168" t="s">
        <v>3876</v>
      </c>
      <c r="AJ241" s="169" t="s">
        <v>2501</v>
      </c>
      <c r="AK241" s="170" t="s">
        <v>2502</v>
      </c>
      <c r="AL241" s="169" t="s">
        <v>21</v>
      </c>
      <c r="AM241" s="183">
        <v>1122</v>
      </c>
    </row>
    <row r="242" spans="1:39" s="2" customFormat="1">
      <c r="A242" s="179" t="s">
        <v>309</v>
      </c>
      <c r="B242" s="238" t="s">
        <v>2463</v>
      </c>
      <c r="C242" s="164" t="s">
        <v>871</v>
      </c>
      <c r="D242" s="236" t="s">
        <v>5182</v>
      </c>
      <c r="E242" s="180">
        <v>0</v>
      </c>
      <c r="F242" s="181">
        <v>0</v>
      </c>
      <c r="G242" s="182">
        <v>0</v>
      </c>
      <c r="H242" s="180">
        <v>0</v>
      </c>
      <c r="I242" s="181">
        <v>0</v>
      </c>
      <c r="J242" s="182">
        <v>0</v>
      </c>
      <c r="K242" s="180">
        <v>0</v>
      </c>
      <c r="L242" s="181">
        <v>285.2</v>
      </c>
      <c r="M242" s="182">
        <v>285.2</v>
      </c>
      <c r="N242" s="180">
        <v>285.2</v>
      </c>
      <c r="O242" s="181">
        <v>285.2</v>
      </c>
      <c r="P242" s="182">
        <v>285.2</v>
      </c>
      <c r="Q242" s="180">
        <v>285.2</v>
      </c>
      <c r="R242" s="181">
        <v>285.2</v>
      </c>
      <c r="S242" s="182">
        <v>285.2</v>
      </c>
      <c r="T242" s="180">
        <v>285.2</v>
      </c>
      <c r="U242" s="181">
        <v>285.2</v>
      </c>
      <c r="V242" s="182">
        <v>285.2</v>
      </c>
      <c r="W242" s="180">
        <v>285.2</v>
      </c>
      <c r="X242" s="181">
        <v>285.2</v>
      </c>
      <c r="Y242" s="182">
        <v>285.2</v>
      </c>
      <c r="Z242" s="180">
        <v>285.2</v>
      </c>
      <c r="AA242" s="181">
        <v>285.2</v>
      </c>
      <c r="AB242" s="182">
        <v>285.2</v>
      </c>
      <c r="AC242" s="180">
        <v>285.2</v>
      </c>
      <c r="AD242" s="181">
        <v>285.2</v>
      </c>
      <c r="AE242" s="182">
        <v>285.2</v>
      </c>
      <c r="AF242" s="180">
        <v>285.2</v>
      </c>
      <c r="AG242" s="181">
        <v>285.2</v>
      </c>
      <c r="AH242" s="182">
        <v>285.2</v>
      </c>
      <c r="AI242" s="168" t="s">
        <v>3878</v>
      </c>
      <c r="AJ242" s="169" t="s">
        <v>2485</v>
      </c>
      <c r="AK242" s="170" t="s">
        <v>2486</v>
      </c>
      <c r="AL242" s="169" t="s">
        <v>17</v>
      </c>
      <c r="AM242" s="183">
        <v>2002</v>
      </c>
    </row>
    <row r="243" spans="1:39" s="2" customFormat="1">
      <c r="A243" s="179" t="s">
        <v>423</v>
      </c>
      <c r="B243" s="238" t="s">
        <v>163</v>
      </c>
      <c r="C243" s="164" t="s">
        <v>1336</v>
      </c>
      <c r="D243" s="236" t="s">
        <v>3890</v>
      </c>
      <c r="E243" s="180">
        <v>560</v>
      </c>
      <c r="F243" s="181">
        <v>560</v>
      </c>
      <c r="G243" s="182">
        <v>540</v>
      </c>
      <c r="H243" s="180">
        <v>560</v>
      </c>
      <c r="I243" s="181">
        <v>560</v>
      </c>
      <c r="J243" s="182">
        <v>540</v>
      </c>
      <c r="K243" s="180">
        <v>560</v>
      </c>
      <c r="L243" s="181">
        <v>560</v>
      </c>
      <c r="M243" s="182">
        <v>540</v>
      </c>
      <c r="N243" s="180">
        <v>560</v>
      </c>
      <c r="O243" s="181">
        <v>560</v>
      </c>
      <c r="P243" s="182">
        <v>540</v>
      </c>
      <c r="Q243" s="180">
        <v>560</v>
      </c>
      <c r="R243" s="181">
        <v>560</v>
      </c>
      <c r="S243" s="182">
        <v>540</v>
      </c>
      <c r="T243" s="180">
        <v>560</v>
      </c>
      <c r="U243" s="181">
        <v>560</v>
      </c>
      <c r="V243" s="182">
        <v>540</v>
      </c>
      <c r="W243" s="180">
        <v>560</v>
      </c>
      <c r="X243" s="181">
        <v>560</v>
      </c>
      <c r="Y243" s="182">
        <v>540</v>
      </c>
      <c r="Z243" s="180">
        <v>560</v>
      </c>
      <c r="AA243" s="181">
        <v>560</v>
      </c>
      <c r="AB243" s="182">
        <v>540</v>
      </c>
      <c r="AC243" s="180">
        <v>560</v>
      </c>
      <c r="AD243" s="181">
        <v>560</v>
      </c>
      <c r="AE243" s="182">
        <v>540</v>
      </c>
      <c r="AF243" s="180">
        <v>560</v>
      </c>
      <c r="AG243" s="181">
        <v>560</v>
      </c>
      <c r="AH243" s="182">
        <v>540</v>
      </c>
      <c r="AI243" s="168" t="s">
        <v>1337</v>
      </c>
      <c r="AJ243" s="169" t="s">
        <v>2639</v>
      </c>
      <c r="AK243" s="170" t="s">
        <v>3889</v>
      </c>
      <c r="AL243" s="169" t="s">
        <v>12</v>
      </c>
      <c r="AM243" s="183">
        <v>1124</v>
      </c>
    </row>
    <row r="244" spans="1:39" s="2" customFormat="1">
      <c r="A244" s="179" t="s">
        <v>423</v>
      </c>
      <c r="B244" s="238" t="s">
        <v>163</v>
      </c>
      <c r="C244" s="164" t="s">
        <v>1336</v>
      </c>
      <c r="D244" s="236" t="s">
        <v>1338</v>
      </c>
      <c r="E244" s="180">
        <v>530</v>
      </c>
      <c r="F244" s="181">
        <v>530</v>
      </c>
      <c r="G244" s="182">
        <v>500</v>
      </c>
      <c r="H244" s="180">
        <v>530</v>
      </c>
      <c r="I244" s="181">
        <v>530</v>
      </c>
      <c r="J244" s="182">
        <v>500</v>
      </c>
      <c r="K244" s="180">
        <v>530</v>
      </c>
      <c r="L244" s="181">
        <v>530</v>
      </c>
      <c r="M244" s="182">
        <v>500</v>
      </c>
      <c r="N244" s="180">
        <v>530</v>
      </c>
      <c r="O244" s="181">
        <v>530</v>
      </c>
      <c r="P244" s="182">
        <v>500</v>
      </c>
      <c r="Q244" s="180">
        <v>530</v>
      </c>
      <c r="R244" s="181">
        <v>530</v>
      </c>
      <c r="S244" s="182">
        <v>500</v>
      </c>
      <c r="T244" s="180">
        <v>530</v>
      </c>
      <c r="U244" s="181">
        <v>530</v>
      </c>
      <c r="V244" s="182">
        <v>500</v>
      </c>
      <c r="W244" s="180">
        <v>530</v>
      </c>
      <c r="X244" s="181">
        <v>530</v>
      </c>
      <c r="Y244" s="182">
        <v>500</v>
      </c>
      <c r="Z244" s="180">
        <v>530</v>
      </c>
      <c r="AA244" s="181">
        <v>530</v>
      </c>
      <c r="AB244" s="182">
        <v>500</v>
      </c>
      <c r="AC244" s="180">
        <v>530</v>
      </c>
      <c r="AD244" s="181">
        <v>530</v>
      </c>
      <c r="AE244" s="182">
        <v>500</v>
      </c>
      <c r="AF244" s="180">
        <v>530</v>
      </c>
      <c r="AG244" s="181">
        <v>530</v>
      </c>
      <c r="AH244" s="182">
        <v>500</v>
      </c>
      <c r="AI244" s="168" t="s">
        <v>1337</v>
      </c>
      <c r="AJ244" s="169" t="s">
        <v>2639</v>
      </c>
      <c r="AK244" s="170" t="s">
        <v>3889</v>
      </c>
      <c r="AL244" s="169" t="s">
        <v>12</v>
      </c>
      <c r="AM244" s="183">
        <v>1124</v>
      </c>
    </row>
    <row r="245" spans="1:39" s="2" customFormat="1">
      <c r="A245" s="179" t="s">
        <v>423</v>
      </c>
      <c r="B245" s="238" t="s">
        <v>163</v>
      </c>
      <c r="C245" s="164" t="s">
        <v>1336</v>
      </c>
      <c r="D245" s="236" t="s">
        <v>3891</v>
      </c>
      <c r="E245" s="180">
        <v>560</v>
      </c>
      <c r="F245" s="181">
        <v>560</v>
      </c>
      <c r="G245" s="182">
        <v>510</v>
      </c>
      <c r="H245" s="180">
        <v>560</v>
      </c>
      <c r="I245" s="181">
        <v>560</v>
      </c>
      <c r="J245" s="182">
        <v>510</v>
      </c>
      <c r="K245" s="180">
        <v>560</v>
      </c>
      <c r="L245" s="181">
        <v>560</v>
      </c>
      <c r="M245" s="182">
        <v>510</v>
      </c>
      <c r="N245" s="180">
        <v>560</v>
      </c>
      <c r="O245" s="181">
        <v>560</v>
      </c>
      <c r="P245" s="182">
        <v>510</v>
      </c>
      <c r="Q245" s="180">
        <v>560</v>
      </c>
      <c r="R245" s="181">
        <v>560</v>
      </c>
      <c r="S245" s="182">
        <v>510</v>
      </c>
      <c r="T245" s="180">
        <v>560</v>
      </c>
      <c r="U245" s="181">
        <v>560</v>
      </c>
      <c r="V245" s="182">
        <v>510</v>
      </c>
      <c r="W245" s="180">
        <v>560</v>
      </c>
      <c r="X245" s="181">
        <v>560</v>
      </c>
      <c r="Y245" s="182">
        <v>510</v>
      </c>
      <c r="Z245" s="180">
        <v>560</v>
      </c>
      <c r="AA245" s="181">
        <v>560</v>
      </c>
      <c r="AB245" s="182">
        <v>510</v>
      </c>
      <c r="AC245" s="180">
        <v>560</v>
      </c>
      <c r="AD245" s="181">
        <v>560</v>
      </c>
      <c r="AE245" s="182">
        <v>510</v>
      </c>
      <c r="AF245" s="180">
        <v>560</v>
      </c>
      <c r="AG245" s="181">
        <v>560</v>
      </c>
      <c r="AH245" s="182">
        <v>510</v>
      </c>
      <c r="AI245" s="168" t="s">
        <v>1337</v>
      </c>
      <c r="AJ245" s="169" t="s">
        <v>2639</v>
      </c>
      <c r="AK245" s="170" t="s">
        <v>3889</v>
      </c>
      <c r="AL245" s="169" t="s">
        <v>12</v>
      </c>
      <c r="AM245" s="183">
        <v>1124</v>
      </c>
    </row>
    <row r="246" spans="1:39" s="2" customFormat="1">
      <c r="A246" s="179" t="s">
        <v>423</v>
      </c>
      <c r="B246" s="238" t="s">
        <v>163</v>
      </c>
      <c r="C246" s="164" t="s">
        <v>1336</v>
      </c>
      <c r="D246" s="236" t="s">
        <v>3892</v>
      </c>
      <c r="E246" s="180">
        <v>560</v>
      </c>
      <c r="F246" s="181">
        <v>540</v>
      </c>
      <c r="G246" s="182">
        <v>530</v>
      </c>
      <c r="H246" s="180">
        <v>560</v>
      </c>
      <c r="I246" s="181">
        <v>540</v>
      </c>
      <c r="J246" s="182">
        <v>530</v>
      </c>
      <c r="K246" s="180">
        <v>560</v>
      </c>
      <c r="L246" s="181">
        <v>540</v>
      </c>
      <c r="M246" s="182">
        <v>530</v>
      </c>
      <c r="N246" s="180">
        <v>560</v>
      </c>
      <c r="O246" s="181">
        <v>540</v>
      </c>
      <c r="P246" s="182">
        <v>530</v>
      </c>
      <c r="Q246" s="180">
        <v>560</v>
      </c>
      <c r="R246" s="181">
        <v>540</v>
      </c>
      <c r="S246" s="182">
        <v>530</v>
      </c>
      <c r="T246" s="180">
        <v>560</v>
      </c>
      <c r="U246" s="181">
        <v>540</v>
      </c>
      <c r="V246" s="182">
        <v>530</v>
      </c>
      <c r="W246" s="180">
        <v>560</v>
      </c>
      <c r="X246" s="181">
        <v>540</v>
      </c>
      <c r="Y246" s="182">
        <v>530</v>
      </c>
      <c r="Z246" s="180">
        <v>560</v>
      </c>
      <c r="AA246" s="181">
        <v>540</v>
      </c>
      <c r="AB246" s="182">
        <v>530</v>
      </c>
      <c r="AC246" s="180">
        <v>560</v>
      </c>
      <c r="AD246" s="181">
        <v>540</v>
      </c>
      <c r="AE246" s="182">
        <v>530</v>
      </c>
      <c r="AF246" s="180">
        <v>560</v>
      </c>
      <c r="AG246" s="181">
        <v>540</v>
      </c>
      <c r="AH246" s="182">
        <v>530</v>
      </c>
      <c r="AI246" s="168" t="s">
        <v>1337</v>
      </c>
      <c r="AJ246" s="169" t="s">
        <v>2639</v>
      </c>
      <c r="AK246" s="170" t="s">
        <v>3889</v>
      </c>
      <c r="AL246" s="169" t="s">
        <v>12</v>
      </c>
      <c r="AM246" s="183">
        <v>1124</v>
      </c>
    </row>
    <row r="247" spans="1:39" s="2" customFormat="1" ht="51.45">
      <c r="A247" s="179" t="s">
        <v>423</v>
      </c>
      <c r="B247" s="238" t="s">
        <v>163</v>
      </c>
      <c r="C247" s="164" t="s">
        <v>1700</v>
      </c>
      <c r="D247" s="236" t="s">
        <v>1702</v>
      </c>
      <c r="E247" s="180">
        <v>580</v>
      </c>
      <c r="F247" s="181">
        <v>560</v>
      </c>
      <c r="G247" s="182">
        <v>545</v>
      </c>
      <c r="H247" s="180">
        <v>580</v>
      </c>
      <c r="I247" s="181">
        <v>560</v>
      </c>
      <c r="J247" s="182">
        <v>545</v>
      </c>
      <c r="K247" s="180">
        <v>580</v>
      </c>
      <c r="L247" s="181">
        <v>560</v>
      </c>
      <c r="M247" s="182">
        <v>545</v>
      </c>
      <c r="N247" s="180">
        <v>580</v>
      </c>
      <c r="O247" s="181">
        <v>560</v>
      </c>
      <c r="P247" s="182">
        <v>545</v>
      </c>
      <c r="Q247" s="180">
        <v>580</v>
      </c>
      <c r="R247" s="181">
        <v>560</v>
      </c>
      <c r="S247" s="182">
        <v>545</v>
      </c>
      <c r="T247" s="180">
        <v>580</v>
      </c>
      <c r="U247" s="181">
        <v>560</v>
      </c>
      <c r="V247" s="182">
        <v>545</v>
      </c>
      <c r="W247" s="180">
        <v>580</v>
      </c>
      <c r="X247" s="181">
        <v>560</v>
      </c>
      <c r="Y247" s="182">
        <v>545</v>
      </c>
      <c r="Z247" s="180">
        <v>580</v>
      </c>
      <c r="AA247" s="181">
        <v>560</v>
      </c>
      <c r="AB247" s="182">
        <v>545</v>
      </c>
      <c r="AC247" s="180">
        <v>580</v>
      </c>
      <c r="AD247" s="181">
        <v>560</v>
      </c>
      <c r="AE247" s="182">
        <v>545</v>
      </c>
      <c r="AF247" s="180">
        <v>580</v>
      </c>
      <c r="AG247" s="181">
        <v>560</v>
      </c>
      <c r="AH247" s="182">
        <v>545</v>
      </c>
      <c r="AI247" s="168" t="s">
        <v>1789</v>
      </c>
      <c r="AJ247" s="169" t="s">
        <v>2639</v>
      </c>
      <c r="AK247" s="170" t="s">
        <v>3889</v>
      </c>
      <c r="AL247" s="169" t="s">
        <v>12</v>
      </c>
      <c r="AM247" s="183">
        <v>1125</v>
      </c>
    </row>
    <row r="248" spans="1:39" s="2" customFormat="1" ht="51.45">
      <c r="A248" s="179" t="s">
        <v>423</v>
      </c>
      <c r="B248" s="238" t="s">
        <v>163</v>
      </c>
      <c r="C248" s="164" t="s">
        <v>1700</v>
      </c>
      <c r="D248" s="236" t="s">
        <v>3894</v>
      </c>
      <c r="E248" s="180">
        <v>580</v>
      </c>
      <c r="F248" s="181">
        <v>560</v>
      </c>
      <c r="G248" s="182">
        <v>545</v>
      </c>
      <c r="H248" s="180">
        <v>580</v>
      </c>
      <c r="I248" s="181">
        <v>560</v>
      </c>
      <c r="J248" s="182">
        <v>545</v>
      </c>
      <c r="K248" s="180">
        <v>580</v>
      </c>
      <c r="L248" s="181">
        <v>560</v>
      </c>
      <c r="M248" s="182">
        <v>545</v>
      </c>
      <c r="N248" s="180">
        <v>580</v>
      </c>
      <c r="O248" s="181">
        <v>560</v>
      </c>
      <c r="P248" s="182">
        <v>545</v>
      </c>
      <c r="Q248" s="180">
        <v>580</v>
      </c>
      <c r="R248" s="181">
        <v>560</v>
      </c>
      <c r="S248" s="182">
        <v>545</v>
      </c>
      <c r="T248" s="180">
        <v>580</v>
      </c>
      <c r="U248" s="181">
        <v>560</v>
      </c>
      <c r="V248" s="182">
        <v>545</v>
      </c>
      <c r="W248" s="180">
        <v>580</v>
      </c>
      <c r="X248" s="181">
        <v>560</v>
      </c>
      <c r="Y248" s="182">
        <v>545</v>
      </c>
      <c r="Z248" s="180">
        <v>580</v>
      </c>
      <c r="AA248" s="181">
        <v>560</v>
      </c>
      <c r="AB248" s="182">
        <v>545</v>
      </c>
      <c r="AC248" s="180">
        <v>580</v>
      </c>
      <c r="AD248" s="181">
        <v>560</v>
      </c>
      <c r="AE248" s="182">
        <v>545</v>
      </c>
      <c r="AF248" s="180">
        <v>580</v>
      </c>
      <c r="AG248" s="181">
        <v>560</v>
      </c>
      <c r="AH248" s="182">
        <v>545</v>
      </c>
      <c r="AI248" s="168" t="s">
        <v>1789</v>
      </c>
      <c r="AJ248" s="169" t="s">
        <v>2639</v>
      </c>
      <c r="AK248" s="170" t="s">
        <v>3889</v>
      </c>
      <c r="AL248" s="169" t="s">
        <v>12</v>
      </c>
      <c r="AM248" s="183">
        <v>1125</v>
      </c>
    </row>
    <row r="249" spans="1:39" s="2" customFormat="1" ht="20.6">
      <c r="A249" s="179" t="s">
        <v>423</v>
      </c>
      <c r="B249" s="238" t="s">
        <v>163</v>
      </c>
      <c r="C249" s="164" t="s">
        <v>2426</v>
      </c>
      <c r="D249" s="236" t="s">
        <v>3908</v>
      </c>
      <c r="E249" s="180">
        <v>420</v>
      </c>
      <c r="F249" s="181">
        <v>420</v>
      </c>
      <c r="G249" s="182">
        <v>420</v>
      </c>
      <c r="H249" s="180">
        <v>420</v>
      </c>
      <c r="I249" s="181">
        <v>420</v>
      </c>
      <c r="J249" s="182">
        <v>420</v>
      </c>
      <c r="K249" s="180">
        <v>420</v>
      </c>
      <c r="L249" s="181">
        <v>420</v>
      </c>
      <c r="M249" s="182">
        <v>420</v>
      </c>
      <c r="N249" s="180">
        <v>420</v>
      </c>
      <c r="O249" s="181">
        <v>420</v>
      </c>
      <c r="P249" s="182">
        <v>420</v>
      </c>
      <c r="Q249" s="180">
        <v>420</v>
      </c>
      <c r="R249" s="181">
        <v>420</v>
      </c>
      <c r="S249" s="182">
        <v>420</v>
      </c>
      <c r="T249" s="180">
        <v>420</v>
      </c>
      <c r="U249" s="181">
        <v>420</v>
      </c>
      <c r="V249" s="182">
        <v>420</v>
      </c>
      <c r="W249" s="180">
        <v>420</v>
      </c>
      <c r="X249" s="181">
        <v>420</v>
      </c>
      <c r="Y249" s="182">
        <v>420</v>
      </c>
      <c r="Z249" s="180">
        <v>420</v>
      </c>
      <c r="AA249" s="181">
        <v>420</v>
      </c>
      <c r="AB249" s="182">
        <v>420</v>
      </c>
      <c r="AC249" s="180">
        <v>420</v>
      </c>
      <c r="AD249" s="181">
        <v>420</v>
      </c>
      <c r="AE249" s="182">
        <v>420</v>
      </c>
      <c r="AF249" s="180">
        <v>420</v>
      </c>
      <c r="AG249" s="181">
        <v>420</v>
      </c>
      <c r="AH249" s="182">
        <v>420</v>
      </c>
      <c r="AI249" s="168" t="s">
        <v>3907</v>
      </c>
      <c r="AJ249" s="169" t="s">
        <v>2485</v>
      </c>
      <c r="AK249" s="170" t="s">
        <v>2486</v>
      </c>
      <c r="AL249" s="169" t="s">
        <v>17</v>
      </c>
      <c r="AM249" s="183">
        <v>1128</v>
      </c>
    </row>
    <row r="250" spans="1:39" s="2" customFormat="1" ht="20.6">
      <c r="A250" s="179" t="s">
        <v>309</v>
      </c>
      <c r="B250" s="238" t="s">
        <v>163</v>
      </c>
      <c r="C250" s="164" t="s">
        <v>374</v>
      </c>
      <c r="D250" s="236" t="s">
        <v>376</v>
      </c>
      <c r="E250" s="180">
        <v>437.4</v>
      </c>
      <c r="F250" s="181">
        <v>890.02800000000002</v>
      </c>
      <c r="G250" s="182">
        <v>890.02800000000002</v>
      </c>
      <c r="H250" s="180">
        <v>890.02800000000002</v>
      </c>
      <c r="I250" s="181">
        <v>890.02800000000002</v>
      </c>
      <c r="J250" s="182">
        <v>890.02800000000002</v>
      </c>
      <c r="K250" s="180">
        <v>890.02800000000002</v>
      </c>
      <c r="L250" s="181">
        <v>890.02800000000002</v>
      </c>
      <c r="M250" s="182">
        <v>890.02800000000002</v>
      </c>
      <c r="N250" s="180">
        <v>890.02800000000002</v>
      </c>
      <c r="O250" s="181">
        <v>890.02800000000002</v>
      </c>
      <c r="P250" s="182">
        <v>890.02800000000002</v>
      </c>
      <c r="Q250" s="180">
        <v>890.02800000000002</v>
      </c>
      <c r="R250" s="181">
        <v>890.02800000000002</v>
      </c>
      <c r="S250" s="182">
        <v>890.02800000000002</v>
      </c>
      <c r="T250" s="180">
        <v>890.02800000000002</v>
      </c>
      <c r="U250" s="181">
        <v>890.02800000000002</v>
      </c>
      <c r="V250" s="182">
        <v>890.02800000000002</v>
      </c>
      <c r="W250" s="180">
        <v>890.02800000000002</v>
      </c>
      <c r="X250" s="181">
        <v>890.02800000000002</v>
      </c>
      <c r="Y250" s="182">
        <v>890.02800000000002</v>
      </c>
      <c r="Z250" s="180">
        <v>890.02800000000002</v>
      </c>
      <c r="AA250" s="181">
        <v>890.02800000000002</v>
      </c>
      <c r="AB250" s="182">
        <v>890.02800000000002</v>
      </c>
      <c r="AC250" s="180">
        <v>890.02800000000002</v>
      </c>
      <c r="AD250" s="181">
        <v>890.02800000000002</v>
      </c>
      <c r="AE250" s="182">
        <v>890.02800000000002</v>
      </c>
      <c r="AF250" s="180">
        <v>890.02800000000002</v>
      </c>
      <c r="AG250" s="181">
        <v>890.02800000000002</v>
      </c>
      <c r="AH250" s="182">
        <v>890.02800000000002</v>
      </c>
      <c r="AI250" s="168" t="s">
        <v>375</v>
      </c>
      <c r="AJ250" s="169" t="s">
        <v>2485</v>
      </c>
      <c r="AK250" s="170" t="s">
        <v>2486</v>
      </c>
      <c r="AL250" s="169" t="s">
        <v>17</v>
      </c>
      <c r="AM250" s="183">
        <v>1332</v>
      </c>
    </row>
    <row r="251" spans="1:39" s="2" customFormat="1">
      <c r="A251" s="179" t="s">
        <v>565</v>
      </c>
      <c r="B251" s="238" t="s">
        <v>163</v>
      </c>
      <c r="C251" s="164" t="s">
        <v>3914</v>
      </c>
      <c r="D251" s="236" t="s">
        <v>3915</v>
      </c>
      <c r="E251" s="180">
        <v>81</v>
      </c>
      <c r="F251" s="181">
        <v>81</v>
      </c>
      <c r="G251" s="182">
        <v>81</v>
      </c>
      <c r="H251" s="180">
        <v>81</v>
      </c>
      <c r="I251" s="181">
        <v>81</v>
      </c>
      <c r="J251" s="182">
        <v>81</v>
      </c>
      <c r="K251" s="180">
        <v>84</v>
      </c>
      <c r="L251" s="181">
        <v>84</v>
      </c>
      <c r="M251" s="182">
        <v>84</v>
      </c>
      <c r="N251" s="180">
        <v>84</v>
      </c>
      <c r="O251" s="181">
        <v>0</v>
      </c>
      <c r="P251" s="182">
        <v>0</v>
      </c>
      <c r="Q251" s="180">
        <v>0</v>
      </c>
      <c r="R251" s="181">
        <v>84</v>
      </c>
      <c r="S251" s="182">
        <v>84</v>
      </c>
      <c r="T251" s="180">
        <v>84</v>
      </c>
      <c r="U251" s="181">
        <v>84</v>
      </c>
      <c r="V251" s="182">
        <v>84</v>
      </c>
      <c r="W251" s="180">
        <v>84</v>
      </c>
      <c r="X251" s="181">
        <v>84</v>
      </c>
      <c r="Y251" s="182">
        <v>84</v>
      </c>
      <c r="Z251" s="180">
        <v>84</v>
      </c>
      <c r="AA251" s="181">
        <v>84</v>
      </c>
      <c r="AB251" s="182">
        <v>84</v>
      </c>
      <c r="AC251" s="180">
        <v>84</v>
      </c>
      <c r="AD251" s="181">
        <v>84</v>
      </c>
      <c r="AE251" s="182">
        <v>84</v>
      </c>
      <c r="AF251" s="180">
        <v>84</v>
      </c>
      <c r="AG251" s="181">
        <v>84</v>
      </c>
      <c r="AH251" s="182">
        <v>84</v>
      </c>
      <c r="AI251" s="168" t="s">
        <v>1137</v>
      </c>
      <c r="AJ251" s="169" t="s">
        <v>2593</v>
      </c>
      <c r="AK251" s="170" t="s">
        <v>2482</v>
      </c>
      <c r="AL251" s="169" t="s">
        <v>18</v>
      </c>
      <c r="AM251" s="183">
        <v>1130</v>
      </c>
    </row>
    <row r="252" spans="1:39" s="2" customFormat="1">
      <c r="A252" s="179" t="s">
        <v>7</v>
      </c>
      <c r="B252" s="238" t="s">
        <v>163</v>
      </c>
      <c r="C252" s="164" t="s">
        <v>3936</v>
      </c>
      <c r="D252" s="236" t="s">
        <v>3938</v>
      </c>
      <c r="E252" s="180">
        <v>46.7</v>
      </c>
      <c r="F252" s="181">
        <v>45.4</v>
      </c>
      <c r="G252" s="182">
        <v>43.4</v>
      </c>
      <c r="H252" s="180">
        <v>46.7</v>
      </c>
      <c r="I252" s="181">
        <v>45.4</v>
      </c>
      <c r="J252" s="182">
        <v>43.4</v>
      </c>
      <c r="K252" s="180">
        <v>46.7</v>
      </c>
      <c r="L252" s="181">
        <v>45.4</v>
      </c>
      <c r="M252" s="182">
        <v>43.4</v>
      </c>
      <c r="N252" s="180">
        <v>46.7</v>
      </c>
      <c r="O252" s="181">
        <v>45.4</v>
      </c>
      <c r="P252" s="182">
        <v>43.4</v>
      </c>
      <c r="Q252" s="180">
        <v>46.7</v>
      </c>
      <c r="R252" s="181">
        <v>45.4</v>
      </c>
      <c r="S252" s="182">
        <v>43.4</v>
      </c>
      <c r="T252" s="180">
        <v>46.7</v>
      </c>
      <c r="U252" s="181">
        <v>45.4</v>
      </c>
      <c r="V252" s="182">
        <v>43.4</v>
      </c>
      <c r="W252" s="180">
        <v>46.7</v>
      </c>
      <c r="X252" s="181">
        <v>45.4</v>
      </c>
      <c r="Y252" s="182">
        <v>43.4</v>
      </c>
      <c r="Z252" s="180">
        <v>46.7</v>
      </c>
      <c r="AA252" s="181">
        <v>45.4</v>
      </c>
      <c r="AB252" s="182">
        <v>43.4</v>
      </c>
      <c r="AC252" s="180">
        <v>46.7</v>
      </c>
      <c r="AD252" s="181">
        <v>45.4</v>
      </c>
      <c r="AE252" s="182">
        <v>43.4</v>
      </c>
      <c r="AF252" s="180">
        <v>46.7</v>
      </c>
      <c r="AG252" s="181">
        <v>45.4</v>
      </c>
      <c r="AH252" s="182">
        <v>43.4</v>
      </c>
      <c r="AI252" s="168" t="s">
        <v>3937</v>
      </c>
      <c r="AJ252" s="169" t="s">
        <v>2491</v>
      </c>
      <c r="AK252" s="170" t="s">
        <v>2477</v>
      </c>
      <c r="AL252" s="169" t="s">
        <v>2479</v>
      </c>
      <c r="AM252" s="183">
        <v>1280</v>
      </c>
    </row>
    <row r="253" spans="1:39" s="2" customFormat="1" ht="20.6">
      <c r="A253" s="179" t="s">
        <v>380</v>
      </c>
      <c r="B253" s="238" t="s">
        <v>163</v>
      </c>
      <c r="C253" s="164" t="s">
        <v>1477</v>
      </c>
      <c r="D253" s="236" t="s">
        <v>1478</v>
      </c>
      <c r="E253" s="180">
        <v>13.38</v>
      </c>
      <c r="F253" s="181">
        <v>12.96</v>
      </c>
      <c r="G253" s="182">
        <v>12.6</v>
      </c>
      <c r="H253" s="180">
        <v>13.38</v>
      </c>
      <c r="I253" s="181">
        <v>12.96</v>
      </c>
      <c r="J253" s="182">
        <v>12.6</v>
      </c>
      <c r="K253" s="180">
        <v>13.38</v>
      </c>
      <c r="L253" s="181">
        <v>12.96</v>
      </c>
      <c r="M253" s="182">
        <v>12.6</v>
      </c>
      <c r="N253" s="180">
        <v>13.38</v>
      </c>
      <c r="O253" s="181">
        <v>12.96</v>
      </c>
      <c r="P253" s="182">
        <v>12.6</v>
      </c>
      <c r="Q253" s="180">
        <v>13.38</v>
      </c>
      <c r="R253" s="181">
        <v>12.96</v>
      </c>
      <c r="S253" s="182">
        <v>12.6</v>
      </c>
      <c r="T253" s="180">
        <v>13.38</v>
      </c>
      <c r="U253" s="181">
        <v>12.96</v>
      </c>
      <c r="V253" s="182">
        <v>12.6</v>
      </c>
      <c r="W253" s="180">
        <v>13.38</v>
      </c>
      <c r="X253" s="181">
        <v>12.96</v>
      </c>
      <c r="Y253" s="182">
        <v>12.6</v>
      </c>
      <c r="Z253" s="180">
        <v>13.38</v>
      </c>
      <c r="AA253" s="181">
        <v>12.96</v>
      </c>
      <c r="AB253" s="182">
        <v>12.6</v>
      </c>
      <c r="AC253" s="180">
        <v>13.38</v>
      </c>
      <c r="AD253" s="181">
        <v>12.96</v>
      </c>
      <c r="AE253" s="182">
        <v>12.6</v>
      </c>
      <c r="AF253" s="180">
        <v>13.38</v>
      </c>
      <c r="AG253" s="181">
        <v>12.96</v>
      </c>
      <c r="AH253" s="182">
        <v>12.6</v>
      </c>
      <c r="AI253" s="168" t="s">
        <v>400</v>
      </c>
      <c r="AJ253" s="169" t="s">
        <v>2491</v>
      </c>
      <c r="AK253" s="170" t="s">
        <v>2477</v>
      </c>
      <c r="AL253" s="169" t="s">
        <v>2479</v>
      </c>
      <c r="AM253" s="183">
        <v>1847</v>
      </c>
    </row>
    <row r="254" spans="1:39" s="2" customFormat="1" ht="20.6">
      <c r="A254" s="179" t="s">
        <v>380</v>
      </c>
      <c r="B254" s="238" t="s">
        <v>163</v>
      </c>
      <c r="C254" s="164" t="s">
        <v>1479</v>
      </c>
      <c r="D254" s="236" t="s">
        <v>1480</v>
      </c>
      <c r="E254" s="180">
        <v>12.42</v>
      </c>
      <c r="F254" s="181">
        <v>11.7</v>
      </c>
      <c r="G254" s="182">
        <v>11.46</v>
      </c>
      <c r="H254" s="180">
        <v>12.42</v>
      </c>
      <c r="I254" s="181">
        <v>11.7</v>
      </c>
      <c r="J254" s="182">
        <v>11.46</v>
      </c>
      <c r="K254" s="180">
        <v>12.42</v>
      </c>
      <c r="L254" s="181">
        <v>11.7</v>
      </c>
      <c r="M254" s="182">
        <v>11.46</v>
      </c>
      <c r="N254" s="180">
        <v>12.42</v>
      </c>
      <c r="O254" s="181">
        <v>11.7</v>
      </c>
      <c r="P254" s="182">
        <v>11.46</v>
      </c>
      <c r="Q254" s="180">
        <v>12.42</v>
      </c>
      <c r="R254" s="181">
        <v>11.7</v>
      </c>
      <c r="S254" s="182">
        <v>11.46</v>
      </c>
      <c r="T254" s="180">
        <v>12.42</v>
      </c>
      <c r="U254" s="181">
        <v>11.7</v>
      </c>
      <c r="V254" s="182">
        <v>11.46</v>
      </c>
      <c r="W254" s="180">
        <v>12.42</v>
      </c>
      <c r="X254" s="181">
        <v>11.7</v>
      </c>
      <c r="Y254" s="182">
        <v>11.46</v>
      </c>
      <c r="Z254" s="180">
        <v>12.42</v>
      </c>
      <c r="AA254" s="181">
        <v>11.7</v>
      </c>
      <c r="AB254" s="182">
        <v>11.46</v>
      </c>
      <c r="AC254" s="180">
        <v>12.42</v>
      </c>
      <c r="AD254" s="181">
        <v>11.7</v>
      </c>
      <c r="AE254" s="182">
        <v>11.46</v>
      </c>
      <c r="AF254" s="180">
        <v>12.42</v>
      </c>
      <c r="AG254" s="181">
        <v>11.7</v>
      </c>
      <c r="AH254" s="182">
        <v>11.46</v>
      </c>
      <c r="AI254" s="168" t="s">
        <v>400</v>
      </c>
      <c r="AJ254" s="169" t="s">
        <v>2491</v>
      </c>
      <c r="AK254" s="170" t="s">
        <v>2477</v>
      </c>
      <c r="AL254" s="169" t="s">
        <v>2479</v>
      </c>
      <c r="AM254" s="183">
        <v>2010</v>
      </c>
    </row>
    <row r="255" spans="1:39" s="2" customFormat="1" ht="20.6">
      <c r="A255" s="179" t="s">
        <v>380</v>
      </c>
      <c r="B255" s="238" t="s">
        <v>163</v>
      </c>
      <c r="C255" s="164" t="s">
        <v>411</v>
      </c>
      <c r="D255" s="236" t="s">
        <v>413</v>
      </c>
      <c r="E255" s="180">
        <v>0</v>
      </c>
      <c r="F255" s="181">
        <v>100</v>
      </c>
      <c r="G255" s="182">
        <v>100</v>
      </c>
      <c r="H255" s="180">
        <v>100</v>
      </c>
      <c r="I255" s="181">
        <v>100</v>
      </c>
      <c r="J255" s="182">
        <v>100</v>
      </c>
      <c r="K255" s="180">
        <v>100</v>
      </c>
      <c r="L255" s="181">
        <v>100</v>
      </c>
      <c r="M255" s="182">
        <v>100</v>
      </c>
      <c r="N255" s="180">
        <v>100</v>
      </c>
      <c r="O255" s="181">
        <v>100</v>
      </c>
      <c r="P255" s="182">
        <v>100</v>
      </c>
      <c r="Q255" s="180">
        <v>100</v>
      </c>
      <c r="R255" s="181">
        <v>100</v>
      </c>
      <c r="S255" s="182">
        <v>100</v>
      </c>
      <c r="T255" s="180">
        <v>100</v>
      </c>
      <c r="U255" s="181">
        <v>100</v>
      </c>
      <c r="V255" s="182">
        <v>100</v>
      </c>
      <c r="W255" s="180">
        <v>100</v>
      </c>
      <c r="X255" s="181">
        <v>100</v>
      </c>
      <c r="Y255" s="182">
        <v>100</v>
      </c>
      <c r="Z255" s="180">
        <v>100</v>
      </c>
      <c r="AA255" s="181">
        <v>100</v>
      </c>
      <c r="AB255" s="182">
        <v>100</v>
      </c>
      <c r="AC255" s="180">
        <v>100</v>
      </c>
      <c r="AD255" s="181">
        <v>100</v>
      </c>
      <c r="AE255" s="182">
        <v>100</v>
      </c>
      <c r="AF255" s="180">
        <v>100</v>
      </c>
      <c r="AG255" s="181">
        <v>100</v>
      </c>
      <c r="AH255" s="182">
        <v>100</v>
      </c>
      <c r="AI255" s="168" t="s">
        <v>412</v>
      </c>
      <c r="AJ255" s="169" t="s">
        <v>2466</v>
      </c>
      <c r="AK255" s="170" t="s">
        <v>2467</v>
      </c>
      <c r="AL255" s="169" t="s">
        <v>20</v>
      </c>
      <c r="AM255" s="183">
        <v>2256</v>
      </c>
    </row>
    <row r="256" spans="1:39" s="2" customFormat="1" ht="20.6">
      <c r="A256" s="179" t="s">
        <v>380</v>
      </c>
      <c r="B256" s="238" t="s">
        <v>163</v>
      </c>
      <c r="C256" s="164" t="s">
        <v>1126</v>
      </c>
      <c r="D256" s="236" t="s">
        <v>3942</v>
      </c>
      <c r="E256" s="180">
        <v>29.986000000000001</v>
      </c>
      <c r="F256" s="181">
        <v>29.986000000000001</v>
      </c>
      <c r="G256" s="182">
        <v>29.986000000000001</v>
      </c>
      <c r="H256" s="180">
        <v>29.986000000000001</v>
      </c>
      <c r="I256" s="181">
        <v>29.986000000000001</v>
      </c>
      <c r="J256" s="182">
        <v>29.986000000000001</v>
      </c>
      <c r="K256" s="180">
        <v>29.986000000000001</v>
      </c>
      <c r="L256" s="181">
        <v>29.986000000000001</v>
      </c>
      <c r="M256" s="182">
        <v>29.986000000000001</v>
      </c>
      <c r="N256" s="180">
        <v>29.986000000000001</v>
      </c>
      <c r="O256" s="181">
        <v>29.986000000000001</v>
      </c>
      <c r="P256" s="182">
        <v>29.986000000000001</v>
      </c>
      <c r="Q256" s="180">
        <v>29.986000000000001</v>
      </c>
      <c r="R256" s="181">
        <v>29.986000000000001</v>
      </c>
      <c r="S256" s="182">
        <v>29.986000000000001</v>
      </c>
      <c r="T256" s="180">
        <v>29.986000000000001</v>
      </c>
      <c r="U256" s="181">
        <v>29.986000000000001</v>
      </c>
      <c r="V256" s="182">
        <v>29.986000000000001</v>
      </c>
      <c r="W256" s="180">
        <v>29.986000000000001</v>
      </c>
      <c r="X256" s="181">
        <v>29.986000000000001</v>
      </c>
      <c r="Y256" s="182">
        <v>29.986000000000001</v>
      </c>
      <c r="Z256" s="180">
        <v>29.986000000000001</v>
      </c>
      <c r="AA256" s="181">
        <v>29.986000000000001</v>
      </c>
      <c r="AB256" s="182">
        <v>29.986000000000001</v>
      </c>
      <c r="AC256" s="180">
        <v>29.986000000000001</v>
      </c>
      <c r="AD256" s="181">
        <v>29.986000000000001</v>
      </c>
      <c r="AE256" s="182">
        <v>29.986000000000001</v>
      </c>
      <c r="AF256" s="180">
        <v>29.986000000000001</v>
      </c>
      <c r="AG256" s="181">
        <v>29.986000000000001</v>
      </c>
      <c r="AH256" s="182">
        <v>29.986000000000001</v>
      </c>
      <c r="AI256" s="168" t="s">
        <v>1127</v>
      </c>
      <c r="AJ256" s="169" t="s">
        <v>2491</v>
      </c>
      <c r="AK256" s="170" t="s">
        <v>2477</v>
      </c>
      <c r="AL256" s="169" t="s">
        <v>2479</v>
      </c>
      <c r="AM256" s="183">
        <v>2410</v>
      </c>
    </row>
    <row r="257" spans="1:39" s="2" customFormat="1">
      <c r="A257" s="179" t="s">
        <v>309</v>
      </c>
      <c r="B257" s="238" t="s">
        <v>163</v>
      </c>
      <c r="C257" s="164" t="s">
        <v>1619</v>
      </c>
      <c r="D257" s="236" t="s">
        <v>1621</v>
      </c>
      <c r="E257" s="180">
        <v>27.3</v>
      </c>
      <c r="F257" s="181">
        <v>27.3</v>
      </c>
      <c r="G257" s="182">
        <v>27.3</v>
      </c>
      <c r="H257" s="180">
        <v>27.3</v>
      </c>
      <c r="I257" s="181">
        <v>27.3</v>
      </c>
      <c r="J257" s="182">
        <v>27.3</v>
      </c>
      <c r="K257" s="180">
        <v>27.3</v>
      </c>
      <c r="L257" s="181">
        <v>27.3</v>
      </c>
      <c r="M257" s="182">
        <v>27.3</v>
      </c>
      <c r="N257" s="180">
        <v>27.3</v>
      </c>
      <c r="O257" s="181">
        <v>27.3</v>
      </c>
      <c r="P257" s="182">
        <v>27.3</v>
      </c>
      <c r="Q257" s="180">
        <v>27.3</v>
      </c>
      <c r="R257" s="181">
        <v>27.3</v>
      </c>
      <c r="S257" s="182">
        <v>27.3</v>
      </c>
      <c r="T257" s="180">
        <v>27.3</v>
      </c>
      <c r="U257" s="181">
        <v>27.3</v>
      </c>
      <c r="V257" s="182">
        <v>27.3</v>
      </c>
      <c r="W257" s="180">
        <v>27.3</v>
      </c>
      <c r="X257" s="181">
        <v>27.3</v>
      </c>
      <c r="Y257" s="182">
        <v>27.3</v>
      </c>
      <c r="Z257" s="180">
        <v>27.3</v>
      </c>
      <c r="AA257" s="181">
        <v>27.3</v>
      </c>
      <c r="AB257" s="182">
        <v>27.3</v>
      </c>
      <c r="AC257" s="180">
        <v>27.3</v>
      </c>
      <c r="AD257" s="181">
        <v>27.3</v>
      </c>
      <c r="AE257" s="182">
        <v>27.3</v>
      </c>
      <c r="AF257" s="180">
        <v>27.3</v>
      </c>
      <c r="AG257" s="181">
        <v>27.3</v>
      </c>
      <c r="AH257" s="182">
        <v>27.3</v>
      </c>
      <c r="AI257" s="168" t="s">
        <v>1620</v>
      </c>
      <c r="AJ257" s="169" t="s">
        <v>2491</v>
      </c>
      <c r="AK257" s="170" t="s">
        <v>2477</v>
      </c>
      <c r="AL257" s="169" t="s">
        <v>2479</v>
      </c>
      <c r="AM257" s="183">
        <v>1689</v>
      </c>
    </row>
    <row r="258" spans="1:39" s="2" customFormat="1">
      <c r="A258" s="179" t="s">
        <v>565</v>
      </c>
      <c r="B258" s="238" t="s">
        <v>163</v>
      </c>
      <c r="C258" s="164" t="s">
        <v>3993</v>
      </c>
      <c r="D258" s="236" t="s">
        <v>3994</v>
      </c>
      <c r="E258" s="180">
        <v>44</v>
      </c>
      <c r="F258" s="181">
        <v>44</v>
      </c>
      <c r="G258" s="182">
        <v>44</v>
      </c>
      <c r="H258" s="180">
        <v>44</v>
      </c>
      <c r="I258" s="181">
        <v>0</v>
      </c>
      <c r="J258" s="182">
        <v>0</v>
      </c>
      <c r="K258" s="180">
        <v>44</v>
      </c>
      <c r="L258" s="181">
        <v>44</v>
      </c>
      <c r="M258" s="182">
        <v>44</v>
      </c>
      <c r="N258" s="180">
        <v>44</v>
      </c>
      <c r="O258" s="181">
        <v>44</v>
      </c>
      <c r="P258" s="182">
        <v>44</v>
      </c>
      <c r="Q258" s="180">
        <v>44</v>
      </c>
      <c r="R258" s="181">
        <v>44</v>
      </c>
      <c r="S258" s="182">
        <v>44</v>
      </c>
      <c r="T258" s="180">
        <v>44</v>
      </c>
      <c r="U258" s="181">
        <v>44</v>
      </c>
      <c r="V258" s="182">
        <v>44</v>
      </c>
      <c r="W258" s="180">
        <v>44</v>
      </c>
      <c r="X258" s="181">
        <v>44</v>
      </c>
      <c r="Y258" s="182">
        <v>44</v>
      </c>
      <c r="Z258" s="180">
        <v>44</v>
      </c>
      <c r="AA258" s="181">
        <v>44</v>
      </c>
      <c r="AB258" s="182">
        <v>44</v>
      </c>
      <c r="AC258" s="180">
        <v>44</v>
      </c>
      <c r="AD258" s="181">
        <v>44</v>
      </c>
      <c r="AE258" s="182">
        <v>44</v>
      </c>
      <c r="AF258" s="180">
        <v>44</v>
      </c>
      <c r="AG258" s="181">
        <v>44</v>
      </c>
      <c r="AH258" s="182">
        <v>44</v>
      </c>
      <c r="AI258" s="168" t="s">
        <v>1137</v>
      </c>
      <c r="AJ258" s="169" t="s">
        <v>2593</v>
      </c>
      <c r="AK258" s="170" t="s">
        <v>2482</v>
      </c>
      <c r="AL258" s="169" t="s">
        <v>18</v>
      </c>
      <c r="AM258" s="183">
        <v>1133</v>
      </c>
    </row>
    <row r="259" spans="1:39" s="2" customFormat="1" ht="30.9">
      <c r="A259" s="179" t="s">
        <v>423</v>
      </c>
      <c r="B259" s="238" t="s">
        <v>163</v>
      </c>
      <c r="C259" s="164" t="s">
        <v>474</v>
      </c>
      <c r="D259" s="236" t="s">
        <v>476</v>
      </c>
      <c r="E259" s="180">
        <v>0</v>
      </c>
      <c r="F259" s="181">
        <v>200</v>
      </c>
      <c r="G259" s="182">
        <v>200</v>
      </c>
      <c r="H259" s="180">
        <v>200</v>
      </c>
      <c r="I259" s="181">
        <v>200</v>
      </c>
      <c r="J259" s="182">
        <v>200</v>
      </c>
      <c r="K259" s="180">
        <v>200</v>
      </c>
      <c r="L259" s="181">
        <v>200</v>
      </c>
      <c r="M259" s="182">
        <v>200</v>
      </c>
      <c r="N259" s="180">
        <v>200</v>
      </c>
      <c r="O259" s="181">
        <v>200</v>
      </c>
      <c r="P259" s="182">
        <v>200</v>
      </c>
      <c r="Q259" s="180">
        <v>200</v>
      </c>
      <c r="R259" s="181">
        <v>200</v>
      </c>
      <c r="S259" s="182">
        <v>200</v>
      </c>
      <c r="T259" s="180">
        <v>200</v>
      </c>
      <c r="U259" s="181">
        <v>200</v>
      </c>
      <c r="V259" s="182">
        <v>200</v>
      </c>
      <c r="W259" s="180">
        <v>200</v>
      </c>
      <c r="X259" s="181">
        <v>200</v>
      </c>
      <c r="Y259" s="182">
        <v>200</v>
      </c>
      <c r="Z259" s="180">
        <v>200</v>
      </c>
      <c r="AA259" s="181">
        <v>200</v>
      </c>
      <c r="AB259" s="182">
        <v>200</v>
      </c>
      <c r="AC259" s="180">
        <v>200</v>
      </c>
      <c r="AD259" s="181">
        <v>200</v>
      </c>
      <c r="AE259" s="182">
        <v>200</v>
      </c>
      <c r="AF259" s="180">
        <v>200</v>
      </c>
      <c r="AG259" s="181">
        <v>200</v>
      </c>
      <c r="AH259" s="182">
        <v>200</v>
      </c>
      <c r="AI259" s="168" t="s">
        <v>475</v>
      </c>
      <c r="AJ259" s="169" t="s">
        <v>2466</v>
      </c>
      <c r="AK259" s="170" t="s">
        <v>2467</v>
      </c>
      <c r="AL259" s="169" t="s">
        <v>20</v>
      </c>
      <c r="AM259" s="183">
        <v>3100</v>
      </c>
    </row>
    <row r="260" spans="1:39" s="2" customFormat="1" ht="30.9">
      <c r="A260" s="179" t="s">
        <v>423</v>
      </c>
      <c r="B260" s="238" t="s">
        <v>163</v>
      </c>
      <c r="C260" s="164" t="s">
        <v>477</v>
      </c>
      <c r="D260" s="236" t="s">
        <v>479</v>
      </c>
      <c r="E260" s="180">
        <v>0</v>
      </c>
      <c r="F260" s="181">
        <v>200</v>
      </c>
      <c r="G260" s="182">
        <v>200</v>
      </c>
      <c r="H260" s="180">
        <v>200</v>
      </c>
      <c r="I260" s="181">
        <v>200</v>
      </c>
      <c r="J260" s="182">
        <v>200</v>
      </c>
      <c r="K260" s="180">
        <v>200</v>
      </c>
      <c r="L260" s="181">
        <v>200</v>
      </c>
      <c r="M260" s="182">
        <v>200</v>
      </c>
      <c r="N260" s="180">
        <v>200</v>
      </c>
      <c r="O260" s="181">
        <v>200</v>
      </c>
      <c r="P260" s="182">
        <v>200</v>
      </c>
      <c r="Q260" s="180">
        <v>200</v>
      </c>
      <c r="R260" s="181">
        <v>200</v>
      </c>
      <c r="S260" s="182">
        <v>200</v>
      </c>
      <c r="T260" s="180">
        <v>200</v>
      </c>
      <c r="U260" s="181">
        <v>200</v>
      </c>
      <c r="V260" s="182">
        <v>200</v>
      </c>
      <c r="W260" s="180">
        <v>200</v>
      </c>
      <c r="X260" s="181">
        <v>200</v>
      </c>
      <c r="Y260" s="182">
        <v>200</v>
      </c>
      <c r="Z260" s="180">
        <v>200</v>
      </c>
      <c r="AA260" s="181">
        <v>200</v>
      </c>
      <c r="AB260" s="182">
        <v>200</v>
      </c>
      <c r="AC260" s="180">
        <v>200</v>
      </c>
      <c r="AD260" s="181">
        <v>200</v>
      </c>
      <c r="AE260" s="182">
        <v>200</v>
      </c>
      <c r="AF260" s="180">
        <v>200</v>
      </c>
      <c r="AG260" s="181">
        <v>200</v>
      </c>
      <c r="AH260" s="182">
        <v>200</v>
      </c>
      <c r="AI260" s="168" t="s">
        <v>478</v>
      </c>
      <c r="AJ260" s="169" t="s">
        <v>2466</v>
      </c>
      <c r="AK260" s="170" t="s">
        <v>2467</v>
      </c>
      <c r="AL260" s="169" t="s">
        <v>20</v>
      </c>
      <c r="AM260" s="183">
        <v>3101</v>
      </c>
    </row>
    <row r="261" spans="1:39" s="2" customFormat="1" ht="30.9">
      <c r="A261" s="179" t="s">
        <v>423</v>
      </c>
      <c r="B261" s="238" t="s">
        <v>163</v>
      </c>
      <c r="C261" s="164" t="s">
        <v>480</v>
      </c>
      <c r="D261" s="236" t="s">
        <v>482</v>
      </c>
      <c r="E261" s="180">
        <v>0</v>
      </c>
      <c r="F261" s="181">
        <v>200</v>
      </c>
      <c r="G261" s="182">
        <v>200</v>
      </c>
      <c r="H261" s="180">
        <v>200</v>
      </c>
      <c r="I261" s="181">
        <v>200</v>
      </c>
      <c r="J261" s="182">
        <v>200</v>
      </c>
      <c r="K261" s="180">
        <v>200</v>
      </c>
      <c r="L261" s="181">
        <v>200</v>
      </c>
      <c r="M261" s="182">
        <v>200</v>
      </c>
      <c r="N261" s="180">
        <v>200</v>
      </c>
      <c r="O261" s="181">
        <v>200</v>
      </c>
      <c r="P261" s="182">
        <v>200</v>
      </c>
      <c r="Q261" s="180">
        <v>200</v>
      </c>
      <c r="R261" s="181">
        <v>200</v>
      </c>
      <c r="S261" s="182">
        <v>200</v>
      </c>
      <c r="T261" s="180">
        <v>200</v>
      </c>
      <c r="U261" s="181">
        <v>200</v>
      </c>
      <c r="V261" s="182">
        <v>200</v>
      </c>
      <c r="W261" s="180">
        <v>200</v>
      </c>
      <c r="X261" s="181">
        <v>200</v>
      </c>
      <c r="Y261" s="182">
        <v>200</v>
      </c>
      <c r="Z261" s="180">
        <v>200</v>
      </c>
      <c r="AA261" s="181">
        <v>200</v>
      </c>
      <c r="AB261" s="182">
        <v>200</v>
      </c>
      <c r="AC261" s="180">
        <v>200</v>
      </c>
      <c r="AD261" s="181">
        <v>200</v>
      </c>
      <c r="AE261" s="182">
        <v>200</v>
      </c>
      <c r="AF261" s="180">
        <v>200</v>
      </c>
      <c r="AG261" s="181">
        <v>200</v>
      </c>
      <c r="AH261" s="182">
        <v>200</v>
      </c>
      <c r="AI261" s="168" t="s">
        <v>481</v>
      </c>
      <c r="AJ261" s="169" t="s">
        <v>2466</v>
      </c>
      <c r="AK261" s="170" t="s">
        <v>2467</v>
      </c>
      <c r="AL261" s="169" t="s">
        <v>20</v>
      </c>
      <c r="AM261" s="183">
        <v>3102</v>
      </c>
    </row>
    <row r="262" spans="1:39" s="2" customFormat="1">
      <c r="A262" s="179" t="s">
        <v>7</v>
      </c>
      <c r="B262" s="238" t="s">
        <v>163</v>
      </c>
      <c r="C262" s="164" t="s">
        <v>1085</v>
      </c>
      <c r="D262" s="236" t="s">
        <v>1087</v>
      </c>
      <c r="E262" s="180">
        <v>115.02</v>
      </c>
      <c r="F262" s="181">
        <v>111.726</v>
      </c>
      <c r="G262" s="182">
        <v>107.08199999999999</v>
      </c>
      <c r="H262" s="180">
        <v>115.02</v>
      </c>
      <c r="I262" s="181">
        <v>111.726</v>
      </c>
      <c r="J262" s="182">
        <v>107.08199999999999</v>
      </c>
      <c r="K262" s="180">
        <v>115.02</v>
      </c>
      <c r="L262" s="181">
        <v>111.726</v>
      </c>
      <c r="M262" s="182">
        <v>107.08199999999999</v>
      </c>
      <c r="N262" s="180">
        <v>115.02</v>
      </c>
      <c r="O262" s="181">
        <v>111.726</v>
      </c>
      <c r="P262" s="182">
        <v>107.08199999999999</v>
      </c>
      <c r="Q262" s="180">
        <v>115.02</v>
      </c>
      <c r="R262" s="181">
        <v>111.726</v>
      </c>
      <c r="S262" s="182">
        <v>107.08199999999999</v>
      </c>
      <c r="T262" s="180">
        <v>115.02</v>
      </c>
      <c r="U262" s="181">
        <v>111.726</v>
      </c>
      <c r="V262" s="182">
        <v>107.08199999999999</v>
      </c>
      <c r="W262" s="180">
        <v>115.02</v>
      </c>
      <c r="X262" s="181">
        <v>111.726</v>
      </c>
      <c r="Y262" s="182">
        <v>107.08199999999999</v>
      </c>
      <c r="Z262" s="180">
        <v>115.02</v>
      </c>
      <c r="AA262" s="181">
        <v>111.726</v>
      </c>
      <c r="AB262" s="182">
        <v>107.08199999999999</v>
      </c>
      <c r="AC262" s="180">
        <v>115.02</v>
      </c>
      <c r="AD262" s="181">
        <v>111.726</v>
      </c>
      <c r="AE262" s="182">
        <v>107.08199999999999</v>
      </c>
      <c r="AF262" s="180">
        <v>115.02</v>
      </c>
      <c r="AG262" s="181">
        <v>111.726</v>
      </c>
      <c r="AH262" s="182">
        <v>107.08199999999999</v>
      </c>
      <c r="AI262" s="168" t="s">
        <v>1086</v>
      </c>
      <c r="AJ262" s="169" t="s">
        <v>2491</v>
      </c>
      <c r="AK262" s="170" t="s">
        <v>2477</v>
      </c>
      <c r="AL262" s="169" t="s">
        <v>2479</v>
      </c>
      <c r="AM262" s="183">
        <v>1628</v>
      </c>
    </row>
    <row r="263" spans="1:39" s="2" customFormat="1">
      <c r="A263" s="179" t="s">
        <v>309</v>
      </c>
      <c r="B263" s="238" t="s">
        <v>163</v>
      </c>
      <c r="C263" s="164" t="s">
        <v>4016</v>
      </c>
      <c r="D263" s="236" t="s">
        <v>4017</v>
      </c>
      <c r="E263" s="180">
        <v>26</v>
      </c>
      <c r="F263" s="181">
        <v>26</v>
      </c>
      <c r="G263" s="182">
        <v>26</v>
      </c>
      <c r="H263" s="180">
        <v>26</v>
      </c>
      <c r="I263" s="181">
        <v>26</v>
      </c>
      <c r="J263" s="182">
        <v>26</v>
      </c>
      <c r="K263" s="180">
        <v>26</v>
      </c>
      <c r="L263" s="181">
        <v>26</v>
      </c>
      <c r="M263" s="182">
        <v>26</v>
      </c>
      <c r="N263" s="180">
        <v>26</v>
      </c>
      <c r="O263" s="181">
        <v>26</v>
      </c>
      <c r="P263" s="182">
        <v>26</v>
      </c>
      <c r="Q263" s="180">
        <v>26</v>
      </c>
      <c r="R263" s="181">
        <v>26</v>
      </c>
      <c r="S263" s="182">
        <v>26</v>
      </c>
      <c r="T263" s="180">
        <v>26</v>
      </c>
      <c r="U263" s="181">
        <v>26</v>
      </c>
      <c r="V263" s="182">
        <v>26</v>
      </c>
      <c r="W263" s="180">
        <v>26</v>
      </c>
      <c r="X263" s="181">
        <v>26</v>
      </c>
      <c r="Y263" s="182">
        <v>26</v>
      </c>
      <c r="Z263" s="180">
        <v>26</v>
      </c>
      <c r="AA263" s="181">
        <v>26</v>
      </c>
      <c r="AB263" s="182">
        <v>26</v>
      </c>
      <c r="AC263" s="180">
        <v>26</v>
      </c>
      <c r="AD263" s="181">
        <v>26</v>
      </c>
      <c r="AE263" s="182">
        <v>26</v>
      </c>
      <c r="AF263" s="180">
        <v>26</v>
      </c>
      <c r="AG263" s="181">
        <v>26</v>
      </c>
      <c r="AH263" s="182">
        <v>26</v>
      </c>
      <c r="AI263" s="168" t="s">
        <v>1684</v>
      </c>
      <c r="AJ263" s="169" t="s">
        <v>2491</v>
      </c>
      <c r="AK263" s="170" t="s">
        <v>2477</v>
      </c>
      <c r="AL263" s="169" t="s">
        <v>2479</v>
      </c>
      <c r="AM263" s="183">
        <v>1537</v>
      </c>
    </row>
    <row r="264" spans="1:39" s="2" customFormat="1">
      <c r="A264" s="179" t="s">
        <v>309</v>
      </c>
      <c r="B264" s="238" t="s">
        <v>163</v>
      </c>
      <c r="C264" s="164" t="s">
        <v>4031</v>
      </c>
      <c r="D264" s="236" t="s">
        <v>4032</v>
      </c>
      <c r="E264" s="180">
        <v>426</v>
      </c>
      <c r="F264" s="181">
        <v>400</v>
      </c>
      <c r="G264" s="182">
        <v>335</v>
      </c>
      <c r="H264" s="180">
        <v>426</v>
      </c>
      <c r="I264" s="181">
        <v>400</v>
      </c>
      <c r="J264" s="182">
        <v>335</v>
      </c>
      <c r="K264" s="180">
        <v>426</v>
      </c>
      <c r="L264" s="181">
        <v>400</v>
      </c>
      <c r="M264" s="182">
        <v>335</v>
      </c>
      <c r="N264" s="180">
        <v>426</v>
      </c>
      <c r="O264" s="181">
        <v>400</v>
      </c>
      <c r="P264" s="182">
        <v>335</v>
      </c>
      <c r="Q264" s="180">
        <v>426</v>
      </c>
      <c r="R264" s="181">
        <v>400</v>
      </c>
      <c r="S264" s="182">
        <v>335</v>
      </c>
      <c r="T264" s="180">
        <v>426</v>
      </c>
      <c r="U264" s="181">
        <v>400</v>
      </c>
      <c r="V264" s="182">
        <v>335</v>
      </c>
      <c r="W264" s="180">
        <v>426</v>
      </c>
      <c r="X264" s="181">
        <v>400</v>
      </c>
      <c r="Y264" s="182">
        <v>335</v>
      </c>
      <c r="Z264" s="180">
        <v>426</v>
      </c>
      <c r="AA264" s="181">
        <v>400</v>
      </c>
      <c r="AB264" s="182">
        <v>335</v>
      </c>
      <c r="AC264" s="180">
        <v>426</v>
      </c>
      <c r="AD264" s="181">
        <v>400</v>
      </c>
      <c r="AE264" s="182">
        <v>335</v>
      </c>
      <c r="AF264" s="180">
        <v>426</v>
      </c>
      <c r="AG264" s="181">
        <v>400</v>
      </c>
      <c r="AH264" s="182">
        <v>335</v>
      </c>
      <c r="AI264" s="168" t="s">
        <v>4029</v>
      </c>
      <c r="AJ264" s="169" t="s">
        <v>2918</v>
      </c>
      <c r="AK264" s="170" t="s">
        <v>2640</v>
      </c>
      <c r="AL264" s="169" t="s">
        <v>12</v>
      </c>
      <c r="AM264" s="183">
        <v>1134</v>
      </c>
    </row>
    <row r="265" spans="1:39" s="2" customFormat="1">
      <c r="A265" s="179" t="s">
        <v>309</v>
      </c>
      <c r="B265" s="238" t="s">
        <v>163</v>
      </c>
      <c r="C265" s="164" t="s">
        <v>4031</v>
      </c>
      <c r="D265" s="236" t="s">
        <v>4033</v>
      </c>
      <c r="E265" s="180">
        <v>426</v>
      </c>
      <c r="F265" s="181">
        <v>400</v>
      </c>
      <c r="G265" s="182">
        <v>335</v>
      </c>
      <c r="H265" s="180">
        <v>426</v>
      </c>
      <c r="I265" s="181">
        <v>400</v>
      </c>
      <c r="J265" s="182">
        <v>335</v>
      </c>
      <c r="K265" s="180">
        <v>426</v>
      </c>
      <c r="L265" s="181">
        <v>400</v>
      </c>
      <c r="M265" s="182">
        <v>335</v>
      </c>
      <c r="N265" s="180">
        <v>426</v>
      </c>
      <c r="O265" s="181">
        <v>400</v>
      </c>
      <c r="P265" s="182">
        <v>335</v>
      </c>
      <c r="Q265" s="180">
        <v>426</v>
      </c>
      <c r="R265" s="181">
        <v>400</v>
      </c>
      <c r="S265" s="182">
        <v>335</v>
      </c>
      <c r="T265" s="180">
        <v>426</v>
      </c>
      <c r="U265" s="181">
        <v>400</v>
      </c>
      <c r="V265" s="182">
        <v>335</v>
      </c>
      <c r="W265" s="180">
        <v>426</v>
      </c>
      <c r="X265" s="181">
        <v>400</v>
      </c>
      <c r="Y265" s="182">
        <v>335</v>
      </c>
      <c r="Z265" s="180">
        <v>426</v>
      </c>
      <c r="AA265" s="181">
        <v>400</v>
      </c>
      <c r="AB265" s="182">
        <v>335</v>
      </c>
      <c r="AC265" s="180">
        <v>426</v>
      </c>
      <c r="AD265" s="181">
        <v>400</v>
      </c>
      <c r="AE265" s="182">
        <v>335</v>
      </c>
      <c r="AF265" s="180">
        <v>426</v>
      </c>
      <c r="AG265" s="181">
        <v>400</v>
      </c>
      <c r="AH265" s="182">
        <v>335</v>
      </c>
      <c r="AI265" s="168" t="s">
        <v>4029</v>
      </c>
      <c r="AJ265" s="169" t="s">
        <v>2918</v>
      </c>
      <c r="AK265" s="170" t="s">
        <v>2640</v>
      </c>
      <c r="AL265" s="169" t="s">
        <v>12</v>
      </c>
      <c r="AM265" s="183">
        <v>1134</v>
      </c>
    </row>
    <row r="266" spans="1:39" s="2" customFormat="1">
      <c r="A266" s="179" t="s">
        <v>380</v>
      </c>
      <c r="B266" s="238" t="s">
        <v>163</v>
      </c>
      <c r="C266" s="164" t="s">
        <v>4037</v>
      </c>
      <c r="D266" s="236" t="s">
        <v>4038</v>
      </c>
      <c r="E266" s="180">
        <v>90</v>
      </c>
      <c r="F266" s="181">
        <v>73</v>
      </c>
      <c r="G266" s="182">
        <v>68</v>
      </c>
      <c r="H266" s="180">
        <v>90</v>
      </c>
      <c r="I266" s="181">
        <v>73</v>
      </c>
      <c r="J266" s="182">
        <v>68</v>
      </c>
      <c r="K266" s="180">
        <v>90</v>
      </c>
      <c r="L266" s="181">
        <v>73</v>
      </c>
      <c r="M266" s="182">
        <v>68</v>
      </c>
      <c r="N266" s="180">
        <v>90</v>
      </c>
      <c r="O266" s="181">
        <v>73</v>
      </c>
      <c r="P266" s="182">
        <v>68</v>
      </c>
      <c r="Q266" s="180">
        <v>90</v>
      </c>
      <c r="R266" s="181">
        <v>73</v>
      </c>
      <c r="S266" s="182">
        <v>68</v>
      </c>
      <c r="T266" s="180">
        <v>90</v>
      </c>
      <c r="U266" s="181">
        <v>73</v>
      </c>
      <c r="V266" s="182">
        <v>68</v>
      </c>
      <c r="W266" s="180">
        <v>0</v>
      </c>
      <c r="X266" s="181">
        <v>0</v>
      </c>
      <c r="Y266" s="182">
        <v>0</v>
      </c>
      <c r="Z266" s="180">
        <v>0</v>
      </c>
      <c r="AA266" s="181">
        <v>0</v>
      </c>
      <c r="AB266" s="182">
        <v>0</v>
      </c>
      <c r="AC266" s="180">
        <v>0</v>
      </c>
      <c r="AD266" s="181">
        <v>0</v>
      </c>
      <c r="AE266" s="182">
        <v>0</v>
      </c>
      <c r="AF266" s="180">
        <v>0</v>
      </c>
      <c r="AG266" s="181">
        <v>0</v>
      </c>
      <c r="AH266" s="182">
        <v>0</v>
      </c>
      <c r="AI266" s="168" t="s">
        <v>1045</v>
      </c>
      <c r="AJ266" s="169" t="s">
        <v>2555</v>
      </c>
      <c r="AK266" s="170" t="s">
        <v>2556</v>
      </c>
      <c r="AL266" s="169" t="s">
        <v>14</v>
      </c>
      <c r="AM266" s="183">
        <v>1135</v>
      </c>
    </row>
    <row r="267" spans="1:39" s="2" customFormat="1">
      <c r="A267" s="179" t="s">
        <v>423</v>
      </c>
      <c r="B267" s="238" t="s">
        <v>163</v>
      </c>
      <c r="C267" s="164" t="s">
        <v>483</v>
      </c>
      <c r="D267" s="236" t="s">
        <v>485</v>
      </c>
      <c r="E267" s="180">
        <v>43</v>
      </c>
      <c r="F267" s="181">
        <v>46</v>
      </c>
      <c r="G267" s="182">
        <v>46</v>
      </c>
      <c r="H267" s="180">
        <v>43</v>
      </c>
      <c r="I267" s="181">
        <v>46</v>
      </c>
      <c r="J267" s="182">
        <v>46</v>
      </c>
      <c r="K267" s="180">
        <v>43</v>
      </c>
      <c r="L267" s="181">
        <v>46</v>
      </c>
      <c r="M267" s="182">
        <v>46</v>
      </c>
      <c r="N267" s="180">
        <v>43</v>
      </c>
      <c r="O267" s="181">
        <v>46</v>
      </c>
      <c r="P267" s="182">
        <v>46</v>
      </c>
      <c r="Q267" s="180">
        <v>43</v>
      </c>
      <c r="R267" s="181">
        <v>46</v>
      </c>
      <c r="S267" s="182">
        <v>46</v>
      </c>
      <c r="T267" s="180">
        <v>43</v>
      </c>
      <c r="U267" s="181">
        <v>46</v>
      </c>
      <c r="V267" s="182">
        <v>46</v>
      </c>
      <c r="W267" s="180">
        <v>43</v>
      </c>
      <c r="X267" s="181">
        <v>46</v>
      </c>
      <c r="Y267" s="182">
        <v>46</v>
      </c>
      <c r="Z267" s="180">
        <v>43</v>
      </c>
      <c r="AA267" s="181">
        <v>46</v>
      </c>
      <c r="AB267" s="182">
        <v>46</v>
      </c>
      <c r="AC267" s="180">
        <v>43</v>
      </c>
      <c r="AD267" s="181">
        <v>46</v>
      </c>
      <c r="AE267" s="182">
        <v>46</v>
      </c>
      <c r="AF267" s="180">
        <v>43</v>
      </c>
      <c r="AG267" s="181">
        <v>46</v>
      </c>
      <c r="AH267" s="182">
        <v>46</v>
      </c>
      <c r="AI267" s="168" t="s">
        <v>484</v>
      </c>
      <c r="AJ267" s="169" t="s">
        <v>2491</v>
      </c>
      <c r="AK267" s="170" t="s">
        <v>2477</v>
      </c>
      <c r="AL267" s="169" t="s">
        <v>2479</v>
      </c>
      <c r="AM267" s="183">
        <v>2939</v>
      </c>
    </row>
    <row r="268" spans="1:39" s="2" customFormat="1">
      <c r="A268" s="179" t="s">
        <v>7</v>
      </c>
      <c r="B268" s="238" t="s">
        <v>163</v>
      </c>
      <c r="C268" s="164" t="s">
        <v>1674</v>
      </c>
      <c r="D268" s="236" t="s">
        <v>1676</v>
      </c>
      <c r="E268" s="180">
        <v>36.014000000000003</v>
      </c>
      <c r="F268" s="181">
        <v>36.014000000000003</v>
      </c>
      <c r="G268" s="182">
        <v>32.405999999999999</v>
      </c>
      <c r="H268" s="180">
        <v>36.014000000000003</v>
      </c>
      <c r="I268" s="181">
        <v>36.014000000000003</v>
      </c>
      <c r="J268" s="182">
        <v>32.405999999999999</v>
      </c>
      <c r="K268" s="180">
        <v>36.014000000000003</v>
      </c>
      <c r="L268" s="181">
        <v>36.014000000000003</v>
      </c>
      <c r="M268" s="182">
        <v>32.405999999999999</v>
      </c>
      <c r="N268" s="180">
        <v>36.014000000000003</v>
      </c>
      <c r="O268" s="181">
        <v>36.014000000000003</v>
      </c>
      <c r="P268" s="182">
        <v>32.405999999999999</v>
      </c>
      <c r="Q268" s="180">
        <v>36.014000000000003</v>
      </c>
      <c r="R268" s="181">
        <v>36.014000000000003</v>
      </c>
      <c r="S268" s="182">
        <v>32.405999999999999</v>
      </c>
      <c r="T268" s="180">
        <v>36.014000000000003</v>
      </c>
      <c r="U268" s="181">
        <v>36.014000000000003</v>
      </c>
      <c r="V268" s="182">
        <v>32.405999999999999</v>
      </c>
      <c r="W268" s="180">
        <v>36.014000000000003</v>
      </c>
      <c r="X268" s="181">
        <v>36.014000000000003</v>
      </c>
      <c r="Y268" s="182">
        <v>32.405999999999999</v>
      </c>
      <c r="Z268" s="180">
        <v>36.014000000000003</v>
      </c>
      <c r="AA268" s="181">
        <v>36.014000000000003</v>
      </c>
      <c r="AB268" s="182">
        <v>32.405999999999999</v>
      </c>
      <c r="AC268" s="180">
        <v>36.014000000000003</v>
      </c>
      <c r="AD268" s="181">
        <v>36.014000000000003</v>
      </c>
      <c r="AE268" s="182">
        <v>32.405999999999999</v>
      </c>
      <c r="AF268" s="180">
        <v>36.014000000000003</v>
      </c>
      <c r="AG268" s="181">
        <v>36.014000000000003</v>
      </c>
      <c r="AH268" s="182">
        <v>32.405999999999999</v>
      </c>
      <c r="AI268" s="168" t="s">
        <v>4062</v>
      </c>
      <c r="AJ268" s="169" t="s">
        <v>2491</v>
      </c>
      <c r="AK268" s="170" t="s">
        <v>2477</v>
      </c>
      <c r="AL268" s="169" t="s">
        <v>2479</v>
      </c>
      <c r="AM268" s="183">
        <v>1641</v>
      </c>
    </row>
    <row r="269" spans="1:39" s="2" customFormat="1">
      <c r="A269" s="179" t="s">
        <v>423</v>
      </c>
      <c r="B269" s="238" t="s">
        <v>163</v>
      </c>
      <c r="C269" s="164" t="s">
        <v>1520</v>
      </c>
      <c r="D269" s="236" t="s">
        <v>1522</v>
      </c>
      <c r="E269" s="180">
        <v>304.72000000000003</v>
      </c>
      <c r="F269" s="181">
        <v>304.72000000000003</v>
      </c>
      <c r="G269" s="182">
        <v>304.72000000000003</v>
      </c>
      <c r="H269" s="180">
        <v>304.72000000000003</v>
      </c>
      <c r="I269" s="181">
        <v>304.72000000000003</v>
      </c>
      <c r="J269" s="182">
        <v>304.72000000000003</v>
      </c>
      <c r="K269" s="180">
        <v>304.72000000000003</v>
      </c>
      <c r="L269" s="181">
        <v>304.72000000000003</v>
      </c>
      <c r="M269" s="182">
        <v>304.72000000000003</v>
      </c>
      <c r="N269" s="180">
        <v>304.72000000000003</v>
      </c>
      <c r="O269" s="181">
        <v>304.72000000000003</v>
      </c>
      <c r="P269" s="182">
        <v>304.72000000000003</v>
      </c>
      <c r="Q269" s="180">
        <v>304.72000000000003</v>
      </c>
      <c r="R269" s="181">
        <v>304.72000000000003</v>
      </c>
      <c r="S269" s="182">
        <v>304.72000000000003</v>
      </c>
      <c r="T269" s="180">
        <v>304.72000000000003</v>
      </c>
      <c r="U269" s="181">
        <v>304.72000000000003</v>
      </c>
      <c r="V269" s="182">
        <v>304.72000000000003</v>
      </c>
      <c r="W269" s="180">
        <v>304.72000000000003</v>
      </c>
      <c r="X269" s="181">
        <v>304.72000000000003</v>
      </c>
      <c r="Y269" s="182">
        <v>304.72000000000003</v>
      </c>
      <c r="Z269" s="180">
        <v>304.72000000000003</v>
      </c>
      <c r="AA269" s="181">
        <v>304.72000000000003</v>
      </c>
      <c r="AB269" s="182">
        <v>304.72000000000003</v>
      </c>
      <c r="AC269" s="180">
        <v>304.72000000000003</v>
      </c>
      <c r="AD269" s="181">
        <v>304.72000000000003</v>
      </c>
      <c r="AE269" s="182">
        <v>304.72000000000003</v>
      </c>
      <c r="AF269" s="180">
        <v>304.72000000000003</v>
      </c>
      <c r="AG269" s="181">
        <v>304.72000000000003</v>
      </c>
      <c r="AH269" s="182">
        <v>304.72000000000003</v>
      </c>
      <c r="AI269" s="168" t="s">
        <v>1521</v>
      </c>
      <c r="AJ269" s="169" t="s">
        <v>2485</v>
      </c>
      <c r="AK269" s="170" t="s">
        <v>2486</v>
      </c>
      <c r="AL269" s="169" t="s">
        <v>17</v>
      </c>
      <c r="AM269" s="183">
        <v>1425</v>
      </c>
    </row>
    <row r="270" spans="1:39" s="2" customFormat="1">
      <c r="A270" s="179" t="s">
        <v>7</v>
      </c>
      <c r="B270" s="238" t="s">
        <v>163</v>
      </c>
      <c r="C270" s="164" t="s">
        <v>2189</v>
      </c>
      <c r="D270" s="236" t="s">
        <v>4093</v>
      </c>
      <c r="E270" s="180">
        <v>56</v>
      </c>
      <c r="F270" s="181">
        <v>56</v>
      </c>
      <c r="G270" s="182">
        <v>56</v>
      </c>
      <c r="H270" s="180">
        <v>56</v>
      </c>
      <c r="I270" s="181">
        <v>56</v>
      </c>
      <c r="J270" s="182">
        <v>56</v>
      </c>
      <c r="K270" s="180">
        <v>56</v>
      </c>
      <c r="L270" s="181">
        <v>56</v>
      </c>
      <c r="M270" s="182">
        <v>56</v>
      </c>
      <c r="N270" s="180">
        <v>56</v>
      </c>
      <c r="O270" s="181">
        <v>56</v>
      </c>
      <c r="P270" s="182">
        <v>56</v>
      </c>
      <c r="Q270" s="180">
        <v>56</v>
      </c>
      <c r="R270" s="181">
        <v>56</v>
      </c>
      <c r="S270" s="182">
        <v>56</v>
      </c>
      <c r="T270" s="180">
        <v>56</v>
      </c>
      <c r="U270" s="181">
        <v>56</v>
      </c>
      <c r="V270" s="182">
        <v>56</v>
      </c>
      <c r="W270" s="180">
        <v>56</v>
      </c>
      <c r="X270" s="181">
        <v>56</v>
      </c>
      <c r="Y270" s="182">
        <v>56</v>
      </c>
      <c r="Z270" s="180">
        <v>56</v>
      </c>
      <c r="AA270" s="181">
        <v>56</v>
      </c>
      <c r="AB270" s="182">
        <v>56</v>
      </c>
      <c r="AC270" s="180">
        <v>56</v>
      </c>
      <c r="AD270" s="181">
        <v>56</v>
      </c>
      <c r="AE270" s="182">
        <v>56</v>
      </c>
      <c r="AF270" s="180">
        <v>56</v>
      </c>
      <c r="AG270" s="181">
        <v>56</v>
      </c>
      <c r="AH270" s="182">
        <v>56</v>
      </c>
      <c r="AI270" s="168" t="s">
        <v>4092</v>
      </c>
      <c r="AJ270" s="169" t="s">
        <v>2491</v>
      </c>
      <c r="AK270" s="170" t="s">
        <v>2477</v>
      </c>
      <c r="AL270" s="169" t="s">
        <v>2479</v>
      </c>
      <c r="AM270" s="183">
        <v>1318</v>
      </c>
    </row>
    <row r="271" spans="1:39" s="2" customFormat="1" ht="20.6">
      <c r="A271" s="179" t="s">
        <v>380</v>
      </c>
      <c r="B271" s="238" t="s">
        <v>163</v>
      </c>
      <c r="C271" s="164" t="s">
        <v>1481</v>
      </c>
      <c r="D271" s="236" t="s">
        <v>1482</v>
      </c>
      <c r="E271" s="180">
        <v>4.5599999999999996</v>
      </c>
      <c r="F271" s="181">
        <v>4.2</v>
      </c>
      <c r="G271" s="182">
        <v>4.0999999999999996</v>
      </c>
      <c r="H271" s="180">
        <v>4.5599999999999996</v>
      </c>
      <c r="I271" s="181">
        <v>4.2</v>
      </c>
      <c r="J271" s="182">
        <v>4.0999999999999996</v>
      </c>
      <c r="K271" s="180">
        <v>4.5599999999999996</v>
      </c>
      <c r="L271" s="181">
        <v>4.2</v>
      </c>
      <c r="M271" s="182">
        <v>4.0999999999999996</v>
      </c>
      <c r="N271" s="180">
        <v>4.5599999999999996</v>
      </c>
      <c r="O271" s="181">
        <v>4.2</v>
      </c>
      <c r="P271" s="182">
        <v>4.0999999999999996</v>
      </c>
      <c r="Q271" s="180">
        <v>4.5599999999999996</v>
      </c>
      <c r="R271" s="181">
        <v>4.2</v>
      </c>
      <c r="S271" s="182">
        <v>4.0999999999999996</v>
      </c>
      <c r="T271" s="180">
        <v>4.5599999999999996</v>
      </c>
      <c r="U271" s="181">
        <v>4.2</v>
      </c>
      <c r="V271" s="182">
        <v>4.0999999999999996</v>
      </c>
      <c r="W271" s="180">
        <v>4.5599999999999996</v>
      </c>
      <c r="X271" s="181">
        <v>4.2</v>
      </c>
      <c r="Y271" s="182">
        <v>4.0999999999999996</v>
      </c>
      <c r="Z271" s="180">
        <v>4.5599999999999996</v>
      </c>
      <c r="AA271" s="181">
        <v>4.2</v>
      </c>
      <c r="AB271" s="182">
        <v>4.0999999999999996</v>
      </c>
      <c r="AC271" s="180">
        <v>4.5599999999999996</v>
      </c>
      <c r="AD271" s="181">
        <v>4.2</v>
      </c>
      <c r="AE271" s="182">
        <v>4.0999999999999996</v>
      </c>
      <c r="AF271" s="180">
        <v>4.5599999999999996</v>
      </c>
      <c r="AG271" s="181">
        <v>4.2</v>
      </c>
      <c r="AH271" s="182">
        <v>4.0999999999999996</v>
      </c>
      <c r="AI271" s="168" t="s">
        <v>400</v>
      </c>
      <c r="AJ271" s="169" t="s">
        <v>2491</v>
      </c>
      <c r="AK271" s="170" t="s">
        <v>2477</v>
      </c>
      <c r="AL271" s="169" t="s">
        <v>2479</v>
      </c>
      <c r="AM271" s="183">
        <v>1849</v>
      </c>
    </row>
    <row r="272" spans="1:39" s="2" customFormat="1">
      <c r="A272" s="179" t="s">
        <v>380</v>
      </c>
      <c r="B272" s="238" t="s">
        <v>163</v>
      </c>
      <c r="C272" s="164" t="s">
        <v>1483</v>
      </c>
      <c r="D272" s="236" t="s">
        <v>1484</v>
      </c>
      <c r="E272" s="180">
        <v>4.5599999999999996</v>
      </c>
      <c r="F272" s="181">
        <v>4.2</v>
      </c>
      <c r="G272" s="182">
        <v>4.0999999999999996</v>
      </c>
      <c r="H272" s="180">
        <v>4.5599999999999996</v>
      </c>
      <c r="I272" s="181">
        <v>4.2</v>
      </c>
      <c r="J272" s="182">
        <v>4.0999999999999996</v>
      </c>
      <c r="K272" s="180">
        <v>4.5599999999999996</v>
      </c>
      <c r="L272" s="181">
        <v>4.2</v>
      </c>
      <c r="M272" s="182">
        <v>4.0999999999999996</v>
      </c>
      <c r="N272" s="180">
        <v>4.5599999999999996</v>
      </c>
      <c r="O272" s="181">
        <v>4.2</v>
      </c>
      <c r="P272" s="182">
        <v>4.0999999999999996</v>
      </c>
      <c r="Q272" s="180">
        <v>4.5599999999999996</v>
      </c>
      <c r="R272" s="181">
        <v>4.2</v>
      </c>
      <c r="S272" s="182">
        <v>4.0999999999999996</v>
      </c>
      <c r="T272" s="180">
        <v>4.5599999999999996</v>
      </c>
      <c r="U272" s="181">
        <v>4.2</v>
      </c>
      <c r="V272" s="182">
        <v>4.0999999999999996</v>
      </c>
      <c r="W272" s="180">
        <v>4.5599999999999996</v>
      </c>
      <c r="X272" s="181">
        <v>4.2</v>
      </c>
      <c r="Y272" s="182">
        <v>4.0999999999999996</v>
      </c>
      <c r="Z272" s="180">
        <v>4.5599999999999996</v>
      </c>
      <c r="AA272" s="181">
        <v>4.2</v>
      </c>
      <c r="AB272" s="182">
        <v>4.0999999999999996</v>
      </c>
      <c r="AC272" s="180">
        <v>4.5599999999999996</v>
      </c>
      <c r="AD272" s="181">
        <v>4.2</v>
      </c>
      <c r="AE272" s="182">
        <v>4.0999999999999996</v>
      </c>
      <c r="AF272" s="180">
        <v>4.5599999999999996</v>
      </c>
      <c r="AG272" s="181">
        <v>4.2</v>
      </c>
      <c r="AH272" s="182">
        <v>4.0999999999999996</v>
      </c>
      <c r="AI272" s="168" t="s">
        <v>400</v>
      </c>
      <c r="AJ272" s="169" t="s">
        <v>2491</v>
      </c>
      <c r="AK272" s="170" t="s">
        <v>2477</v>
      </c>
      <c r="AL272" s="169" t="s">
        <v>2479</v>
      </c>
      <c r="AM272" s="183">
        <v>1850</v>
      </c>
    </row>
    <row r="273" spans="1:39" s="2" customFormat="1">
      <c r="A273" s="179" t="s">
        <v>380</v>
      </c>
      <c r="B273" s="238" t="s">
        <v>163</v>
      </c>
      <c r="C273" s="164" t="s">
        <v>1485</v>
      </c>
      <c r="D273" s="236" t="s">
        <v>1486</v>
      </c>
      <c r="E273" s="180">
        <v>6.21</v>
      </c>
      <c r="F273" s="181">
        <v>5.97</v>
      </c>
      <c r="G273" s="182">
        <v>5.73</v>
      </c>
      <c r="H273" s="180">
        <v>6.21</v>
      </c>
      <c r="I273" s="181">
        <v>5.97</v>
      </c>
      <c r="J273" s="182">
        <v>5.73</v>
      </c>
      <c r="K273" s="180">
        <v>6.21</v>
      </c>
      <c r="L273" s="181">
        <v>5.97</v>
      </c>
      <c r="M273" s="182">
        <v>5.73</v>
      </c>
      <c r="N273" s="180">
        <v>6.21</v>
      </c>
      <c r="O273" s="181">
        <v>5.97</v>
      </c>
      <c r="P273" s="182">
        <v>5.73</v>
      </c>
      <c r="Q273" s="180">
        <v>6.21</v>
      </c>
      <c r="R273" s="181">
        <v>5.97</v>
      </c>
      <c r="S273" s="182">
        <v>5.73</v>
      </c>
      <c r="T273" s="180">
        <v>6.21</v>
      </c>
      <c r="U273" s="181">
        <v>5.97</v>
      </c>
      <c r="V273" s="182">
        <v>5.73</v>
      </c>
      <c r="W273" s="180">
        <v>6.21</v>
      </c>
      <c r="X273" s="181">
        <v>5.97</v>
      </c>
      <c r="Y273" s="182">
        <v>5.73</v>
      </c>
      <c r="Z273" s="180">
        <v>6.21</v>
      </c>
      <c r="AA273" s="181">
        <v>5.97</v>
      </c>
      <c r="AB273" s="182">
        <v>5.73</v>
      </c>
      <c r="AC273" s="180">
        <v>6.21</v>
      </c>
      <c r="AD273" s="181">
        <v>5.97</v>
      </c>
      <c r="AE273" s="182">
        <v>5.73</v>
      </c>
      <c r="AF273" s="180">
        <v>6.21</v>
      </c>
      <c r="AG273" s="181">
        <v>5.97</v>
      </c>
      <c r="AH273" s="182">
        <v>5.73</v>
      </c>
      <c r="AI273" s="168" t="s">
        <v>400</v>
      </c>
      <c r="AJ273" s="169" t="s">
        <v>2491</v>
      </c>
      <c r="AK273" s="170" t="s">
        <v>2477</v>
      </c>
      <c r="AL273" s="169" t="s">
        <v>2479</v>
      </c>
      <c r="AM273" s="183">
        <v>1851</v>
      </c>
    </row>
    <row r="274" spans="1:39" s="2" customFormat="1">
      <c r="A274" s="179" t="s">
        <v>380</v>
      </c>
      <c r="B274" s="238" t="s">
        <v>163</v>
      </c>
      <c r="C274" s="164" t="s">
        <v>1487</v>
      </c>
      <c r="D274" s="236" t="s">
        <v>1488</v>
      </c>
      <c r="E274" s="180">
        <v>4.5599999999999996</v>
      </c>
      <c r="F274" s="181">
        <v>4.2</v>
      </c>
      <c r="G274" s="182">
        <v>4.0999999999999996</v>
      </c>
      <c r="H274" s="180">
        <v>4.5599999999999996</v>
      </c>
      <c r="I274" s="181">
        <v>4.2</v>
      </c>
      <c r="J274" s="182">
        <v>4.0999999999999996</v>
      </c>
      <c r="K274" s="180">
        <v>4.5599999999999996</v>
      </c>
      <c r="L274" s="181">
        <v>4.2</v>
      </c>
      <c r="M274" s="182">
        <v>4.0999999999999996</v>
      </c>
      <c r="N274" s="180">
        <v>4.5599999999999996</v>
      </c>
      <c r="O274" s="181">
        <v>4.2</v>
      </c>
      <c r="P274" s="182">
        <v>4.0999999999999996</v>
      </c>
      <c r="Q274" s="180">
        <v>4.5599999999999996</v>
      </c>
      <c r="R274" s="181">
        <v>4.2</v>
      </c>
      <c r="S274" s="182">
        <v>4.0999999999999996</v>
      </c>
      <c r="T274" s="180">
        <v>4.5599999999999996</v>
      </c>
      <c r="U274" s="181">
        <v>4.2</v>
      </c>
      <c r="V274" s="182">
        <v>4.0999999999999996</v>
      </c>
      <c r="W274" s="180">
        <v>4.5599999999999996</v>
      </c>
      <c r="X274" s="181">
        <v>4.2</v>
      </c>
      <c r="Y274" s="182">
        <v>4.0999999999999996</v>
      </c>
      <c r="Z274" s="180">
        <v>4.5599999999999996</v>
      </c>
      <c r="AA274" s="181">
        <v>4.2</v>
      </c>
      <c r="AB274" s="182">
        <v>4.0999999999999996</v>
      </c>
      <c r="AC274" s="180">
        <v>4.5599999999999996</v>
      </c>
      <c r="AD274" s="181">
        <v>4.2</v>
      </c>
      <c r="AE274" s="182">
        <v>4.0999999999999996</v>
      </c>
      <c r="AF274" s="180">
        <v>4.5599999999999996</v>
      </c>
      <c r="AG274" s="181">
        <v>4.2</v>
      </c>
      <c r="AH274" s="182">
        <v>4.0999999999999996</v>
      </c>
      <c r="AI274" s="168" t="s">
        <v>400</v>
      </c>
      <c r="AJ274" s="169" t="s">
        <v>2491</v>
      </c>
      <c r="AK274" s="170" t="s">
        <v>2477</v>
      </c>
      <c r="AL274" s="169" t="s">
        <v>2479</v>
      </c>
      <c r="AM274" s="183">
        <v>1852</v>
      </c>
    </row>
    <row r="275" spans="1:39" s="2" customFormat="1" ht="20.6">
      <c r="A275" s="179" t="s">
        <v>423</v>
      </c>
      <c r="B275" s="238" t="s">
        <v>2463</v>
      </c>
      <c r="C275" s="164" t="s">
        <v>435</v>
      </c>
      <c r="D275" s="236" t="s">
        <v>5182</v>
      </c>
      <c r="E275" s="180">
        <v>0</v>
      </c>
      <c r="F275" s="181">
        <v>240</v>
      </c>
      <c r="G275" s="182">
        <v>240</v>
      </c>
      <c r="H275" s="180">
        <v>240</v>
      </c>
      <c r="I275" s="181">
        <v>240</v>
      </c>
      <c r="J275" s="182">
        <v>240</v>
      </c>
      <c r="K275" s="180">
        <v>240</v>
      </c>
      <c r="L275" s="181">
        <v>240</v>
      </c>
      <c r="M275" s="182">
        <v>240</v>
      </c>
      <c r="N275" s="180">
        <v>240</v>
      </c>
      <c r="O275" s="181">
        <v>240</v>
      </c>
      <c r="P275" s="182">
        <v>240</v>
      </c>
      <c r="Q275" s="180">
        <v>240</v>
      </c>
      <c r="R275" s="181">
        <v>240</v>
      </c>
      <c r="S275" s="182">
        <v>240</v>
      </c>
      <c r="T275" s="180">
        <v>240</v>
      </c>
      <c r="U275" s="181">
        <v>240</v>
      </c>
      <c r="V275" s="182">
        <v>240</v>
      </c>
      <c r="W275" s="180">
        <v>240</v>
      </c>
      <c r="X275" s="181">
        <v>240</v>
      </c>
      <c r="Y275" s="182">
        <v>240</v>
      </c>
      <c r="Z275" s="180">
        <v>240</v>
      </c>
      <c r="AA275" s="181">
        <v>240</v>
      </c>
      <c r="AB275" s="182">
        <v>240</v>
      </c>
      <c r="AC275" s="180">
        <v>240</v>
      </c>
      <c r="AD275" s="181">
        <v>240</v>
      </c>
      <c r="AE275" s="182">
        <v>240</v>
      </c>
      <c r="AF275" s="180">
        <v>240</v>
      </c>
      <c r="AG275" s="181">
        <v>240</v>
      </c>
      <c r="AH275" s="182">
        <v>240</v>
      </c>
      <c r="AI275" s="168" t="s">
        <v>436</v>
      </c>
      <c r="AJ275" s="169" t="s">
        <v>2466</v>
      </c>
      <c r="AK275" s="170" t="s">
        <v>2467</v>
      </c>
      <c r="AL275" s="169" t="s">
        <v>20</v>
      </c>
      <c r="AM275" s="183">
        <v>1945</v>
      </c>
    </row>
    <row r="276" spans="1:39" s="2" customFormat="1">
      <c r="A276" s="179" t="s">
        <v>423</v>
      </c>
      <c r="B276" s="238" t="s">
        <v>163</v>
      </c>
      <c r="C276" s="164" t="s">
        <v>1758</v>
      </c>
      <c r="D276" s="236" t="s">
        <v>4103</v>
      </c>
      <c r="E276" s="180">
        <v>292</v>
      </c>
      <c r="F276" s="181">
        <v>266</v>
      </c>
      <c r="G276" s="182">
        <v>257</v>
      </c>
      <c r="H276" s="180">
        <v>292</v>
      </c>
      <c r="I276" s="181">
        <v>266</v>
      </c>
      <c r="J276" s="182">
        <v>257</v>
      </c>
      <c r="K276" s="180">
        <v>292</v>
      </c>
      <c r="L276" s="181">
        <v>266</v>
      </c>
      <c r="M276" s="182">
        <v>257</v>
      </c>
      <c r="N276" s="180">
        <v>292</v>
      </c>
      <c r="O276" s="181">
        <v>266</v>
      </c>
      <c r="P276" s="182">
        <v>257</v>
      </c>
      <c r="Q276" s="180">
        <v>292</v>
      </c>
      <c r="R276" s="181">
        <v>266</v>
      </c>
      <c r="S276" s="182">
        <v>257</v>
      </c>
      <c r="T276" s="180">
        <v>292</v>
      </c>
      <c r="U276" s="181">
        <v>266</v>
      </c>
      <c r="V276" s="182">
        <v>257</v>
      </c>
      <c r="W276" s="180">
        <v>292</v>
      </c>
      <c r="X276" s="181">
        <v>266</v>
      </c>
      <c r="Y276" s="182">
        <v>257</v>
      </c>
      <c r="Z276" s="180">
        <v>292</v>
      </c>
      <c r="AA276" s="181">
        <v>266</v>
      </c>
      <c r="AB276" s="182">
        <v>257</v>
      </c>
      <c r="AC276" s="180">
        <v>292</v>
      </c>
      <c r="AD276" s="181">
        <v>266</v>
      </c>
      <c r="AE276" s="182">
        <v>257</v>
      </c>
      <c r="AF276" s="180">
        <v>292</v>
      </c>
      <c r="AG276" s="181">
        <v>266</v>
      </c>
      <c r="AH276" s="182">
        <v>257</v>
      </c>
      <c r="AI276" s="168" t="s">
        <v>1759</v>
      </c>
      <c r="AJ276" s="169" t="s">
        <v>2555</v>
      </c>
      <c r="AK276" s="170" t="s">
        <v>2556</v>
      </c>
      <c r="AL276" s="169" t="s">
        <v>14</v>
      </c>
      <c r="AM276" s="183">
        <v>1139</v>
      </c>
    </row>
    <row r="277" spans="1:39" s="2" customFormat="1">
      <c r="A277" s="179" t="s">
        <v>423</v>
      </c>
      <c r="B277" s="238" t="s">
        <v>163</v>
      </c>
      <c r="C277" s="164" t="s">
        <v>1758</v>
      </c>
      <c r="D277" s="236" t="s">
        <v>1792</v>
      </c>
      <c r="E277" s="180">
        <v>292</v>
      </c>
      <c r="F277" s="181">
        <v>266</v>
      </c>
      <c r="G277" s="182">
        <v>257</v>
      </c>
      <c r="H277" s="180">
        <v>292</v>
      </c>
      <c r="I277" s="181">
        <v>266</v>
      </c>
      <c r="J277" s="182">
        <v>257</v>
      </c>
      <c r="K277" s="180">
        <v>292</v>
      </c>
      <c r="L277" s="181">
        <v>266</v>
      </c>
      <c r="M277" s="182">
        <v>257</v>
      </c>
      <c r="N277" s="180">
        <v>292</v>
      </c>
      <c r="O277" s="181">
        <v>266</v>
      </c>
      <c r="P277" s="182">
        <v>257</v>
      </c>
      <c r="Q277" s="180">
        <v>292</v>
      </c>
      <c r="R277" s="181">
        <v>266</v>
      </c>
      <c r="S277" s="182">
        <v>257</v>
      </c>
      <c r="T277" s="180">
        <v>292</v>
      </c>
      <c r="U277" s="181">
        <v>266</v>
      </c>
      <c r="V277" s="182">
        <v>257</v>
      </c>
      <c r="W277" s="180">
        <v>292</v>
      </c>
      <c r="X277" s="181">
        <v>266</v>
      </c>
      <c r="Y277" s="182">
        <v>257</v>
      </c>
      <c r="Z277" s="180">
        <v>292</v>
      </c>
      <c r="AA277" s="181">
        <v>266</v>
      </c>
      <c r="AB277" s="182">
        <v>257</v>
      </c>
      <c r="AC277" s="180">
        <v>292</v>
      </c>
      <c r="AD277" s="181">
        <v>266</v>
      </c>
      <c r="AE277" s="182">
        <v>257</v>
      </c>
      <c r="AF277" s="180">
        <v>292</v>
      </c>
      <c r="AG277" s="181">
        <v>266</v>
      </c>
      <c r="AH277" s="182">
        <v>257</v>
      </c>
      <c r="AI277" s="168" t="s">
        <v>1759</v>
      </c>
      <c r="AJ277" s="169" t="s">
        <v>2555</v>
      </c>
      <c r="AK277" s="170" t="s">
        <v>2556</v>
      </c>
      <c r="AL277" s="169" t="s">
        <v>14</v>
      </c>
      <c r="AM277" s="183">
        <v>1139</v>
      </c>
    </row>
    <row r="278" spans="1:39" s="2" customFormat="1">
      <c r="A278" s="179" t="s">
        <v>423</v>
      </c>
      <c r="B278" s="238" t="s">
        <v>2463</v>
      </c>
      <c r="C278" s="164" t="s">
        <v>449</v>
      </c>
      <c r="D278" s="236" t="s">
        <v>5182</v>
      </c>
      <c r="E278" s="180">
        <v>0</v>
      </c>
      <c r="F278" s="181">
        <v>0</v>
      </c>
      <c r="G278" s="182">
        <v>0</v>
      </c>
      <c r="H278" s="180">
        <v>250</v>
      </c>
      <c r="I278" s="181">
        <v>300</v>
      </c>
      <c r="J278" s="182">
        <v>300</v>
      </c>
      <c r="K278" s="180">
        <v>300</v>
      </c>
      <c r="L278" s="181">
        <v>300</v>
      </c>
      <c r="M278" s="182">
        <v>300</v>
      </c>
      <c r="N278" s="180">
        <v>300</v>
      </c>
      <c r="O278" s="181">
        <v>300</v>
      </c>
      <c r="P278" s="182">
        <v>300</v>
      </c>
      <c r="Q278" s="180">
        <v>300</v>
      </c>
      <c r="R278" s="181">
        <v>300</v>
      </c>
      <c r="S278" s="182">
        <v>300</v>
      </c>
      <c r="T278" s="180">
        <v>300</v>
      </c>
      <c r="U278" s="181">
        <v>300</v>
      </c>
      <c r="V278" s="182">
        <v>300</v>
      </c>
      <c r="W278" s="180">
        <v>300</v>
      </c>
      <c r="X278" s="181">
        <v>300</v>
      </c>
      <c r="Y278" s="182">
        <v>300</v>
      </c>
      <c r="Z278" s="180">
        <v>300</v>
      </c>
      <c r="AA278" s="181">
        <v>300</v>
      </c>
      <c r="AB278" s="182">
        <v>300</v>
      </c>
      <c r="AC278" s="180">
        <v>300</v>
      </c>
      <c r="AD278" s="181">
        <v>300</v>
      </c>
      <c r="AE278" s="182">
        <v>300</v>
      </c>
      <c r="AF278" s="180">
        <v>300</v>
      </c>
      <c r="AG278" s="181">
        <v>300</v>
      </c>
      <c r="AH278" s="182">
        <v>300</v>
      </c>
      <c r="AI278" s="168" t="s">
        <v>450</v>
      </c>
      <c r="AJ278" s="169" t="s">
        <v>2466</v>
      </c>
      <c r="AK278" s="170" t="s">
        <v>2467</v>
      </c>
      <c r="AL278" s="169" t="s">
        <v>20</v>
      </c>
      <c r="AM278" s="183">
        <v>1882</v>
      </c>
    </row>
    <row r="279" spans="1:39" s="2" customFormat="1">
      <c r="A279" s="179" t="s">
        <v>423</v>
      </c>
      <c r="B279" s="238" t="s">
        <v>163</v>
      </c>
      <c r="C279" s="164" t="s">
        <v>1288</v>
      </c>
      <c r="D279" s="236" t="s">
        <v>4107</v>
      </c>
      <c r="E279" s="180">
        <v>152.98500000000001</v>
      </c>
      <c r="F279" s="181">
        <v>152.98500000000001</v>
      </c>
      <c r="G279" s="182">
        <v>152.98500000000001</v>
      </c>
      <c r="H279" s="180">
        <v>152.98500000000001</v>
      </c>
      <c r="I279" s="181">
        <v>152.98500000000001</v>
      </c>
      <c r="J279" s="182">
        <v>152.98500000000001</v>
      </c>
      <c r="K279" s="180">
        <v>152.98500000000001</v>
      </c>
      <c r="L279" s="181">
        <v>152.98500000000001</v>
      </c>
      <c r="M279" s="182">
        <v>152.98500000000001</v>
      </c>
      <c r="N279" s="180">
        <v>152.98500000000001</v>
      </c>
      <c r="O279" s="181">
        <v>152.98500000000001</v>
      </c>
      <c r="P279" s="182">
        <v>152.98500000000001</v>
      </c>
      <c r="Q279" s="180">
        <v>152.98500000000001</v>
      </c>
      <c r="R279" s="181">
        <v>152.98500000000001</v>
      </c>
      <c r="S279" s="182">
        <v>152.98500000000001</v>
      </c>
      <c r="T279" s="180">
        <v>152.98500000000001</v>
      </c>
      <c r="U279" s="181">
        <v>152.98500000000001</v>
      </c>
      <c r="V279" s="182">
        <v>152.98500000000001</v>
      </c>
      <c r="W279" s="180">
        <v>152.98500000000001</v>
      </c>
      <c r="X279" s="181">
        <v>152.98500000000001</v>
      </c>
      <c r="Y279" s="182">
        <v>152.98500000000001</v>
      </c>
      <c r="Z279" s="180">
        <v>152.98500000000001</v>
      </c>
      <c r="AA279" s="181">
        <v>152.98500000000001</v>
      </c>
      <c r="AB279" s="182">
        <v>152.98500000000001</v>
      </c>
      <c r="AC279" s="180">
        <v>152.98500000000001</v>
      </c>
      <c r="AD279" s="181">
        <v>152.98500000000001</v>
      </c>
      <c r="AE279" s="182">
        <v>152.98500000000001</v>
      </c>
      <c r="AF279" s="180">
        <v>152.98500000000001</v>
      </c>
      <c r="AG279" s="181">
        <v>152.98500000000001</v>
      </c>
      <c r="AH279" s="182">
        <v>152.98500000000001</v>
      </c>
      <c r="AI279" s="168" t="s">
        <v>1289</v>
      </c>
      <c r="AJ279" s="169" t="s">
        <v>2485</v>
      </c>
      <c r="AK279" s="170" t="s">
        <v>2486</v>
      </c>
      <c r="AL279" s="169" t="s">
        <v>17</v>
      </c>
      <c r="AM279" s="183">
        <v>1138</v>
      </c>
    </row>
    <row r="280" spans="1:39" s="2" customFormat="1">
      <c r="A280" s="179" t="s">
        <v>309</v>
      </c>
      <c r="B280" s="238" t="s">
        <v>163</v>
      </c>
      <c r="C280" s="164" t="s">
        <v>1861</v>
      </c>
      <c r="D280" s="236" t="s">
        <v>4116</v>
      </c>
      <c r="E280" s="180">
        <v>180.465</v>
      </c>
      <c r="F280" s="181">
        <v>180.465</v>
      </c>
      <c r="G280" s="182">
        <v>166.95</v>
      </c>
      <c r="H280" s="180">
        <v>180.465</v>
      </c>
      <c r="I280" s="181">
        <v>180.465</v>
      </c>
      <c r="J280" s="182">
        <v>166.95</v>
      </c>
      <c r="K280" s="180">
        <v>180.465</v>
      </c>
      <c r="L280" s="181">
        <v>180.465</v>
      </c>
      <c r="M280" s="182">
        <v>166.95</v>
      </c>
      <c r="N280" s="180">
        <v>180.465</v>
      </c>
      <c r="O280" s="181">
        <v>180.465</v>
      </c>
      <c r="P280" s="182">
        <v>166.95</v>
      </c>
      <c r="Q280" s="180">
        <v>180.465</v>
      </c>
      <c r="R280" s="181">
        <v>180.465</v>
      </c>
      <c r="S280" s="182">
        <v>166.95</v>
      </c>
      <c r="T280" s="180">
        <v>180.465</v>
      </c>
      <c r="U280" s="181">
        <v>180.465</v>
      </c>
      <c r="V280" s="182">
        <v>166.95</v>
      </c>
      <c r="W280" s="180">
        <v>180.465</v>
      </c>
      <c r="X280" s="181">
        <v>180.465</v>
      </c>
      <c r="Y280" s="182">
        <v>166.95</v>
      </c>
      <c r="Z280" s="180">
        <v>180.465</v>
      </c>
      <c r="AA280" s="181">
        <v>180.465</v>
      </c>
      <c r="AB280" s="182">
        <v>166.95</v>
      </c>
      <c r="AC280" s="180">
        <v>180.465</v>
      </c>
      <c r="AD280" s="181">
        <v>180.465</v>
      </c>
      <c r="AE280" s="182">
        <v>166.95</v>
      </c>
      <c r="AF280" s="180">
        <v>180.465</v>
      </c>
      <c r="AG280" s="181">
        <v>180.465</v>
      </c>
      <c r="AH280" s="182">
        <v>166.95</v>
      </c>
      <c r="AI280" s="168" t="s">
        <v>1100</v>
      </c>
      <c r="AJ280" s="169" t="s">
        <v>2485</v>
      </c>
      <c r="AK280" s="170" t="s">
        <v>2486</v>
      </c>
      <c r="AL280" s="169" t="s">
        <v>17</v>
      </c>
      <c r="AM280" s="183">
        <v>1258</v>
      </c>
    </row>
    <row r="281" spans="1:39" s="2" customFormat="1" ht="20.6">
      <c r="A281" s="179" t="s">
        <v>309</v>
      </c>
      <c r="B281" s="238" t="s">
        <v>163</v>
      </c>
      <c r="C281" s="164" t="s">
        <v>1434</v>
      </c>
      <c r="D281" s="236" t="s">
        <v>1436</v>
      </c>
      <c r="E281" s="180">
        <v>81.72</v>
      </c>
      <c r="F281" s="181">
        <v>81.72</v>
      </c>
      <c r="G281" s="182">
        <v>81.72</v>
      </c>
      <c r="H281" s="180">
        <v>81.72</v>
      </c>
      <c r="I281" s="181">
        <v>81.72</v>
      </c>
      <c r="J281" s="182">
        <v>81.72</v>
      </c>
      <c r="K281" s="180">
        <v>81.72</v>
      </c>
      <c r="L281" s="181">
        <v>81.72</v>
      </c>
      <c r="M281" s="182">
        <v>81.72</v>
      </c>
      <c r="N281" s="180">
        <v>81.72</v>
      </c>
      <c r="O281" s="181">
        <v>81.72</v>
      </c>
      <c r="P281" s="182">
        <v>81.72</v>
      </c>
      <c r="Q281" s="180">
        <v>81.72</v>
      </c>
      <c r="R281" s="181">
        <v>81.72</v>
      </c>
      <c r="S281" s="182">
        <v>81.72</v>
      </c>
      <c r="T281" s="180">
        <v>81.72</v>
      </c>
      <c r="U281" s="181">
        <v>81.72</v>
      </c>
      <c r="V281" s="182">
        <v>81.72</v>
      </c>
      <c r="W281" s="180">
        <v>81.72</v>
      </c>
      <c r="X281" s="181">
        <v>81.72</v>
      </c>
      <c r="Y281" s="182">
        <v>81.72</v>
      </c>
      <c r="Z281" s="180">
        <v>81.72</v>
      </c>
      <c r="AA281" s="181">
        <v>81.72</v>
      </c>
      <c r="AB281" s="182">
        <v>81.72</v>
      </c>
      <c r="AC281" s="180">
        <v>81.72</v>
      </c>
      <c r="AD281" s="181">
        <v>81.72</v>
      </c>
      <c r="AE281" s="182">
        <v>81.72</v>
      </c>
      <c r="AF281" s="180">
        <v>81.72</v>
      </c>
      <c r="AG281" s="181">
        <v>81.72</v>
      </c>
      <c r="AH281" s="182">
        <v>81.72</v>
      </c>
      <c r="AI281" s="168" t="s">
        <v>1435</v>
      </c>
      <c r="AJ281" s="169" t="s">
        <v>2491</v>
      </c>
      <c r="AK281" s="170" t="s">
        <v>2477</v>
      </c>
      <c r="AL281" s="169" t="s">
        <v>2479</v>
      </c>
      <c r="AM281" s="183">
        <v>1880</v>
      </c>
    </row>
    <row r="282" spans="1:39" s="2" customFormat="1">
      <c r="A282" s="179" t="s">
        <v>423</v>
      </c>
      <c r="B282" s="238" t="s">
        <v>163</v>
      </c>
      <c r="C282" s="164" t="s">
        <v>823</v>
      </c>
      <c r="D282" s="236" t="s">
        <v>1023</v>
      </c>
      <c r="E282" s="180">
        <v>99.924000000000007</v>
      </c>
      <c r="F282" s="181">
        <v>99.924000000000007</v>
      </c>
      <c r="G282" s="182">
        <v>0</v>
      </c>
      <c r="H282" s="180">
        <v>129.00800000000001</v>
      </c>
      <c r="I282" s="181">
        <v>129.00800000000001</v>
      </c>
      <c r="J282" s="182">
        <v>0</v>
      </c>
      <c r="K282" s="180">
        <v>129.00800000000001</v>
      </c>
      <c r="L282" s="181">
        <v>129.00800000000001</v>
      </c>
      <c r="M282" s="182">
        <v>0</v>
      </c>
      <c r="N282" s="180">
        <v>129.00800000000001</v>
      </c>
      <c r="O282" s="181">
        <v>129.00800000000001</v>
      </c>
      <c r="P282" s="182">
        <v>0</v>
      </c>
      <c r="Q282" s="180">
        <v>129.00800000000001</v>
      </c>
      <c r="R282" s="181">
        <v>129.00800000000001</v>
      </c>
      <c r="S282" s="182">
        <v>0</v>
      </c>
      <c r="T282" s="180">
        <v>129.00800000000001</v>
      </c>
      <c r="U282" s="181">
        <v>129.00800000000001</v>
      </c>
      <c r="V282" s="182">
        <v>0</v>
      </c>
      <c r="W282" s="180">
        <v>129.00800000000001</v>
      </c>
      <c r="X282" s="181">
        <v>129.00800000000001</v>
      </c>
      <c r="Y282" s="182">
        <v>0</v>
      </c>
      <c r="Z282" s="180">
        <v>129.00800000000001</v>
      </c>
      <c r="AA282" s="181">
        <v>129.00800000000001</v>
      </c>
      <c r="AB282" s="182">
        <v>0</v>
      </c>
      <c r="AC282" s="180">
        <v>129.00800000000001</v>
      </c>
      <c r="AD282" s="181">
        <v>129.00800000000001</v>
      </c>
      <c r="AE282" s="182">
        <v>0</v>
      </c>
      <c r="AF282" s="180">
        <v>129.00800000000001</v>
      </c>
      <c r="AG282" s="181">
        <v>129.00800000000001</v>
      </c>
      <c r="AH282" s="182">
        <v>0</v>
      </c>
      <c r="AI282" s="168" t="s">
        <v>824</v>
      </c>
      <c r="AJ282" s="169" t="s">
        <v>2485</v>
      </c>
      <c r="AK282" s="170" t="s">
        <v>2486</v>
      </c>
      <c r="AL282" s="169" t="s">
        <v>17</v>
      </c>
      <c r="AM282" s="183">
        <v>1141</v>
      </c>
    </row>
    <row r="283" spans="1:39" s="2" customFormat="1">
      <c r="A283" s="179" t="s">
        <v>423</v>
      </c>
      <c r="B283" s="238" t="s">
        <v>163</v>
      </c>
      <c r="C283" s="164" t="s">
        <v>2333</v>
      </c>
      <c r="D283" s="236" t="s">
        <v>4147</v>
      </c>
      <c r="E283" s="180">
        <v>131.19999999999999</v>
      </c>
      <c r="F283" s="181">
        <v>131.19999999999999</v>
      </c>
      <c r="G283" s="182">
        <v>0</v>
      </c>
      <c r="H283" s="180">
        <v>131.19999999999999</v>
      </c>
      <c r="I283" s="181">
        <v>131.19999999999999</v>
      </c>
      <c r="J283" s="182">
        <v>0</v>
      </c>
      <c r="K283" s="180">
        <v>131.19999999999999</v>
      </c>
      <c r="L283" s="181">
        <v>131.19999999999999</v>
      </c>
      <c r="M283" s="182">
        <v>0</v>
      </c>
      <c r="N283" s="180">
        <v>131.19999999999999</v>
      </c>
      <c r="O283" s="181">
        <v>131.19999999999999</v>
      </c>
      <c r="P283" s="182">
        <v>0</v>
      </c>
      <c r="Q283" s="180">
        <v>131.19999999999999</v>
      </c>
      <c r="R283" s="181">
        <v>131.19999999999999</v>
      </c>
      <c r="S283" s="182">
        <v>0</v>
      </c>
      <c r="T283" s="180">
        <v>131.19999999999999</v>
      </c>
      <c r="U283" s="181">
        <v>131.19999999999999</v>
      </c>
      <c r="V283" s="182">
        <v>0</v>
      </c>
      <c r="W283" s="180">
        <v>131.19999999999999</v>
      </c>
      <c r="X283" s="181">
        <v>131.19999999999999</v>
      </c>
      <c r="Y283" s="182">
        <v>0</v>
      </c>
      <c r="Z283" s="180">
        <v>131.19999999999999</v>
      </c>
      <c r="AA283" s="181">
        <v>131.19999999999999</v>
      </c>
      <c r="AB283" s="182">
        <v>0</v>
      </c>
      <c r="AC283" s="180">
        <v>131.19999999999999</v>
      </c>
      <c r="AD283" s="181">
        <v>131.19999999999999</v>
      </c>
      <c r="AE283" s="182">
        <v>0</v>
      </c>
      <c r="AF283" s="180">
        <v>131.19999999999999</v>
      </c>
      <c r="AG283" s="181">
        <v>131.19999999999999</v>
      </c>
      <c r="AH283" s="182">
        <v>0</v>
      </c>
      <c r="AI283" s="168" t="s">
        <v>4146</v>
      </c>
      <c r="AJ283" s="169" t="s">
        <v>2485</v>
      </c>
      <c r="AK283" s="170" t="s">
        <v>2486</v>
      </c>
      <c r="AL283" s="169" t="s">
        <v>17</v>
      </c>
      <c r="AM283" s="183">
        <v>1142</v>
      </c>
    </row>
    <row r="284" spans="1:39" s="2" customFormat="1">
      <c r="A284" s="179" t="s">
        <v>7</v>
      </c>
      <c r="B284" s="238" t="s">
        <v>163</v>
      </c>
      <c r="C284" s="164" t="s">
        <v>1028</v>
      </c>
      <c r="D284" s="236" t="s">
        <v>1694</v>
      </c>
      <c r="E284" s="180">
        <v>730</v>
      </c>
      <c r="F284" s="181">
        <v>710</v>
      </c>
      <c r="G284" s="182">
        <v>705</v>
      </c>
      <c r="H284" s="180">
        <v>730</v>
      </c>
      <c r="I284" s="181">
        <v>710</v>
      </c>
      <c r="J284" s="182">
        <v>705</v>
      </c>
      <c r="K284" s="180">
        <v>730</v>
      </c>
      <c r="L284" s="181">
        <v>710</v>
      </c>
      <c r="M284" s="182">
        <v>705</v>
      </c>
      <c r="N284" s="180">
        <v>730</v>
      </c>
      <c r="O284" s="181">
        <v>710</v>
      </c>
      <c r="P284" s="182">
        <v>705</v>
      </c>
      <c r="Q284" s="180">
        <v>730</v>
      </c>
      <c r="R284" s="181">
        <v>710</v>
      </c>
      <c r="S284" s="182">
        <v>705</v>
      </c>
      <c r="T284" s="180">
        <v>730</v>
      </c>
      <c r="U284" s="181">
        <v>710</v>
      </c>
      <c r="V284" s="182">
        <v>705</v>
      </c>
      <c r="W284" s="180">
        <v>730</v>
      </c>
      <c r="X284" s="181">
        <v>710</v>
      </c>
      <c r="Y284" s="182">
        <v>705</v>
      </c>
      <c r="Z284" s="180">
        <v>730</v>
      </c>
      <c r="AA284" s="181">
        <v>710</v>
      </c>
      <c r="AB284" s="182">
        <v>705</v>
      </c>
      <c r="AC284" s="180">
        <v>730</v>
      </c>
      <c r="AD284" s="181">
        <v>710</v>
      </c>
      <c r="AE284" s="182">
        <v>705</v>
      </c>
      <c r="AF284" s="180">
        <v>730</v>
      </c>
      <c r="AG284" s="181">
        <v>710</v>
      </c>
      <c r="AH284" s="182">
        <v>705</v>
      </c>
      <c r="AI284" s="168" t="s">
        <v>1029</v>
      </c>
      <c r="AJ284" s="169" t="s">
        <v>2639</v>
      </c>
      <c r="AK284" s="170" t="s">
        <v>2640</v>
      </c>
      <c r="AL284" s="169" t="s">
        <v>12</v>
      </c>
      <c r="AM284" s="183">
        <v>1144</v>
      </c>
    </row>
    <row r="285" spans="1:39" s="2" customFormat="1">
      <c r="A285" s="179" t="s">
        <v>7</v>
      </c>
      <c r="B285" s="238" t="s">
        <v>163</v>
      </c>
      <c r="C285" s="164" t="s">
        <v>1028</v>
      </c>
      <c r="D285" s="236" t="s">
        <v>4151</v>
      </c>
      <c r="E285" s="180">
        <v>700</v>
      </c>
      <c r="F285" s="181">
        <v>680</v>
      </c>
      <c r="G285" s="182">
        <v>675</v>
      </c>
      <c r="H285" s="180">
        <v>700</v>
      </c>
      <c r="I285" s="181">
        <v>710</v>
      </c>
      <c r="J285" s="182">
        <v>705</v>
      </c>
      <c r="K285" s="180">
        <v>730</v>
      </c>
      <c r="L285" s="181">
        <v>710</v>
      </c>
      <c r="M285" s="182">
        <v>705</v>
      </c>
      <c r="N285" s="180">
        <v>730</v>
      </c>
      <c r="O285" s="181">
        <v>710</v>
      </c>
      <c r="P285" s="182">
        <v>705</v>
      </c>
      <c r="Q285" s="180">
        <v>730</v>
      </c>
      <c r="R285" s="181">
        <v>710</v>
      </c>
      <c r="S285" s="182">
        <v>705</v>
      </c>
      <c r="T285" s="180">
        <v>730</v>
      </c>
      <c r="U285" s="181">
        <v>710</v>
      </c>
      <c r="V285" s="182">
        <v>705</v>
      </c>
      <c r="W285" s="180">
        <v>730</v>
      </c>
      <c r="X285" s="181">
        <v>710</v>
      </c>
      <c r="Y285" s="182">
        <v>705</v>
      </c>
      <c r="Z285" s="180">
        <v>730</v>
      </c>
      <c r="AA285" s="181">
        <v>710</v>
      </c>
      <c r="AB285" s="182">
        <v>705</v>
      </c>
      <c r="AC285" s="180">
        <v>730</v>
      </c>
      <c r="AD285" s="181">
        <v>710</v>
      </c>
      <c r="AE285" s="182">
        <v>705</v>
      </c>
      <c r="AF285" s="180">
        <v>730</v>
      </c>
      <c r="AG285" s="181">
        <v>710</v>
      </c>
      <c r="AH285" s="182">
        <v>705</v>
      </c>
      <c r="AI285" s="168" t="s">
        <v>1029</v>
      </c>
      <c r="AJ285" s="169" t="s">
        <v>2639</v>
      </c>
      <c r="AK285" s="170" t="s">
        <v>2640</v>
      </c>
      <c r="AL285" s="169" t="s">
        <v>12</v>
      </c>
      <c r="AM285" s="183">
        <v>1144</v>
      </c>
    </row>
    <row r="286" spans="1:39" s="2" customFormat="1">
      <c r="A286" s="179" t="s">
        <v>309</v>
      </c>
      <c r="B286" s="238" t="s">
        <v>163</v>
      </c>
      <c r="C286" s="164" t="s">
        <v>4158</v>
      </c>
      <c r="D286" s="236" t="s">
        <v>4160</v>
      </c>
      <c r="E286" s="180">
        <v>140</v>
      </c>
      <c r="F286" s="181">
        <v>139</v>
      </c>
      <c r="G286" s="182">
        <v>135</v>
      </c>
      <c r="H286" s="180">
        <v>140</v>
      </c>
      <c r="I286" s="181">
        <v>139</v>
      </c>
      <c r="J286" s="182">
        <v>135</v>
      </c>
      <c r="K286" s="180">
        <v>140</v>
      </c>
      <c r="L286" s="181">
        <v>139</v>
      </c>
      <c r="M286" s="182">
        <v>135</v>
      </c>
      <c r="N286" s="180">
        <v>140</v>
      </c>
      <c r="O286" s="181">
        <v>139</v>
      </c>
      <c r="P286" s="182">
        <v>135</v>
      </c>
      <c r="Q286" s="180">
        <v>140</v>
      </c>
      <c r="R286" s="181">
        <v>139</v>
      </c>
      <c r="S286" s="182">
        <v>135</v>
      </c>
      <c r="T286" s="180">
        <v>140</v>
      </c>
      <c r="U286" s="181">
        <v>139</v>
      </c>
      <c r="V286" s="182">
        <v>135</v>
      </c>
      <c r="W286" s="180">
        <v>140</v>
      </c>
      <c r="X286" s="181">
        <v>139</v>
      </c>
      <c r="Y286" s="182">
        <v>135</v>
      </c>
      <c r="Z286" s="180">
        <v>140</v>
      </c>
      <c r="AA286" s="181">
        <v>139</v>
      </c>
      <c r="AB286" s="182">
        <v>135</v>
      </c>
      <c r="AC286" s="180">
        <v>140</v>
      </c>
      <c r="AD286" s="181">
        <v>139</v>
      </c>
      <c r="AE286" s="182">
        <v>135</v>
      </c>
      <c r="AF286" s="180">
        <v>0</v>
      </c>
      <c r="AG286" s="181">
        <v>0</v>
      </c>
      <c r="AH286" s="182">
        <v>0</v>
      </c>
      <c r="AI286" s="168" t="s">
        <v>4159</v>
      </c>
      <c r="AJ286" s="169" t="s">
        <v>2555</v>
      </c>
      <c r="AK286" s="170" t="s">
        <v>2502</v>
      </c>
      <c r="AL286" s="169" t="s">
        <v>14</v>
      </c>
      <c r="AM286" s="183">
        <v>1145</v>
      </c>
    </row>
    <row r="287" spans="1:39" s="2" customFormat="1">
      <c r="A287" s="179" t="s">
        <v>309</v>
      </c>
      <c r="B287" s="238" t="s">
        <v>163</v>
      </c>
      <c r="C287" s="164" t="s">
        <v>4158</v>
      </c>
      <c r="D287" s="236" t="s">
        <v>4162</v>
      </c>
      <c r="E287" s="180">
        <v>140</v>
      </c>
      <c r="F287" s="181">
        <v>139</v>
      </c>
      <c r="G287" s="182">
        <v>135</v>
      </c>
      <c r="H287" s="180">
        <v>140</v>
      </c>
      <c r="I287" s="181">
        <v>139</v>
      </c>
      <c r="J287" s="182">
        <v>135</v>
      </c>
      <c r="K287" s="180">
        <v>140</v>
      </c>
      <c r="L287" s="181">
        <v>139</v>
      </c>
      <c r="M287" s="182">
        <v>135</v>
      </c>
      <c r="N287" s="180">
        <v>140</v>
      </c>
      <c r="O287" s="181">
        <v>139</v>
      </c>
      <c r="P287" s="182">
        <v>135</v>
      </c>
      <c r="Q287" s="180">
        <v>140</v>
      </c>
      <c r="R287" s="181">
        <v>139</v>
      </c>
      <c r="S287" s="182">
        <v>135</v>
      </c>
      <c r="T287" s="180">
        <v>140</v>
      </c>
      <c r="U287" s="181">
        <v>139</v>
      </c>
      <c r="V287" s="182">
        <v>135</v>
      </c>
      <c r="W287" s="180">
        <v>140</v>
      </c>
      <c r="X287" s="181">
        <v>139</v>
      </c>
      <c r="Y287" s="182">
        <v>135</v>
      </c>
      <c r="Z287" s="180">
        <v>140</v>
      </c>
      <c r="AA287" s="181">
        <v>139</v>
      </c>
      <c r="AB287" s="182">
        <v>135</v>
      </c>
      <c r="AC287" s="180">
        <v>140</v>
      </c>
      <c r="AD287" s="181">
        <v>139</v>
      </c>
      <c r="AE287" s="182">
        <v>135</v>
      </c>
      <c r="AF287" s="180">
        <v>0</v>
      </c>
      <c r="AG287" s="181">
        <v>0</v>
      </c>
      <c r="AH287" s="182">
        <v>0</v>
      </c>
      <c r="AI287" s="168" t="s">
        <v>4159</v>
      </c>
      <c r="AJ287" s="169" t="s">
        <v>2555</v>
      </c>
      <c r="AK287" s="170" t="s">
        <v>2502</v>
      </c>
      <c r="AL287" s="169" t="s">
        <v>14</v>
      </c>
      <c r="AM287" s="183">
        <v>1145</v>
      </c>
    </row>
    <row r="288" spans="1:39" s="2" customFormat="1">
      <c r="A288" s="179" t="s">
        <v>309</v>
      </c>
      <c r="B288" s="238" t="s">
        <v>163</v>
      </c>
      <c r="C288" s="164" t="s">
        <v>4158</v>
      </c>
      <c r="D288" s="236" t="s">
        <v>4163</v>
      </c>
      <c r="E288" s="180">
        <v>120</v>
      </c>
      <c r="F288" s="181">
        <v>118</v>
      </c>
      <c r="G288" s="182">
        <v>117</v>
      </c>
      <c r="H288" s="180">
        <v>120</v>
      </c>
      <c r="I288" s="181">
        <v>118</v>
      </c>
      <c r="J288" s="182">
        <v>117</v>
      </c>
      <c r="K288" s="180">
        <v>120</v>
      </c>
      <c r="L288" s="181">
        <v>118</v>
      </c>
      <c r="M288" s="182">
        <v>117</v>
      </c>
      <c r="N288" s="180">
        <v>120</v>
      </c>
      <c r="O288" s="181">
        <v>118</v>
      </c>
      <c r="P288" s="182">
        <v>117</v>
      </c>
      <c r="Q288" s="180">
        <v>120</v>
      </c>
      <c r="R288" s="181">
        <v>118</v>
      </c>
      <c r="S288" s="182">
        <v>117</v>
      </c>
      <c r="T288" s="180">
        <v>120</v>
      </c>
      <c r="U288" s="181">
        <v>118</v>
      </c>
      <c r="V288" s="182">
        <v>117</v>
      </c>
      <c r="W288" s="180">
        <v>120</v>
      </c>
      <c r="X288" s="181">
        <v>118</v>
      </c>
      <c r="Y288" s="182">
        <v>117</v>
      </c>
      <c r="Z288" s="180">
        <v>120</v>
      </c>
      <c r="AA288" s="181">
        <v>118</v>
      </c>
      <c r="AB288" s="182">
        <v>117</v>
      </c>
      <c r="AC288" s="180">
        <v>120</v>
      </c>
      <c r="AD288" s="181">
        <v>118</v>
      </c>
      <c r="AE288" s="182">
        <v>117</v>
      </c>
      <c r="AF288" s="180">
        <v>120</v>
      </c>
      <c r="AG288" s="181">
        <v>118</v>
      </c>
      <c r="AH288" s="182">
        <v>117</v>
      </c>
      <c r="AI288" s="168" t="s">
        <v>4159</v>
      </c>
      <c r="AJ288" s="169" t="s">
        <v>2555</v>
      </c>
      <c r="AK288" s="170" t="s">
        <v>2502</v>
      </c>
      <c r="AL288" s="169" t="s">
        <v>14</v>
      </c>
      <c r="AM288" s="183">
        <v>1145</v>
      </c>
    </row>
    <row r="289" spans="1:39" s="2" customFormat="1" ht="20.6">
      <c r="A289" s="179" t="s">
        <v>7</v>
      </c>
      <c r="B289" s="238" t="s">
        <v>2463</v>
      </c>
      <c r="C289" s="164" t="s">
        <v>289</v>
      </c>
      <c r="D289" s="236" t="s">
        <v>5182</v>
      </c>
      <c r="E289" s="180">
        <v>0</v>
      </c>
      <c r="F289" s="181">
        <v>0</v>
      </c>
      <c r="G289" s="182">
        <v>0</v>
      </c>
      <c r="H289" s="180">
        <v>25.08</v>
      </c>
      <c r="I289" s="181">
        <v>25.08</v>
      </c>
      <c r="J289" s="182">
        <v>25.08</v>
      </c>
      <c r="K289" s="180">
        <v>25.08</v>
      </c>
      <c r="L289" s="181">
        <v>25.08</v>
      </c>
      <c r="M289" s="182">
        <v>25.08</v>
      </c>
      <c r="N289" s="180">
        <v>25.08</v>
      </c>
      <c r="O289" s="181">
        <v>25.08</v>
      </c>
      <c r="P289" s="182">
        <v>25.08</v>
      </c>
      <c r="Q289" s="180">
        <v>25.08</v>
      </c>
      <c r="R289" s="181">
        <v>25.08</v>
      </c>
      <c r="S289" s="182">
        <v>25.08</v>
      </c>
      <c r="T289" s="180">
        <v>25.08</v>
      </c>
      <c r="U289" s="181">
        <v>25.08</v>
      </c>
      <c r="V289" s="182">
        <v>25.08</v>
      </c>
      <c r="W289" s="180">
        <v>25.08</v>
      </c>
      <c r="X289" s="181">
        <v>25.08</v>
      </c>
      <c r="Y289" s="182">
        <v>25.08</v>
      </c>
      <c r="Z289" s="180">
        <v>25.08</v>
      </c>
      <c r="AA289" s="181">
        <v>25.08</v>
      </c>
      <c r="AB289" s="182">
        <v>25.08</v>
      </c>
      <c r="AC289" s="180">
        <v>25.08</v>
      </c>
      <c r="AD289" s="181">
        <v>25.08</v>
      </c>
      <c r="AE289" s="182">
        <v>25.08</v>
      </c>
      <c r="AF289" s="180">
        <v>25.08</v>
      </c>
      <c r="AG289" s="181">
        <v>25.08</v>
      </c>
      <c r="AH289" s="182">
        <v>25.08</v>
      </c>
      <c r="AI289" s="168" t="s">
        <v>290</v>
      </c>
      <c r="AJ289" s="169" t="s">
        <v>2491</v>
      </c>
      <c r="AK289" s="170" t="s">
        <v>2477</v>
      </c>
      <c r="AL289" s="169" t="s">
        <v>2479</v>
      </c>
      <c r="AM289" s="183">
        <v>1998</v>
      </c>
    </row>
    <row r="290" spans="1:39" s="2" customFormat="1" ht="20.6">
      <c r="A290" s="179" t="s">
        <v>309</v>
      </c>
      <c r="B290" s="238" t="s">
        <v>2463</v>
      </c>
      <c r="C290" s="164" t="s">
        <v>732</v>
      </c>
      <c r="D290" s="236" t="s">
        <v>4176</v>
      </c>
      <c r="E290" s="180">
        <v>119.84</v>
      </c>
      <c r="F290" s="181">
        <v>119.84</v>
      </c>
      <c r="G290" s="182">
        <v>119.84</v>
      </c>
      <c r="H290" s="180">
        <v>119.84</v>
      </c>
      <c r="I290" s="181">
        <v>119.84</v>
      </c>
      <c r="J290" s="182">
        <v>119.84</v>
      </c>
      <c r="K290" s="180">
        <v>119.84</v>
      </c>
      <c r="L290" s="181">
        <v>119.84</v>
      </c>
      <c r="M290" s="182">
        <v>119.84</v>
      </c>
      <c r="N290" s="180">
        <v>119.84</v>
      </c>
      <c r="O290" s="181">
        <v>119.84</v>
      </c>
      <c r="P290" s="182">
        <v>119.84</v>
      </c>
      <c r="Q290" s="180">
        <v>119.84</v>
      </c>
      <c r="R290" s="181">
        <v>119.84</v>
      </c>
      <c r="S290" s="182">
        <v>119.84</v>
      </c>
      <c r="T290" s="180">
        <v>119.84</v>
      </c>
      <c r="U290" s="181">
        <v>119.84</v>
      </c>
      <c r="V290" s="182">
        <v>119.84</v>
      </c>
      <c r="W290" s="180">
        <v>119.84</v>
      </c>
      <c r="X290" s="181">
        <v>119.84</v>
      </c>
      <c r="Y290" s="182">
        <v>119.84</v>
      </c>
      <c r="Z290" s="180">
        <v>119.84</v>
      </c>
      <c r="AA290" s="181">
        <v>119.84</v>
      </c>
      <c r="AB290" s="182">
        <v>119.84</v>
      </c>
      <c r="AC290" s="180">
        <v>119.84</v>
      </c>
      <c r="AD290" s="181">
        <v>119.84</v>
      </c>
      <c r="AE290" s="182">
        <v>119.84</v>
      </c>
      <c r="AF290" s="180">
        <v>119.84</v>
      </c>
      <c r="AG290" s="181">
        <v>119.84</v>
      </c>
      <c r="AH290" s="182">
        <v>119.84</v>
      </c>
      <c r="AI290" s="168" t="s">
        <v>733</v>
      </c>
      <c r="AJ290" s="169" t="s">
        <v>2491</v>
      </c>
      <c r="AK290" s="170" t="s">
        <v>2477</v>
      </c>
      <c r="AL290" s="169" t="s">
        <v>2479</v>
      </c>
      <c r="AM290" s="183">
        <v>1905</v>
      </c>
    </row>
    <row r="291" spans="1:39" s="2" customFormat="1">
      <c r="A291" s="179" t="s">
        <v>423</v>
      </c>
      <c r="B291" s="238" t="s">
        <v>163</v>
      </c>
      <c r="C291" s="164" t="s">
        <v>2042</v>
      </c>
      <c r="D291" s="236" t="s">
        <v>4180</v>
      </c>
      <c r="E291" s="180">
        <v>225.7</v>
      </c>
      <c r="F291" s="181">
        <v>225.7</v>
      </c>
      <c r="G291" s="182">
        <v>176.04599999999999</v>
      </c>
      <c r="H291" s="180">
        <v>225.7</v>
      </c>
      <c r="I291" s="181">
        <v>225.7</v>
      </c>
      <c r="J291" s="182">
        <v>176.04599999999999</v>
      </c>
      <c r="K291" s="180">
        <v>225.7</v>
      </c>
      <c r="L291" s="181">
        <v>225.7</v>
      </c>
      <c r="M291" s="182">
        <v>176.04599999999999</v>
      </c>
      <c r="N291" s="180">
        <v>225.7</v>
      </c>
      <c r="O291" s="181">
        <v>225.7</v>
      </c>
      <c r="P291" s="182">
        <v>176.04599999999999</v>
      </c>
      <c r="Q291" s="180">
        <v>225.7</v>
      </c>
      <c r="R291" s="181">
        <v>225.7</v>
      </c>
      <c r="S291" s="182">
        <v>176.04599999999999</v>
      </c>
      <c r="T291" s="180">
        <v>225.7</v>
      </c>
      <c r="U291" s="181">
        <v>225.7</v>
      </c>
      <c r="V291" s="182">
        <v>176.04599999999999</v>
      </c>
      <c r="W291" s="180">
        <v>225.7</v>
      </c>
      <c r="X291" s="181">
        <v>225.7</v>
      </c>
      <c r="Y291" s="182">
        <v>176.04599999999999</v>
      </c>
      <c r="Z291" s="180">
        <v>225.7</v>
      </c>
      <c r="AA291" s="181">
        <v>225.7</v>
      </c>
      <c r="AB291" s="182">
        <v>176.04599999999999</v>
      </c>
      <c r="AC291" s="180">
        <v>225.7</v>
      </c>
      <c r="AD291" s="181">
        <v>225.7</v>
      </c>
      <c r="AE291" s="182">
        <v>176.04599999999999</v>
      </c>
      <c r="AF291" s="180">
        <v>225.7</v>
      </c>
      <c r="AG291" s="181">
        <v>225.7</v>
      </c>
      <c r="AH291" s="182">
        <v>176.04599999999999</v>
      </c>
      <c r="AI291" s="168" t="s">
        <v>1736</v>
      </c>
      <c r="AJ291" s="169" t="s">
        <v>2485</v>
      </c>
      <c r="AK291" s="170" t="s">
        <v>2486</v>
      </c>
      <c r="AL291" s="169" t="s">
        <v>17</v>
      </c>
      <c r="AM291" s="183">
        <v>1262</v>
      </c>
    </row>
    <row r="292" spans="1:39" s="2" customFormat="1" ht="20.6">
      <c r="A292" s="179" t="s">
        <v>423</v>
      </c>
      <c r="B292" s="238" t="s">
        <v>163</v>
      </c>
      <c r="C292" s="164" t="s">
        <v>1501</v>
      </c>
      <c r="D292" s="236" t="s">
        <v>1503</v>
      </c>
      <c r="E292" s="180">
        <v>209</v>
      </c>
      <c r="F292" s="181">
        <v>209</v>
      </c>
      <c r="G292" s="182">
        <v>189.24</v>
      </c>
      <c r="H292" s="180">
        <v>209</v>
      </c>
      <c r="I292" s="181">
        <v>209</v>
      </c>
      <c r="J292" s="182">
        <v>189.24</v>
      </c>
      <c r="K292" s="180">
        <v>209</v>
      </c>
      <c r="L292" s="181">
        <v>209</v>
      </c>
      <c r="M292" s="182">
        <v>189.24</v>
      </c>
      <c r="N292" s="180">
        <v>209</v>
      </c>
      <c r="O292" s="181">
        <v>209</v>
      </c>
      <c r="P292" s="182">
        <v>189.24</v>
      </c>
      <c r="Q292" s="180">
        <v>209</v>
      </c>
      <c r="R292" s="181">
        <v>209</v>
      </c>
      <c r="S292" s="182">
        <v>189.24</v>
      </c>
      <c r="T292" s="180">
        <v>209</v>
      </c>
      <c r="U292" s="181">
        <v>209</v>
      </c>
      <c r="V292" s="182">
        <v>189.24</v>
      </c>
      <c r="W292" s="180">
        <v>209</v>
      </c>
      <c r="X292" s="181">
        <v>209</v>
      </c>
      <c r="Y292" s="182">
        <v>189.24</v>
      </c>
      <c r="Z292" s="180">
        <v>209</v>
      </c>
      <c r="AA292" s="181">
        <v>209</v>
      </c>
      <c r="AB292" s="182">
        <v>189.24</v>
      </c>
      <c r="AC292" s="180">
        <v>209</v>
      </c>
      <c r="AD292" s="181">
        <v>209</v>
      </c>
      <c r="AE292" s="182">
        <v>189.24</v>
      </c>
      <c r="AF292" s="180">
        <v>209</v>
      </c>
      <c r="AG292" s="181">
        <v>209</v>
      </c>
      <c r="AH292" s="182">
        <v>189.24</v>
      </c>
      <c r="AI292" s="168" t="s">
        <v>1502</v>
      </c>
      <c r="AJ292" s="169" t="s">
        <v>2485</v>
      </c>
      <c r="AK292" s="170" t="s">
        <v>2486</v>
      </c>
      <c r="AL292" s="169" t="s">
        <v>17</v>
      </c>
      <c r="AM292" s="183">
        <v>1506</v>
      </c>
    </row>
    <row r="293" spans="1:39" s="2" customFormat="1">
      <c r="A293" s="179" t="s">
        <v>423</v>
      </c>
      <c r="B293" s="238" t="s">
        <v>163</v>
      </c>
      <c r="C293" s="164" t="s">
        <v>4181</v>
      </c>
      <c r="D293" s="236" t="s">
        <v>4182</v>
      </c>
      <c r="E293" s="180">
        <v>855</v>
      </c>
      <c r="F293" s="181">
        <v>855</v>
      </c>
      <c r="G293" s="182">
        <v>855</v>
      </c>
      <c r="H293" s="180">
        <v>855</v>
      </c>
      <c r="I293" s="181">
        <v>855</v>
      </c>
      <c r="J293" s="182">
        <v>855</v>
      </c>
      <c r="K293" s="180">
        <v>950</v>
      </c>
      <c r="L293" s="181">
        <v>950</v>
      </c>
      <c r="M293" s="182">
        <v>950</v>
      </c>
      <c r="N293" s="180">
        <v>950</v>
      </c>
      <c r="O293" s="181">
        <v>950</v>
      </c>
      <c r="P293" s="182">
        <v>950</v>
      </c>
      <c r="Q293" s="180">
        <v>950</v>
      </c>
      <c r="R293" s="181">
        <v>950</v>
      </c>
      <c r="S293" s="182">
        <v>950</v>
      </c>
      <c r="T293" s="180">
        <v>950</v>
      </c>
      <c r="U293" s="181">
        <v>950</v>
      </c>
      <c r="V293" s="182">
        <v>950</v>
      </c>
      <c r="W293" s="180">
        <v>950</v>
      </c>
      <c r="X293" s="181">
        <v>950</v>
      </c>
      <c r="Y293" s="182">
        <v>950</v>
      </c>
      <c r="Z293" s="180">
        <v>950</v>
      </c>
      <c r="AA293" s="181">
        <v>950</v>
      </c>
      <c r="AB293" s="182">
        <v>950</v>
      </c>
      <c r="AC293" s="180">
        <v>950</v>
      </c>
      <c r="AD293" s="181">
        <v>950</v>
      </c>
      <c r="AE293" s="182">
        <v>950</v>
      </c>
      <c r="AF293" s="180">
        <v>950</v>
      </c>
      <c r="AG293" s="181">
        <v>950</v>
      </c>
      <c r="AH293" s="182">
        <v>950</v>
      </c>
      <c r="AI293" s="168" t="s">
        <v>218</v>
      </c>
      <c r="AJ293" s="169" t="s">
        <v>2593</v>
      </c>
      <c r="AK293" s="170" t="s">
        <v>2482</v>
      </c>
      <c r="AL293" s="169" t="s">
        <v>18</v>
      </c>
      <c r="AM293" s="183">
        <v>1147</v>
      </c>
    </row>
    <row r="294" spans="1:39" s="2" customFormat="1">
      <c r="A294" s="179" t="s">
        <v>423</v>
      </c>
      <c r="B294" s="238" t="s">
        <v>163</v>
      </c>
      <c r="C294" s="164" t="s">
        <v>4183</v>
      </c>
      <c r="D294" s="236" t="s">
        <v>4182</v>
      </c>
      <c r="E294" s="180">
        <v>600</v>
      </c>
      <c r="F294" s="181">
        <v>450</v>
      </c>
      <c r="G294" s="182">
        <v>450</v>
      </c>
      <c r="H294" s="180">
        <v>450</v>
      </c>
      <c r="I294" s="181">
        <v>450</v>
      </c>
      <c r="J294" s="182">
        <v>450</v>
      </c>
      <c r="K294" s="180">
        <v>450</v>
      </c>
      <c r="L294" s="181">
        <v>600</v>
      </c>
      <c r="M294" s="182">
        <v>600</v>
      </c>
      <c r="N294" s="180">
        <v>600</v>
      </c>
      <c r="O294" s="181">
        <v>600</v>
      </c>
      <c r="P294" s="182">
        <v>600</v>
      </c>
      <c r="Q294" s="180">
        <v>600</v>
      </c>
      <c r="R294" s="181">
        <v>600</v>
      </c>
      <c r="S294" s="182">
        <v>600</v>
      </c>
      <c r="T294" s="180">
        <v>600</v>
      </c>
      <c r="U294" s="181">
        <v>600</v>
      </c>
      <c r="V294" s="182">
        <v>600</v>
      </c>
      <c r="W294" s="180">
        <v>600</v>
      </c>
      <c r="X294" s="181">
        <v>600</v>
      </c>
      <c r="Y294" s="182">
        <v>600</v>
      </c>
      <c r="Z294" s="180">
        <v>600</v>
      </c>
      <c r="AA294" s="181">
        <v>600</v>
      </c>
      <c r="AB294" s="182">
        <v>600</v>
      </c>
      <c r="AC294" s="180">
        <v>600</v>
      </c>
      <c r="AD294" s="181">
        <v>600</v>
      </c>
      <c r="AE294" s="182">
        <v>600</v>
      </c>
      <c r="AF294" s="180">
        <v>600</v>
      </c>
      <c r="AG294" s="181">
        <v>600</v>
      </c>
      <c r="AH294" s="182">
        <v>600</v>
      </c>
      <c r="AI294" s="168" t="s">
        <v>218</v>
      </c>
      <c r="AJ294" s="169" t="s">
        <v>2593</v>
      </c>
      <c r="AK294" s="170" t="s">
        <v>2482</v>
      </c>
      <c r="AL294" s="169" t="s">
        <v>18</v>
      </c>
      <c r="AM294" s="183">
        <v>1148</v>
      </c>
    </row>
    <row r="295" spans="1:39" s="2" customFormat="1">
      <c r="A295" s="179" t="s">
        <v>380</v>
      </c>
      <c r="B295" s="238" t="s">
        <v>163</v>
      </c>
      <c r="C295" s="164" t="s">
        <v>1489</v>
      </c>
      <c r="D295" s="236" t="s">
        <v>1490</v>
      </c>
      <c r="E295" s="180">
        <v>10.3</v>
      </c>
      <c r="F295" s="181">
        <v>9.65</v>
      </c>
      <c r="G295" s="182">
        <v>9.5500000000000007</v>
      </c>
      <c r="H295" s="180">
        <v>10.3</v>
      </c>
      <c r="I295" s="181">
        <v>9.65</v>
      </c>
      <c r="J295" s="182">
        <v>9.5500000000000007</v>
      </c>
      <c r="K295" s="180">
        <v>10.3</v>
      </c>
      <c r="L295" s="181">
        <v>9.65</v>
      </c>
      <c r="M295" s="182">
        <v>9.5500000000000007</v>
      </c>
      <c r="N295" s="180">
        <v>10.3</v>
      </c>
      <c r="O295" s="181">
        <v>9.65</v>
      </c>
      <c r="P295" s="182">
        <v>9.5500000000000007</v>
      </c>
      <c r="Q295" s="180">
        <v>10.3</v>
      </c>
      <c r="R295" s="181">
        <v>9.65</v>
      </c>
      <c r="S295" s="182">
        <v>9.5500000000000007</v>
      </c>
      <c r="T295" s="180">
        <v>10.3</v>
      </c>
      <c r="U295" s="181">
        <v>9.65</v>
      </c>
      <c r="V295" s="182">
        <v>9.5500000000000007</v>
      </c>
      <c r="W295" s="180">
        <v>10.3</v>
      </c>
      <c r="X295" s="181">
        <v>9.65</v>
      </c>
      <c r="Y295" s="182">
        <v>9.5500000000000007</v>
      </c>
      <c r="Z295" s="180">
        <v>10.3</v>
      </c>
      <c r="AA295" s="181">
        <v>9.65</v>
      </c>
      <c r="AB295" s="182">
        <v>9.5500000000000007</v>
      </c>
      <c r="AC295" s="180">
        <v>10.3</v>
      </c>
      <c r="AD295" s="181">
        <v>9.65</v>
      </c>
      <c r="AE295" s="182">
        <v>9.5500000000000007</v>
      </c>
      <c r="AF295" s="180">
        <v>10.3</v>
      </c>
      <c r="AG295" s="181">
        <v>9.65</v>
      </c>
      <c r="AH295" s="182">
        <v>9.5500000000000007</v>
      </c>
      <c r="AI295" s="168" t="s">
        <v>400</v>
      </c>
      <c r="AJ295" s="169" t="s">
        <v>2491</v>
      </c>
      <c r="AK295" s="170" t="s">
        <v>2477</v>
      </c>
      <c r="AL295" s="169" t="s">
        <v>2479</v>
      </c>
      <c r="AM295" s="183">
        <v>1853</v>
      </c>
    </row>
    <row r="296" spans="1:39" s="2" customFormat="1">
      <c r="A296" s="179" t="s">
        <v>565</v>
      </c>
      <c r="B296" s="238" t="s">
        <v>163</v>
      </c>
      <c r="C296" s="164" t="s">
        <v>2394</v>
      </c>
      <c r="D296" s="236" t="s">
        <v>4189</v>
      </c>
      <c r="E296" s="180">
        <v>168</v>
      </c>
      <c r="F296" s="181">
        <v>168</v>
      </c>
      <c r="G296" s="182">
        <v>168</v>
      </c>
      <c r="H296" s="180">
        <v>168</v>
      </c>
      <c r="I296" s="181">
        <v>168</v>
      </c>
      <c r="J296" s="182">
        <v>168</v>
      </c>
      <c r="K296" s="180">
        <v>168</v>
      </c>
      <c r="L296" s="181">
        <v>168</v>
      </c>
      <c r="M296" s="182">
        <v>168</v>
      </c>
      <c r="N296" s="180">
        <v>168</v>
      </c>
      <c r="O296" s="181">
        <v>168</v>
      </c>
      <c r="P296" s="182">
        <v>168</v>
      </c>
      <c r="Q296" s="180">
        <v>168</v>
      </c>
      <c r="R296" s="181">
        <v>168</v>
      </c>
      <c r="S296" s="182">
        <v>168</v>
      </c>
      <c r="T296" s="180">
        <v>168</v>
      </c>
      <c r="U296" s="181">
        <v>168</v>
      </c>
      <c r="V296" s="182">
        <v>168</v>
      </c>
      <c r="W296" s="180">
        <v>168</v>
      </c>
      <c r="X296" s="181">
        <v>168</v>
      </c>
      <c r="Y296" s="182">
        <v>168</v>
      </c>
      <c r="Z296" s="180">
        <v>168</v>
      </c>
      <c r="AA296" s="181">
        <v>168</v>
      </c>
      <c r="AB296" s="182">
        <v>168</v>
      </c>
      <c r="AC296" s="180">
        <v>168</v>
      </c>
      <c r="AD296" s="181">
        <v>168</v>
      </c>
      <c r="AE296" s="182">
        <v>168</v>
      </c>
      <c r="AF296" s="180">
        <v>168</v>
      </c>
      <c r="AG296" s="181">
        <v>168</v>
      </c>
      <c r="AH296" s="182">
        <v>168</v>
      </c>
      <c r="AI296" s="168" t="s">
        <v>4188</v>
      </c>
      <c r="AJ296" s="169" t="s">
        <v>2485</v>
      </c>
      <c r="AK296" s="170" t="s">
        <v>2486</v>
      </c>
      <c r="AL296" s="169" t="s">
        <v>17</v>
      </c>
      <c r="AM296" s="183">
        <v>1149</v>
      </c>
    </row>
    <row r="297" spans="1:39" s="2" customFormat="1" ht="20.6">
      <c r="A297" s="179" t="s">
        <v>7</v>
      </c>
      <c r="B297" s="238" t="s">
        <v>163</v>
      </c>
      <c r="C297" s="164" t="s">
        <v>1708</v>
      </c>
      <c r="D297" s="236" t="s">
        <v>1710</v>
      </c>
      <c r="E297" s="180">
        <v>104.64</v>
      </c>
      <c r="F297" s="181">
        <v>104.64</v>
      </c>
      <c r="G297" s="182">
        <v>104.64</v>
      </c>
      <c r="H297" s="180">
        <v>104.64</v>
      </c>
      <c r="I297" s="181">
        <v>104.64</v>
      </c>
      <c r="J297" s="182">
        <v>104.64</v>
      </c>
      <c r="K297" s="180">
        <v>104.64</v>
      </c>
      <c r="L297" s="181">
        <v>104.64</v>
      </c>
      <c r="M297" s="182">
        <v>104.64</v>
      </c>
      <c r="N297" s="180">
        <v>104.64</v>
      </c>
      <c r="O297" s="181">
        <v>104.64</v>
      </c>
      <c r="P297" s="182">
        <v>104.64</v>
      </c>
      <c r="Q297" s="180">
        <v>104.64</v>
      </c>
      <c r="R297" s="181">
        <v>104.64</v>
      </c>
      <c r="S297" s="182">
        <v>104.64</v>
      </c>
      <c r="T297" s="180">
        <v>104.64</v>
      </c>
      <c r="U297" s="181">
        <v>104.64</v>
      </c>
      <c r="V297" s="182">
        <v>104.64</v>
      </c>
      <c r="W297" s="180">
        <v>104.64</v>
      </c>
      <c r="X297" s="181">
        <v>104.64</v>
      </c>
      <c r="Y297" s="182">
        <v>104.64</v>
      </c>
      <c r="Z297" s="180">
        <v>104.64</v>
      </c>
      <c r="AA297" s="181">
        <v>104.64</v>
      </c>
      <c r="AB297" s="182">
        <v>104.64</v>
      </c>
      <c r="AC297" s="180">
        <v>104.64</v>
      </c>
      <c r="AD297" s="181">
        <v>104.64</v>
      </c>
      <c r="AE297" s="182">
        <v>104.64</v>
      </c>
      <c r="AF297" s="180">
        <v>104.64</v>
      </c>
      <c r="AG297" s="181">
        <v>104.64</v>
      </c>
      <c r="AH297" s="182">
        <v>104.64</v>
      </c>
      <c r="AI297" s="168" t="s">
        <v>4213</v>
      </c>
      <c r="AJ297" s="169" t="s">
        <v>2491</v>
      </c>
      <c r="AK297" s="170" t="s">
        <v>2477</v>
      </c>
      <c r="AL297" s="169" t="s">
        <v>2479</v>
      </c>
      <c r="AM297" s="183">
        <v>1414</v>
      </c>
    </row>
    <row r="298" spans="1:39" s="2" customFormat="1">
      <c r="A298" s="179" t="s">
        <v>7</v>
      </c>
      <c r="B298" s="238" t="s">
        <v>163</v>
      </c>
      <c r="C298" s="164" t="s">
        <v>1088</v>
      </c>
      <c r="D298" s="236" t="s">
        <v>1089</v>
      </c>
      <c r="E298" s="180">
        <v>200</v>
      </c>
      <c r="F298" s="181">
        <v>200</v>
      </c>
      <c r="G298" s="182">
        <v>200</v>
      </c>
      <c r="H298" s="180">
        <v>200</v>
      </c>
      <c r="I298" s="181">
        <v>200</v>
      </c>
      <c r="J298" s="182">
        <v>200</v>
      </c>
      <c r="K298" s="180">
        <v>200</v>
      </c>
      <c r="L298" s="181">
        <v>200</v>
      </c>
      <c r="M298" s="182">
        <v>200</v>
      </c>
      <c r="N298" s="180">
        <v>200</v>
      </c>
      <c r="O298" s="181">
        <v>200</v>
      </c>
      <c r="P298" s="182">
        <v>200</v>
      </c>
      <c r="Q298" s="180">
        <v>200</v>
      </c>
      <c r="R298" s="181">
        <v>200</v>
      </c>
      <c r="S298" s="182">
        <v>200</v>
      </c>
      <c r="T298" s="180">
        <v>200</v>
      </c>
      <c r="U298" s="181">
        <v>200</v>
      </c>
      <c r="V298" s="182">
        <v>200</v>
      </c>
      <c r="W298" s="180">
        <v>200</v>
      </c>
      <c r="X298" s="181">
        <v>200</v>
      </c>
      <c r="Y298" s="182">
        <v>200</v>
      </c>
      <c r="Z298" s="180">
        <v>200</v>
      </c>
      <c r="AA298" s="181">
        <v>200</v>
      </c>
      <c r="AB298" s="182">
        <v>200</v>
      </c>
      <c r="AC298" s="180">
        <v>200</v>
      </c>
      <c r="AD298" s="181">
        <v>200</v>
      </c>
      <c r="AE298" s="182">
        <v>200</v>
      </c>
      <c r="AF298" s="180">
        <v>200</v>
      </c>
      <c r="AG298" s="181">
        <v>200</v>
      </c>
      <c r="AH298" s="182">
        <v>200</v>
      </c>
      <c r="AI298" s="168" t="s">
        <v>654</v>
      </c>
      <c r="AJ298" s="169" t="s">
        <v>2491</v>
      </c>
      <c r="AK298" s="170" t="s">
        <v>2477</v>
      </c>
      <c r="AL298" s="169" t="s">
        <v>2479</v>
      </c>
      <c r="AM298" s="183">
        <v>1854</v>
      </c>
    </row>
    <row r="299" spans="1:39" s="2" customFormat="1">
      <c r="A299" s="179" t="s">
        <v>7</v>
      </c>
      <c r="B299" s="238" t="s">
        <v>163</v>
      </c>
      <c r="C299" s="164" t="s">
        <v>1088</v>
      </c>
      <c r="D299" s="236" t="s">
        <v>1090</v>
      </c>
      <c r="E299" s="180">
        <v>200</v>
      </c>
      <c r="F299" s="181">
        <v>200</v>
      </c>
      <c r="G299" s="182">
        <v>200</v>
      </c>
      <c r="H299" s="180">
        <v>200</v>
      </c>
      <c r="I299" s="181">
        <v>200</v>
      </c>
      <c r="J299" s="182">
        <v>200</v>
      </c>
      <c r="K299" s="180">
        <v>200</v>
      </c>
      <c r="L299" s="181">
        <v>200</v>
      </c>
      <c r="M299" s="182">
        <v>200</v>
      </c>
      <c r="N299" s="180">
        <v>200</v>
      </c>
      <c r="O299" s="181">
        <v>200</v>
      </c>
      <c r="P299" s="182">
        <v>200</v>
      </c>
      <c r="Q299" s="180">
        <v>200</v>
      </c>
      <c r="R299" s="181">
        <v>200</v>
      </c>
      <c r="S299" s="182">
        <v>200</v>
      </c>
      <c r="T299" s="180">
        <v>200</v>
      </c>
      <c r="U299" s="181">
        <v>200</v>
      </c>
      <c r="V299" s="182">
        <v>200</v>
      </c>
      <c r="W299" s="180">
        <v>200</v>
      </c>
      <c r="X299" s="181">
        <v>200</v>
      </c>
      <c r="Y299" s="182">
        <v>200</v>
      </c>
      <c r="Z299" s="180">
        <v>200</v>
      </c>
      <c r="AA299" s="181">
        <v>200</v>
      </c>
      <c r="AB299" s="182">
        <v>200</v>
      </c>
      <c r="AC299" s="180">
        <v>200</v>
      </c>
      <c r="AD299" s="181">
        <v>200</v>
      </c>
      <c r="AE299" s="182">
        <v>200</v>
      </c>
      <c r="AF299" s="180">
        <v>200</v>
      </c>
      <c r="AG299" s="181">
        <v>200</v>
      </c>
      <c r="AH299" s="182">
        <v>200</v>
      </c>
      <c r="AI299" s="168" t="s">
        <v>654</v>
      </c>
      <c r="AJ299" s="169" t="s">
        <v>2491</v>
      </c>
      <c r="AK299" s="170" t="s">
        <v>2477</v>
      </c>
      <c r="AL299" s="169" t="s">
        <v>2479</v>
      </c>
      <c r="AM299" s="183">
        <v>1854</v>
      </c>
    </row>
    <row r="300" spans="1:39" s="2" customFormat="1">
      <c r="A300" s="179" t="s">
        <v>423</v>
      </c>
      <c r="B300" s="238" t="s">
        <v>163</v>
      </c>
      <c r="C300" s="164" t="s">
        <v>1912</v>
      </c>
      <c r="D300" s="236" t="s">
        <v>4215</v>
      </c>
      <c r="E300" s="180">
        <v>510</v>
      </c>
      <c r="F300" s="181">
        <v>510</v>
      </c>
      <c r="G300" s="182">
        <v>475</v>
      </c>
      <c r="H300" s="180">
        <v>510</v>
      </c>
      <c r="I300" s="181">
        <v>510</v>
      </c>
      <c r="J300" s="182">
        <v>475</v>
      </c>
      <c r="K300" s="180">
        <v>510</v>
      </c>
      <c r="L300" s="181">
        <v>510</v>
      </c>
      <c r="M300" s="182">
        <v>475</v>
      </c>
      <c r="N300" s="180">
        <v>510</v>
      </c>
      <c r="O300" s="181">
        <v>510</v>
      </c>
      <c r="P300" s="182">
        <v>475</v>
      </c>
      <c r="Q300" s="180">
        <v>510</v>
      </c>
      <c r="R300" s="181">
        <v>510</v>
      </c>
      <c r="S300" s="182">
        <v>475</v>
      </c>
      <c r="T300" s="180">
        <v>510</v>
      </c>
      <c r="U300" s="181">
        <v>510</v>
      </c>
      <c r="V300" s="182">
        <v>475</v>
      </c>
      <c r="W300" s="180">
        <v>510</v>
      </c>
      <c r="X300" s="181">
        <v>510</v>
      </c>
      <c r="Y300" s="182">
        <v>475</v>
      </c>
      <c r="Z300" s="180">
        <v>510</v>
      </c>
      <c r="AA300" s="181">
        <v>510</v>
      </c>
      <c r="AB300" s="182">
        <v>475</v>
      </c>
      <c r="AC300" s="180">
        <v>510</v>
      </c>
      <c r="AD300" s="181">
        <v>510</v>
      </c>
      <c r="AE300" s="182">
        <v>475</v>
      </c>
      <c r="AF300" s="180">
        <v>510</v>
      </c>
      <c r="AG300" s="181">
        <v>510</v>
      </c>
      <c r="AH300" s="182">
        <v>475</v>
      </c>
      <c r="AI300" s="168" t="s">
        <v>1277</v>
      </c>
      <c r="AJ300" s="169" t="s">
        <v>2639</v>
      </c>
      <c r="AK300" s="170" t="s">
        <v>2556</v>
      </c>
      <c r="AL300" s="169" t="s">
        <v>15</v>
      </c>
      <c r="AM300" s="183">
        <v>1150</v>
      </c>
    </row>
    <row r="301" spans="1:39" s="2" customFormat="1">
      <c r="A301" s="179" t="s">
        <v>423</v>
      </c>
      <c r="B301" s="238" t="s">
        <v>163</v>
      </c>
      <c r="C301" s="164" t="s">
        <v>1915</v>
      </c>
      <c r="D301" s="236" t="s">
        <v>4249</v>
      </c>
      <c r="E301" s="180">
        <v>99.96</v>
      </c>
      <c r="F301" s="181">
        <v>99.96</v>
      </c>
      <c r="G301" s="182">
        <v>99.96</v>
      </c>
      <c r="H301" s="180">
        <v>99.96</v>
      </c>
      <c r="I301" s="181">
        <v>99.96</v>
      </c>
      <c r="J301" s="182">
        <v>99.96</v>
      </c>
      <c r="K301" s="180">
        <v>99.96</v>
      </c>
      <c r="L301" s="181">
        <v>99.96</v>
      </c>
      <c r="M301" s="182">
        <v>99.96</v>
      </c>
      <c r="N301" s="180">
        <v>99.96</v>
      </c>
      <c r="O301" s="181">
        <v>99.96</v>
      </c>
      <c r="P301" s="182">
        <v>99.96</v>
      </c>
      <c r="Q301" s="180">
        <v>99.96</v>
      </c>
      <c r="R301" s="181">
        <v>99.96</v>
      </c>
      <c r="S301" s="182">
        <v>99.96</v>
      </c>
      <c r="T301" s="180">
        <v>99.96</v>
      </c>
      <c r="U301" s="181">
        <v>99.96</v>
      </c>
      <c r="V301" s="182">
        <v>99.96</v>
      </c>
      <c r="W301" s="180">
        <v>99.96</v>
      </c>
      <c r="X301" s="181">
        <v>99.96</v>
      </c>
      <c r="Y301" s="182">
        <v>99.96</v>
      </c>
      <c r="Z301" s="180">
        <v>99.96</v>
      </c>
      <c r="AA301" s="181">
        <v>99.96</v>
      </c>
      <c r="AB301" s="182">
        <v>99.96</v>
      </c>
      <c r="AC301" s="180">
        <v>99.96</v>
      </c>
      <c r="AD301" s="181">
        <v>99.96</v>
      </c>
      <c r="AE301" s="182">
        <v>99.96</v>
      </c>
      <c r="AF301" s="180">
        <v>99.96</v>
      </c>
      <c r="AG301" s="181">
        <v>99.96</v>
      </c>
      <c r="AH301" s="182">
        <v>99.96</v>
      </c>
      <c r="AI301" s="168" t="s">
        <v>1916</v>
      </c>
      <c r="AJ301" s="169" t="s">
        <v>2491</v>
      </c>
      <c r="AK301" s="170" t="s">
        <v>2477</v>
      </c>
      <c r="AL301" s="169" t="s">
        <v>2479</v>
      </c>
      <c r="AM301" s="183">
        <v>1461</v>
      </c>
    </row>
    <row r="302" spans="1:39" s="2" customFormat="1">
      <c r="A302" s="179" t="s">
        <v>7</v>
      </c>
      <c r="B302" s="238" t="s">
        <v>163</v>
      </c>
      <c r="C302" s="164" t="s">
        <v>2264</v>
      </c>
      <c r="D302" s="236" t="s">
        <v>4251</v>
      </c>
      <c r="E302" s="180">
        <v>102.02500000000001</v>
      </c>
      <c r="F302" s="181">
        <v>102.02500000000001</v>
      </c>
      <c r="G302" s="182">
        <v>102.02500000000001</v>
      </c>
      <c r="H302" s="180">
        <v>102.02500000000001</v>
      </c>
      <c r="I302" s="181">
        <v>102.02500000000001</v>
      </c>
      <c r="J302" s="182">
        <v>102.02500000000001</v>
      </c>
      <c r="K302" s="180">
        <v>102.02500000000001</v>
      </c>
      <c r="L302" s="181">
        <v>102.02500000000001</v>
      </c>
      <c r="M302" s="182">
        <v>102.02500000000001</v>
      </c>
      <c r="N302" s="180">
        <v>102.02500000000001</v>
      </c>
      <c r="O302" s="181">
        <v>102.02500000000001</v>
      </c>
      <c r="P302" s="182">
        <v>102.02500000000001</v>
      </c>
      <c r="Q302" s="180">
        <v>102.02500000000001</v>
      </c>
      <c r="R302" s="181">
        <v>102.02500000000001</v>
      </c>
      <c r="S302" s="182">
        <v>102.02500000000001</v>
      </c>
      <c r="T302" s="180">
        <v>102.02500000000001</v>
      </c>
      <c r="U302" s="181">
        <v>102.02500000000001</v>
      </c>
      <c r="V302" s="182">
        <v>102.02500000000001</v>
      </c>
      <c r="W302" s="180">
        <v>102.02500000000001</v>
      </c>
      <c r="X302" s="181">
        <v>102.02500000000001</v>
      </c>
      <c r="Y302" s="182">
        <v>102.02500000000001</v>
      </c>
      <c r="Z302" s="180">
        <v>102.02500000000001</v>
      </c>
      <c r="AA302" s="181">
        <v>102.02500000000001</v>
      </c>
      <c r="AB302" s="182">
        <v>102.02500000000001</v>
      </c>
      <c r="AC302" s="180">
        <v>102.02500000000001</v>
      </c>
      <c r="AD302" s="181">
        <v>102.02500000000001</v>
      </c>
      <c r="AE302" s="182">
        <v>102.02500000000001</v>
      </c>
      <c r="AF302" s="180">
        <v>102.02500000000001</v>
      </c>
      <c r="AG302" s="181">
        <v>102.02500000000001</v>
      </c>
      <c r="AH302" s="182">
        <v>102.02500000000001</v>
      </c>
      <c r="AI302" s="168" t="s">
        <v>1388</v>
      </c>
      <c r="AJ302" s="169" t="s">
        <v>2476</v>
      </c>
      <c r="AK302" s="170" t="s">
        <v>2477</v>
      </c>
      <c r="AL302" s="169" t="s">
        <v>2479</v>
      </c>
      <c r="AM302" s="183">
        <v>1323</v>
      </c>
    </row>
    <row r="303" spans="1:39" s="2" customFormat="1">
      <c r="A303" s="179" t="s">
        <v>309</v>
      </c>
      <c r="B303" s="238" t="s">
        <v>163</v>
      </c>
      <c r="C303" s="164" t="s">
        <v>1437</v>
      </c>
      <c r="D303" s="236" t="s">
        <v>1439</v>
      </c>
      <c r="E303" s="180">
        <v>54.99</v>
      </c>
      <c r="F303" s="181">
        <v>53.43</v>
      </c>
      <c r="G303" s="182">
        <v>52.311999999999998</v>
      </c>
      <c r="H303" s="180">
        <v>54.99</v>
      </c>
      <c r="I303" s="181">
        <v>53.43</v>
      </c>
      <c r="J303" s="182">
        <v>52.311999999999998</v>
      </c>
      <c r="K303" s="180">
        <v>54.99</v>
      </c>
      <c r="L303" s="181">
        <v>53.43</v>
      </c>
      <c r="M303" s="182">
        <v>52.311999999999998</v>
      </c>
      <c r="N303" s="180">
        <v>54.99</v>
      </c>
      <c r="O303" s="181">
        <v>53.43</v>
      </c>
      <c r="P303" s="182">
        <v>52.311999999999998</v>
      </c>
      <c r="Q303" s="180">
        <v>54.99</v>
      </c>
      <c r="R303" s="181">
        <v>53.43</v>
      </c>
      <c r="S303" s="182">
        <v>52.311999999999998</v>
      </c>
      <c r="T303" s="180">
        <v>54.99</v>
      </c>
      <c r="U303" s="181">
        <v>53.43</v>
      </c>
      <c r="V303" s="182">
        <v>52.311999999999998</v>
      </c>
      <c r="W303" s="180">
        <v>54.99</v>
      </c>
      <c r="X303" s="181">
        <v>53.43</v>
      </c>
      <c r="Y303" s="182">
        <v>52.311999999999998</v>
      </c>
      <c r="Z303" s="180">
        <v>54.99</v>
      </c>
      <c r="AA303" s="181">
        <v>53.43</v>
      </c>
      <c r="AB303" s="182">
        <v>52.311999999999998</v>
      </c>
      <c r="AC303" s="180">
        <v>54.99</v>
      </c>
      <c r="AD303" s="181">
        <v>53.43</v>
      </c>
      <c r="AE303" s="182">
        <v>52.311999999999998</v>
      </c>
      <c r="AF303" s="180">
        <v>54.99</v>
      </c>
      <c r="AG303" s="181">
        <v>53.43</v>
      </c>
      <c r="AH303" s="182">
        <v>52.311999999999998</v>
      </c>
      <c r="AI303" s="168" t="s">
        <v>1438</v>
      </c>
      <c r="AJ303" s="169" t="s">
        <v>2491</v>
      </c>
      <c r="AK303" s="170" t="s">
        <v>2477</v>
      </c>
      <c r="AL303" s="169" t="s">
        <v>2479</v>
      </c>
      <c r="AM303" s="183">
        <v>1591</v>
      </c>
    </row>
    <row r="304" spans="1:39" s="2" customFormat="1">
      <c r="A304" s="179" t="s">
        <v>309</v>
      </c>
      <c r="B304" s="238" t="s">
        <v>163</v>
      </c>
      <c r="C304" s="164" t="s">
        <v>1754</v>
      </c>
      <c r="D304" s="236" t="s">
        <v>4252</v>
      </c>
      <c r="E304" s="180">
        <v>173</v>
      </c>
      <c r="F304" s="181">
        <v>150</v>
      </c>
      <c r="G304" s="182">
        <v>144</v>
      </c>
      <c r="H304" s="180">
        <v>173</v>
      </c>
      <c r="I304" s="181">
        <v>150</v>
      </c>
      <c r="J304" s="182">
        <v>144</v>
      </c>
      <c r="K304" s="180">
        <v>173</v>
      </c>
      <c r="L304" s="181">
        <v>150</v>
      </c>
      <c r="M304" s="182">
        <v>144</v>
      </c>
      <c r="N304" s="180">
        <v>173</v>
      </c>
      <c r="O304" s="181">
        <v>150</v>
      </c>
      <c r="P304" s="182">
        <v>144</v>
      </c>
      <c r="Q304" s="180">
        <v>173</v>
      </c>
      <c r="R304" s="181">
        <v>150</v>
      </c>
      <c r="S304" s="182">
        <v>144</v>
      </c>
      <c r="T304" s="180">
        <v>173</v>
      </c>
      <c r="U304" s="181">
        <v>150</v>
      </c>
      <c r="V304" s="182">
        <v>144</v>
      </c>
      <c r="W304" s="180">
        <v>173</v>
      </c>
      <c r="X304" s="181">
        <v>150</v>
      </c>
      <c r="Y304" s="182">
        <v>144</v>
      </c>
      <c r="Z304" s="180">
        <v>173</v>
      </c>
      <c r="AA304" s="181">
        <v>150</v>
      </c>
      <c r="AB304" s="182">
        <v>144</v>
      </c>
      <c r="AC304" s="180">
        <v>173</v>
      </c>
      <c r="AD304" s="181">
        <v>150</v>
      </c>
      <c r="AE304" s="182">
        <v>144</v>
      </c>
      <c r="AF304" s="180">
        <v>173</v>
      </c>
      <c r="AG304" s="181">
        <v>150</v>
      </c>
      <c r="AH304" s="182">
        <v>144</v>
      </c>
      <c r="AI304" s="168" t="s">
        <v>1755</v>
      </c>
      <c r="AJ304" s="169" t="s">
        <v>2555</v>
      </c>
      <c r="AK304" s="170" t="s">
        <v>2556</v>
      </c>
      <c r="AL304" s="169" t="s">
        <v>14</v>
      </c>
      <c r="AM304" s="183">
        <v>1433</v>
      </c>
    </row>
    <row r="305" spans="1:39" s="2" customFormat="1">
      <c r="A305" s="179" t="s">
        <v>309</v>
      </c>
      <c r="B305" s="238" t="s">
        <v>163</v>
      </c>
      <c r="C305" s="164" t="s">
        <v>1754</v>
      </c>
      <c r="D305" s="236" t="s">
        <v>4253</v>
      </c>
      <c r="E305" s="180">
        <v>173</v>
      </c>
      <c r="F305" s="181">
        <v>150</v>
      </c>
      <c r="G305" s="182">
        <v>144</v>
      </c>
      <c r="H305" s="180">
        <v>173</v>
      </c>
      <c r="I305" s="181">
        <v>150</v>
      </c>
      <c r="J305" s="182">
        <v>144</v>
      </c>
      <c r="K305" s="180">
        <v>173</v>
      </c>
      <c r="L305" s="181">
        <v>150</v>
      </c>
      <c r="M305" s="182">
        <v>144</v>
      </c>
      <c r="N305" s="180">
        <v>173</v>
      </c>
      <c r="O305" s="181">
        <v>150</v>
      </c>
      <c r="P305" s="182">
        <v>144</v>
      </c>
      <c r="Q305" s="180">
        <v>173</v>
      </c>
      <c r="R305" s="181">
        <v>150</v>
      </c>
      <c r="S305" s="182">
        <v>144</v>
      </c>
      <c r="T305" s="180">
        <v>173</v>
      </c>
      <c r="U305" s="181">
        <v>150</v>
      </c>
      <c r="V305" s="182">
        <v>144</v>
      </c>
      <c r="W305" s="180">
        <v>173</v>
      </c>
      <c r="X305" s="181">
        <v>150</v>
      </c>
      <c r="Y305" s="182">
        <v>144</v>
      </c>
      <c r="Z305" s="180">
        <v>173</v>
      </c>
      <c r="AA305" s="181">
        <v>150</v>
      </c>
      <c r="AB305" s="182">
        <v>144</v>
      </c>
      <c r="AC305" s="180">
        <v>173</v>
      </c>
      <c r="AD305" s="181">
        <v>150</v>
      </c>
      <c r="AE305" s="182">
        <v>144</v>
      </c>
      <c r="AF305" s="180">
        <v>173</v>
      </c>
      <c r="AG305" s="181">
        <v>150</v>
      </c>
      <c r="AH305" s="182">
        <v>144</v>
      </c>
      <c r="AI305" s="168" t="s">
        <v>1755</v>
      </c>
      <c r="AJ305" s="169" t="s">
        <v>2555</v>
      </c>
      <c r="AK305" s="170" t="s">
        <v>2556</v>
      </c>
      <c r="AL305" s="169" t="s">
        <v>14</v>
      </c>
      <c r="AM305" s="183">
        <v>1433</v>
      </c>
    </row>
    <row r="306" spans="1:39" s="2" customFormat="1">
      <c r="A306" s="179" t="s">
        <v>309</v>
      </c>
      <c r="B306" s="238" t="s">
        <v>163</v>
      </c>
      <c r="C306" s="164" t="s">
        <v>4254</v>
      </c>
      <c r="D306" s="236" t="s">
        <v>4256</v>
      </c>
      <c r="E306" s="180">
        <v>25</v>
      </c>
      <c r="F306" s="181">
        <v>24.22</v>
      </c>
      <c r="G306" s="182">
        <v>23.1</v>
      </c>
      <c r="H306" s="180">
        <v>25</v>
      </c>
      <c r="I306" s="181">
        <v>24.22</v>
      </c>
      <c r="J306" s="182">
        <v>23.1</v>
      </c>
      <c r="K306" s="180">
        <v>25</v>
      </c>
      <c r="L306" s="181">
        <v>24.22</v>
      </c>
      <c r="M306" s="182">
        <v>23.1</v>
      </c>
      <c r="N306" s="180">
        <v>25</v>
      </c>
      <c r="O306" s="181">
        <v>24.22</v>
      </c>
      <c r="P306" s="182">
        <v>23.1</v>
      </c>
      <c r="Q306" s="180">
        <v>25</v>
      </c>
      <c r="R306" s="181">
        <v>24.22</v>
      </c>
      <c r="S306" s="182">
        <v>23.1</v>
      </c>
      <c r="T306" s="180">
        <v>25</v>
      </c>
      <c r="U306" s="181">
        <v>24.22</v>
      </c>
      <c r="V306" s="182">
        <v>23.1</v>
      </c>
      <c r="W306" s="180">
        <v>25</v>
      </c>
      <c r="X306" s="181">
        <v>24.22</v>
      </c>
      <c r="Y306" s="182">
        <v>23.1</v>
      </c>
      <c r="Z306" s="180">
        <v>25</v>
      </c>
      <c r="AA306" s="181">
        <v>24.22</v>
      </c>
      <c r="AB306" s="182">
        <v>23.1</v>
      </c>
      <c r="AC306" s="180">
        <v>25</v>
      </c>
      <c r="AD306" s="181">
        <v>24.22</v>
      </c>
      <c r="AE306" s="182">
        <v>23.1</v>
      </c>
      <c r="AF306" s="180">
        <v>25</v>
      </c>
      <c r="AG306" s="181">
        <v>24.22</v>
      </c>
      <c r="AH306" s="182">
        <v>23.1</v>
      </c>
      <c r="AI306" s="168" t="s">
        <v>4255</v>
      </c>
      <c r="AJ306" s="169" t="s">
        <v>2476</v>
      </c>
      <c r="AK306" s="170" t="s">
        <v>2477</v>
      </c>
      <c r="AL306" s="169" t="s">
        <v>2479</v>
      </c>
      <c r="AM306" s="183">
        <v>1386</v>
      </c>
    </row>
    <row r="307" spans="1:39" s="2" customFormat="1">
      <c r="A307" s="179" t="s">
        <v>423</v>
      </c>
      <c r="B307" s="238" t="s">
        <v>163</v>
      </c>
      <c r="C307" s="164" t="s">
        <v>4257</v>
      </c>
      <c r="D307" s="236" t="s">
        <v>4259</v>
      </c>
      <c r="E307" s="180">
        <v>63.008000000000003</v>
      </c>
      <c r="F307" s="181">
        <v>63.008000000000003</v>
      </c>
      <c r="G307" s="182">
        <v>40.991999999999997</v>
      </c>
      <c r="H307" s="180">
        <v>63.008000000000003</v>
      </c>
      <c r="I307" s="181">
        <v>63.008000000000003</v>
      </c>
      <c r="J307" s="182">
        <v>40.991999999999997</v>
      </c>
      <c r="K307" s="180">
        <v>63.008000000000003</v>
      </c>
      <c r="L307" s="181">
        <v>63.008000000000003</v>
      </c>
      <c r="M307" s="182">
        <v>40.991999999999997</v>
      </c>
      <c r="N307" s="180">
        <v>63.008000000000003</v>
      </c>
      <c r="O307" s="181">
        <v>63.008000000000003</v>
      </c>
      <c r="P307" s="182">
        <v>40.991999999999997</v>
      </c>
      <c r="Q307" s="180">
        <v>63.008000000000003</v>
      </c>
      <c r="R307" s="181">
        <v>63.008000000000003</v>
      </c>
      <c r="S307" s="182">
        <v>40.991999999999997</v>
      </c>
      <c r="T307" s="180">
        <v>63.008000000000003</v>
      </c>
      <c r="U307" s="181">
        <v>63.008000000000003</v>
      </c>
      <c r="V307" s="182">
        <v>40.991999999999997</v>
      </c>
      <c r="W307" s="180">
        <v>63.008000000000003</v>
      </c>
      <c r="X307" s="181">
        <v>63.008000000000003</v>
      </c>
      <c r="Y307" s="182">
        <v>40.991999999999997</v>
      </c>
      <c r="Z307" s="180">
        <v>63.008000000000003</v>
      </c>
      <c r="AA307" s="181">
        <v>63.008000000000003</v>
      </c>
      <c r="AB307" s="182">
        <v>40.991999999999997</v>
      </c>
      <c r="AC307" s="180">
        <v>63.008000000000003</v>
      </c>
      <c r="AD307" s="181">
        <v>63.008000000000003</v>
      </c>
      <c r="AE307" s="182">
        <v>40.991999999999997</v>
      </c>
      <c r="AF307" s="180">
        <v>63.008000000000003</v>
      </c>
      <c r="AG307" s="181">
        <v>63.008000000000003</v>
      </c>
      <c r="AH307" s="182">
        <v>40.991999999999997</v>
      </c>
      <c r="AI307" s="168" t="s">
        <v>4258</v>
      </c>
      <c r="AJ307" s="169" t="s">
        <v>2485</v>
      </c>
      <c r="AK307" s="170" t="s">
        <v>2486</v>
      </c>
      <c r="AL307" s="169" t="s">
        <v>17</v>
      </c>
      <c r="AM307" s="183">
        <v>1152</v>
      </c>
    </row>
    <row r="308" spans="1:39" s="2" customFormat="1">
      <c r="A308" s="179" t="s">
        <v>7</v>
      </c>
      <c r="B308" s="238" t="s">
        <v>2463</v>
      </c>
      <c r="C308" s="164" t="s">
        <v>210</v>
      </c>
      <c r="D308" s="236" t="s">
        <v>5182</v>
      </c>
      <c r="E308" s="180">
        <v>0</v>
      </c>
      <c r="F308" s="181">
        <v>0</v>
      </c>
      <c r="G308" s="182">
        <v>0</v>
      </c>
      <c r="H308" s="180">
        <v>414.84800000000001</v>
      </c>
      <c r="I308" s="181">
        <v>414.84800000000001</v>
      </c>
      <c r="J308" s="182">
        <v>373.63200000000001</v>
      </c>
      <c r="K308" s="180">
        <v>414.84800000000001</v>
      </c>
      <c r="L308" s="181">
        <v>414.84800000000001</v>
      </c>
      <c r="M308" s="182">
        <v>373.63200000000001</v>
      </c>
      <c r="N308" s="180">
        <v>414.84800000000001</v>
      </c>
      <c r="O308" s="181">
        <v>414.84800000000001</v>
      </c>
      <c r="P308" s="182">
        <v>373.63200000000001</v>
      </c>
      <c r="Q308" s="180">
        <v>414.84800000000001</v>
      </c>
      <c r="R308" s="181">
        <v>414.84800000000001</v>
      </c>
      <c r="S308" s="182">
        <v>373.63200000000001</v>
      </c>
      <c r="T308" s="180">
        <v>414.84800000000001</v>
      </c>
      <c r="U308" s="181">
        <v>414.84800000000001</v>
      </c>
      <c r="V308" s="182">
        <v>373.63200000000001</v>
      </c>
      <c r="W308" s="180">
        <v>414.84800000000001</v>
      </c>
      <c r="X308" s="181">
        <v>414.84800000000001</v>
      </c>
      <c r="Y308" s="182">
        <v>373.63200000000001</v>
      </c>
      <c r="Z308" s="180">
        <v>414.84800000000001</v>
      </c>
      <c r="AA308" s="181">
        <v>414.84800000000001</v>
      </c>
      <c r="AB308" s="182">
        <v>373.63200000000001</v>
      </c>
      <c r="AC308" s="180">
        <v>414.84800000000001</v>
      </c>
      <c r="AD308" s="181">
        <v>414.84800000000001</v>
      </c>
      <c r="AE308" s="182">
        <v>373.63200000000001</v>
      </c>
      <c r="AF308" s="180">
        <v>414.84800000000001</v>
      </c>
      <c r="AG308" s="181">
        <v>414.84800000000001</v>
      </c>
      <c r="AH308" s="182">
        <v>373.63200000000001</v>
      </c>
      <c r="AI308" s="168" t="s">
        <v>211</v>
      </c>
      <c r="AJ308" s="169" t="s">
        <v>2466</v>
      </c>
      <c r="AK308" s="170" t="s">
        <v>2467</v>
      </c>
      <c r="AL308" s="169" t="s">
        <v>20</v>
      </c>
      <c r="AM308" s="183">
        <v>2015</v>
      </c>
    </row>
    <row r="309" spans="1:39" s="2" customFormat="1">
      <c r="A309" s="179" t="s">
        <v>380</v>
      </c>
      <c r="B309" s="238" t="s">
        <v>163</v>
      </c>
      <c r="C309" s="164" t="s">
        <v>752</v>
      </c>
      <c r="D309" s="236" t="s">
        <v>754</v>
      </c>
      <c r="E309" s="180">
        <v>189</v>
      </c>
      <c r="F309" s="181">
        <v>178</v>
      </c>
      <c r="G309" s="182">
        <v>175</v>
      </c>
      <c r="H309" s="180">
        <v>189</v>
      </c>
      <c r="I309" s="181">
        <v>178</v>
      </c>
      <c r="J309" s="182">
        <v>175</v>
      </c>
      <c r="K309" s="180">
        <v>189</v>
      </c>
      <c r="L309" s="181">
        <v>178</v>
      </c>
      <c r="M309" s="182">
        <v>175</v>
      </c>
      <c r="N309" s="180">
        <v>0</v>
      </c>
      <c r="O309" s="181">
        <v>0</v>
      </c>
      <c r="P309" s="182">
        <v>0</v>
      </c>
      <c r="Q309" s="180">
        <v>0</v>
      </c>
      <c r="R309" s="181">
        <v>0</v>
      </c>
      <c r="S309" s="182">
        <v>0</v>
      </c>
      <c r="T309" s="180">
        <v>0</v>
      </c>
      <c r="U309" s="181">
        <v>0</v>
      </c>
      <c r="V309" s="182">
        <v>0</v>
      </c>
      <c r="W309" s="180">
        <v>0</v>
      </c>
      <c r="X309" s="181">
        <v>0</v>
      </c>
      <c r="Y309" s="182">
        <v>0</v>
      </c>
      <c r="Z309" s="180">
        <v>0</v>
      </c>
      <c r="AA309" s="181">
        <v>0</v>
      </c>
      <c r="AB309" s="182">
        <v>0</v>
      </c>
      <c r="AC309" s="180">
        <v>0</v>
      </c>
      <c r="AD309" s="181">
        <v>0</v>
      </c>
      <c r="AE309" s="182">
        <v>0</v>
      </c>
      <c r="AF309" s="180">
        <v>0</v>
      </c>
      <c r="AG309" s="181">
        <v>0</v>
      </c>
      <c r="AH309" s="182">
        <v>0</v>
      </c>
      <c r="AI309" s="168" t="s">
        <v>753</v>
      </c>
      <c r="AJ309" s="169" t="s">
        <v>3100</v>
      </c>
      <c r="AK309" s="170" t="s">
        <v>2556</v>
      </c>
      <c r="AL309" s="169" t="s">
        <v>13</v>
      </c>
      <c r="AM309" s="183">
        <v>1154</v>
      </c>
    </row>
    <row r="310" spans="1:39" s="2" customFormat="1">
      <c r="A310" s="179" t="s">
        <v>7</v>
      </c>
      <c r="B310" s="238" t="s">
        <v>163</v>
      </c>
      <c r="C310" s="164" t="s">
        <v>2173</v>
      </c>
      <c r="D310" s="236" t="s">
        <v>4303</v>
      </c>
      <c r="E310" s="180">
        <v>49.5</v>
      </c>
      <c r="F310" s="181">
        <v>49.5</v>
      </c>
      <c r="G310" s="182">
        <v>49.5</v>
      </c>
      <c r="H310" s="180">
        <v>49.5</v>
      </c>
      <c r="I310" s="181">
        <v>49.5</v>
      </c>
      <c r="J310" s="182">
        <v>49.5</v>
      </c>
      <c r="K310" s="180">
        <v>49.5</v>
      </c>
      <c r="L310" s="181">
        <v>49.5</v>
      </c>
      <c r="M310" s="182">
        <v>49.5</v>
      </c>
      <c r="N310" s="180">
        <v>49.5</v>
      </c>
      <c r="O310" s="181">
        <v>49.5</v>
      </c>
      <c r="P310" s="182">
        <v>49.5</v>
      </c>
      <c r="Q310" s="180">
        <v>49.5</v>
      </c>
      <c r="R310" s="181">
        <v>49.5</v>
      </c>
      <c r="S310" s="182">
        <v>49.5</v>
      </c>
      <c r="T310" s="180">
        <v>49.5</v>
      </c>
      <c r="U310" s="181">
        <v>49.5</v>
      </c>
      <c r="V310" s="182">
        <v>49.5</v>
      </c>
      <c r="W310" s="180">
        <v>49.5</v>
      </c>
      <c r="X310" s="181">
        <v>49.5</v>
      </c>
      <c r="Y310" s="182">
        <v>49.5</v>
      </c>
      <c r="Z310" s="180">
        <v>49.5</v>
      </c>
      <c r="AA310" s="181">
        <v>49.5</v>
      </c>
      <c r="AB310" s="182">
        <v>49.5</v>
      </c>
      <c r="AC310" s="180">
        <v>49.5</v>
      </c>
      <c r="AD310" s="181">
        <v>49.5</v>
      </c>
      <c r="AE310" s="182">
        <v>49.5</v>
      </c>
      <c r="AF310" s="180">
        <v>49.5</v>
      </c>
      <c r="AG310" s="181">
        <v>49.5</v>
      </c>
      <c r="AH310" s="182">
        <v>49.5</v>
      </c>
      <c r="AI310" s="168" t="s">
        <v>4302</v>
      </c>
      <c r="AJ310" s="169" t="s">
        <v>2491</v>
      </c>
      <c r="AK310" s="170" t="s">
        <v>2477</v>
      </c>
      <c r="AL310" s="169" t="s">
        <v>2479</v>
      </c>
      <c r="AM310" s="183">
        <v>1402</v>
      </c>
    </row>
    <row r="311" spans="1:39" s="2" customFormat="1">
      <c r="A311" s="179" t="s">
        <v>380</v>
      </c>
      <c r="B311" s="238" t="s">
        <v>163</v>
      </c>
      <c r="C311" s="164" t="s">
        <v>1961</v>
      </c>
      <c r="D311" s="236" t="s">
        <v>4308</v>
      </c>
      <c r="E311" s="180">
        <v>498</v>
      </c>
      <c r="F311" s="181">
        <v>468</v>
      </c>
      <c r="G311" s="182">
        <v>416</v>
      </c>
      <c r="H311" s="180">
        <v>498</v>
      </c>
      <c r="I311" s="181">
        <v>468</v>
      </c>
      <c r="J311" s="182">
        <v>416</v>
      </c>
      <c r="K311" s="180">
        <v>498</v>
      </c>
      <c r="L311" s="181">
        <v>468</v>
      </c>
      <c r="M311" s="182">
        <v>416</v>
      </c>
      <c r="N311" s="180">
        <v>498</v>
      </c>
      <c r="O311" s="181">
        <v>468</v>
      </c>
      <c r="P311" s="182">
        <v>416</v>
      </c>
      <c r="Q311" s="180">
        <v>498</v>
      </c>
      <c r="R311" s="181">
        <v>468</v>
      </c>
      <c r="S311" s="182">
        <v>416</v>
      </c>
      <c r="T311" s="180">
        <v>498</v>
      </c>
      <c r="U311" s="181">
        <v>468</v>
      </c>
      <c r="V311" s="182">
        <v>416</v>
      </c>
      <c r="W311" s="180">
        <v>498</v>
      </c>
      <c r="X311" s="181">
        <v>468</v>
      </c>
      <c r="Y311" s="182">
        <v>416</v>
      </c>
      <c r="Z311" s="180">
        <v>498</v>
      </c>
      <c r="AA311" s="181">
        <v>468</v>
      </c>
      <c r="AB311" s="182">
        <v>416</v>
      </c>
      <c r="AC311" s="180">
        <v>498</v>
      </c>
      <c r="AD311" s="181">
        <v>468</v>
      </c>
      <c r="AE311" s="182">
        <v>416</v>
      </c>
      <c r="AF311" s="180">
        <v>498</v>
      </c>
      <c r="AG311" s="181">
        <v>468</v>
      </c>
      <c r="AH311" s="182">
        <v>416</v>
      </c>
      <c r="AI311" s="168" t="s">
        <v>4307</v>
      </c>
      <c r="AJ311" s="169" t="s">
        <v>3100</v>
      </c>
      <c r="AK311" s="170" t="s">
        <v>2556</v>
      </c>
      <c r="AL311" s="169" t="s">
        <v>13</v>
      </c>
      <c r="AM311" s="183">
        <v>1158</v>
      </c>
    </row>
    <row r="312" spans="1:39" s="2" customFormat="1">
      <c r="A312" s="179" t="s">
        <v>423</v>
      </c>
      <c r="B312" s="238" t="s">
        <v>163</v>
      </c>
      <c r="C312" s="164" t="s">
        <v>1342</v>
      </c>
      <c r="D312" s="236" t="s">
        <v>4315</v>
      </c>
      <c r="E312" s="180">
        <v>5</v>
      </c>
      <c r="F312" s="181">
        <v>5</v>
      </c>
      <c r="G312" s="182">
        <v>5</v>
      </c>
      <c r="H312" s="180">
        <v>5</v>
      </c>
      <c r="I312" s="181">
        <v>5</v>
      </c>
      <c r="J312" s="182">
        <v>5</v>
      </c>
      <c r="K312" s="180">
        <v>5</v>
      </c>
      <c r="L312" s="181">
        <v>5</v>
      </c>
      <c r="M312" s="182">
        <v>5</v>
      </c>
      <c r="N312" s="180">
        <v>5</v>
      </c>
      <c r="O312" s="181">
        <v>5</v>
      </c>
      <c r="P312" s="182">
        <v>5</v>
      </c>
      <c r="Q312" s="180">
        <v>5</v>
      </c>
      <c r="R312" s="181">
        <v>5</v>
      </c>
      <c r="S312" s="182">
        <v>5</v>
      </c>
      <c r="T312" s="180">
        <v>5</v>
      </c>
      <c r="U312" s="181">
        <v>5</v>
      </c>
      <c r="V312" s="182">
        <v>5</v>
      </c>
      <c r="W312" s="180">
        <v>5</v>
      </c>
      <c r="X312" s="181">
        <v>5</v>
      </c>
      <c r="Y312" s="182">
        <v>5</v>
      </c>
      <c r="Z312" s="180">
        <v>5</v>
      </c>
      <c r="AA312" s="181">
        <v>5</v>
      </c>
      <c r="AB312" s="182">
        <v>5</v>
      </c>
      <c r="AC312" s="180">
        <v>5</v>
      </c>
      <c r="AD312" s="181">
        <v>5</v>
      </c>
      <c r="AE312" s="182">
        <v>5</v>
      </c>
      <c r="AF312" s="180">
        <v>5</v>
      </c>
      <c r="AG312" s="181">
        <v>5</v>
      </c>
      <c r="AH312" s="182">
        <v>5</v>
      </c>
      <c r="AI312" s="168" t="s">
        <v>1291</v>
      </c>
      <c r="AJ312" s="169" t="s">
        <v>2466</v>
      </c>
      <c r="AK312" s="170" t="s">
        <v>2467</v>
      </c>
      <c r="AL312" s="169" t="s">
        <v>20</v>
      </c>
      <c r="AM312" s="183">
        <v>2425</v>
      </c>
    </row>
    <row r="313" spans="1:39" s="2" customFormat="1">
      <c r="A313" s="179" t="s">
        <v>565</v>
      </c>
      <c r="B313" s="238" t="s">
        <v>163</v>
      </c>
      <c r="C313" s="164" t="s">
        <v>4347</v>
      </c>
      <c r="D313" s="236" t="s">
        <v>4348</v>
      </c>
      <c r="E313" s="180">
        <v>114</v>
      </c>
      <c r="F313" s="181">
        <v>57</v>
      </c>
      <c r="G313" s="182">
        <v>57</v>
      </c>
      <c r="H313" s="180">
        <v>0</v>
      </c>
      <c r="I313" s="181">
        <v>114</v>
      </c>
      <c r="J313" s="182">
        <v>114</v>
      </c>
      <c r="K313" s="180">
        <v>0</v>
      </c>
      <c r="L313" s="181">
        <v>114</v>
      </c>
      <c r="M313" s="182">
        <v>114</v>
      </c>
      <c r="N313" s="180">
        <v>114</v>
      </c>
      <c r="O313" s="181">
        <v>114</v>
      </c>
      <c r="P313" s="182">
        <v>114</v>
      </c>
      <c r="Q313" s="180">
        <v>114</v>
      </c>
      <c r="R313" s="181">
        <v>57</v>
      </c>
      <c r="S313" s="182">
        <v>57</v>
      </c>
      <c r="T313" s="180">
        <v>57</v>
      </c>
      <c r="U313" s="181">
        <v>57</v>
      </c>
      <c r="V313" s="182">
        <v>57</v>
      </c>
      <c r="W313" s="180">
        <v>114</v>
      </c>
      <c r="X313" s="181">
        <v>114</v>
      </c>
      <c r="Y313" s="182">
        <v>114</v>
      </c>
      <c r="Z313" s="180">
        <v>114</v>
      </c>
      <c r="AA313" s="181">
        <v>114</v>
      </c>
      <c r="AB313" s="182">
        <v>114</v>
      </c>
      <c r="AC313" s="180">
        <v>114</v>
      </c>
      <c r="AD313" s="181">
        <v>114</v>
      </c>
      <c r="AE313" s="182">
        <v>114</v>
      </c>
      <c r="AF313" s="180">
        <v>114</v>
      </c>
      <c r="AG313" s="181">
        <v>114</v>
      </c>
      <c r="AH313" s="182">
        <v>114</v>
      </c>
      <c r="AI313" s="168" t="s">
        <v>1137</v>
      </c>
      <c r="AJ313" s="169" t="s">
        <v>2593</v>
      </c>
      <c r="AK313" s="170" t="s">
        <v>2482</v>
      </c>
      <c r="AL313" s="169" t="s">
        <v>18</v>
      </c>
      <c r="AM313" s="183">
        <v>1162</v>
      </c>
    </row>
    <row r="314" spans="1:39" s="2" customFormat="1">
      <c r="A314" s="179" t="s">
        <v>565</v>
      </c>
      <c r="B314" s="238" t="s">
        <v>163</v>
      </c>
      <c r="C314" s="164" t="s">
        <v>4347</v>
      </c>
      <c r="D314" s="236" t="s">
        <v>4349</v>
      </c>
      <c r="E314" s="180">
        <v>171</v>
      </c>
      <c r="F314" s="181">
        <v>228</v>
      </c>
      <c r="G314" s="182">
        <v>228</v>
      </c>
      <c r="H314" s="180">
        <v>0</v>
      </c>
      <c r="I314" s="181">
        <v>228</v>
      </c>
      <c r="J314" s="182">
        <v>228</v>
      </c>
      <c r="K314" s="180">
        <v>0</v>
      </c>
      <c r="L314" s="181">
        <v>171</v>
      </c>
      <c r="M314" s="182">
        <v>171</v>
      </c>
      <c r="N314" s="180">
        <v>228</v>
      </c>
      <c r="O314" s="181">
        <v>228</v>
      </c>
      <c r="P314" s="182">
        <v>228</v>
      </c>
      <c r="Q314" s="180">
        <v>228</v>
      </c>
      <c r="R314" s="181">
        <v>228</v>
      </c>
      <c r="S314" s="182">
        <v>228</v>
      </c>
      <c r="T314" s="180">
        <v>171</v>
      </c>
      <c r="U314" s="181">
        <v>228</v>
      </c>
      <c r="V314" s="182">
        <v>228</v>
      </c>
      <c r="W314" s="180">
        <v>171</v>
      </c>
      <c r="X314" s="181">
        <v>171</v>
      </c>
      <c r="Y314" s="182">
        <v>171</v>
      </c>
      <c r="Z314" s="180">
        <v>228</v>
      </c>
      <c r="AA314" s="181">
        <v>171</v>
      </c>
      <c r="AB314" s="182">
        <v>171</v>
      </c>
      <c r="AC314" s="180">
        <v>114</v>
      </c>
      <c r="AD314" s="181">
        <v>171</v>
      </c>
      <c r="AE314" s="182">
        <v>171</v>
      </c>
      <c r="AF314" s="180">
        <v>228</v>
      </c>
      <c r="AG314" s="181">
        <v>228</v>
      </c>
      <c r="AH314" s="182">
        <v>228</v>
      </c>
      <c r="AI314" s="168" t="s">
        <v>1137</v>
      </c>
      <c r="AJ314" s="169" t="s">
        <v>2593</v>
      </c>
      <c r="AK314" s="170" t="s">
        <v>2482</v>
      </c>
      <c r="AL314" s="169" t="s">
        <v>18</v>
      </c>
      <c r="AM314" s="183">
        <v>1162</v>
      </c>
    </row>
    <row r="315" spans="1:39" s="2" customFormat="1">
      <c r="A315" s="179" t="s">
        <v>380</v>
      </c>
      <c r="B315" s="238" t="s">
        <v>163</v>
      </c>
      <c r="C315" s="164" t="s">
        <v>1327</v>
      </c>
      <c r="D315" s="236" t="s">
        <v>4350</v>
      </c>
      <c r="E315" s="180">
        <v>77.004000000000005</v>
      </c>
      <c r="F315" s="181">
        <v>77.004000000000005</v>
      </c>
      <c r="G315" s="182">
        <v>77.004000000000005</v>
      </c>
      <c r="H315" s="180">
        <v>77.004000000000005</v>
      </c>
      <c r="I315" s="181">
        <v>77.004000000000005</v>
      </c>
      <c r="J315" s="182">
        <v>77.004000000000005</v>
      </c>
      <c r="K315" s="180">
        <v>77.004000000000005</v>
      </c>
      <c r="L315" s="181">
        <v>77.004000000000005</v>
      </c>
      <c r="M315" s="182">
        <v>77.004000000000005</v>
      </c>
      <c r="N315" s="180">
        <v>77.004000000000005</v>
      </c>
      <c r="O315" s="181">
        <v>77.004000000000005</v>
      </c>
      <c r="P315" s="182">
        <v>77.004000000000005</v>
      </c>
      <c r="Q315" s="180">
        <v>77.004000000000005</v>
      </c>
      <c r="R315" s="181">
        <v>77.004000000000005</v>
      </c>
      <c r="S315" s="182">
        <v>77.004000000000005</v>
      </c>
      <c r="T315" s="180">
        <v>77.004000000000005</v>
      </c>
      <c r="U315" s="181">
        <v>77.004000000000005</v>
      </c>
      <c r="V315" s="182">
        <v>77.004000000000005</v>
      </c>
      <c r="W315" s="180">
        <v>77.004000000000005</v>
      </c>
      <c r="X315" s="181">
        <v>77.004000000000005</v>
      </c>
      <c r="Y315" s="182">
        <v>77.004000000000005</v>
      </c>
      <c r="Z315" s="180">
        <v>77.004000000000005</v>
      </c>
      <c r="AA315" s="181">
        <v>77.004000000000005</v>
      </c>
      <c r="AB315" s="182">
        <v>77.004000000000005</v>
      </c>
      <c r="AC315" s="180">
        <v>77.004000000000005</v>
      </c>
      <c r="AD315" s="181">
        <v>77.004000000000005</v>
      </c>
      <c r="AE315" s="182">
        <v>77.004000000000005</v>
      </c>
      <c r="AF315" s="180">
        <v>77.004000000000005</v>
      </c>
      <c r="AG315" s="181">
        <v>77.004000000000005</v>
      </c>
      <c r="AH315" s="182">
        <v>77.004000000000005</v>
      </c>
      <c r="AI315" s="168" t="s">
        <v>1328</v>
      </c>
      <c r="AJ315" s="169" t="s">
        <v>2476</v>
      </c>
      <c r="AK315" s="170" t="s">
        <v>2477</v>
      </c>
      <c r="AL315" s="169" t="s">
        <v>2479</v>
      </c>
      <c r="AM315" s="183">
        <v>1392</v>
      </c>
    </row>
    <row r="316" spans="1:39" s="2" customFormat="1">
      <c r="A316" s="179" t="s">
        <v>380</v>
      </c>
      <c r="B316" s="238" t="s">
        <v>163</v>
      </c>
      <c r="C316" s="164" t="s">
        <v>1448</v>
      </c>
      <c r="D316" s="236" t="s">
        <v>4352</v>
      </c>
      <c r="E316" s="180">
        <v>201</v>
      </c>
      <c r="F316" s="181">
        <v>201</v>
      </c>
      <c r="G316" s="182">
        <v>201</v>
      </c>
      <c r="H316" s="180">
        <v>201</v>
      </c>
      <c r="I316" s="181">
        <v>201</v>
      </c>
      <c r="J316" s="182">
        <v>201</v>
      </c>
      <c r="K316" s="180">
        <v>201</v>
      </c>
      <c r="L316" s="181">
        <v>201</v>
      </c>
      <c r="M316" s="182">
        <v>201</v>
      </c>
      <c r="N316" s="180">
        <v>201</v>
      </c>
      <c r="O316" s="181">
        <v>201</v>
      </c>
      <c r="P316" s="182">
        <v>201</v>
      </c>
      <c r="Q316" s="180">
        <v>201</v>
      </c>
      <c r="R316" s="181">
        <v>201</v>
      </c>
      <c r="S316" s="182">
        <v>201</v>
      </c>
      <c r="T316" s="180">
        <v>201</v>
      </c>
      <c r="U316" s="181">
        <v>201</v>
      </c>
      <c r="V316" s="182">
        <v>201</v>
      </c>
      <c r="W316" s="180">
        <v>201</v>
      </c>
      <c r="X316" s="181">
        <v>201</v>
      </c>
      <c r="Y316" s="182">
        <v>201</v>
      </c>
      <c r="Z316" s="180">
        <v>201</v>
      </c>
      <c r="AA316" s="181">
        <v>201</v>
      </c>
      <c r="AB316" s="182">
        <v>201</v>
      </c>
      <c r="AC316" s="180">
        <v>201</v>
      </c>
      <c r="AD316" s="181">
        <v>201</v>
      </c>
      <c r="AE316" s="182">
        <v>201</v>
      </c>
      <c r="AF316" s="180">
        <v>201</v>
      </c>
      <c r="AG316" s="181">
        <v>201</v>
      </c>
      <c r="AH316" s="182">
        <v>201</v>
      </c>
      <c r="AI316" s="168" t="s">
        <v>1328</v>
      </c>
      <c r="AJ316" s="169" t="s">
        <v>2485</v>
      </c>
      <c r="AK316" s="170" t="s">
        <v>2486</v>
      </c>
      <c r="AL316" s="169" t="s">
        <v>17</v>
      </c>
      <c r="AM316" s="183">
        <v>1375</v>
      </c>
    </row>
    <row r="317" spans="1:39" s="2" customFormat="1">
      <c r="A317" s="179" t="s">
        <v>380</v>
      </c>
      <c r="B317" s="238" t="s">
        <v>163</v>
      </c>
      <c r="C317" s="164" t="s">
        <v>1114</v>
      </c>
      <c r="D317" s="236" t="s">
        <v>1115</v>
      </c>
      <c r="E317" s="180">
        <v>0</v>
      </c>
      <c r="F317" s="181">
        <v>0</v>
      </c>
      <c r="G317" s="182">
        <v>0</v>
      </c>
      <c r="H317" s="180">
        <v>0</v>
      </c>
      <c r="I317" s="181">
        <v>0</v>
      </c>
      <c r="J317" s="182">
        <v>0</v>
      </c>
      <c r="K317" s="180">
        <v>0</v>
      </c>
      <c r="L317" s="181">
        <v>0</v>
      </c>
      <c r="M317" s="182">
        <v>0</v>
      </c>
      <c r="N317" s="180">
        <v>0</v>
      </c>
      <c r="O317" s="181">
        <v>0</v>
      </c>
      <c r="P317" s="182">
        <v>0</v>
      </c>
      <c r="Q317" s="180">
        <v>0</v>
      </c>
      <c r="R317" s="181">
        <v>0</v>
      </c>
      <c r="S317" s="182">
        <v>0</v>
      </c>
      <c r="T317" s="180">
        <v>0</v>
      </c>
      <c r="U317" s="181">
        <v>0</v>
      </c>
      <c r="V317" s="182">
        <v>0</v>
      </c>
      <c r="W317" s="180">
        <v>0</v>
      </c>
      <c r="X317" s="181">
        <v>0</v>
      </c>
      <c r="Y317" s="182">
        <v>0</v>
      </c>
      <c r="Z317" s="180">
        <v>0</v>
      </c>
      <c r="AA317" s="181">
        <v>0</v>
      </c>
      <c r="AB317" s="182">
        <v>0</v>
      </c>
      <c r="AC317" s="180">
        <v>0</v>
      </c>
      <c r="AD317" s="181">
        <v>0</v>
      </c>
      <c r="AE317" s="182">
        <v>0</v>
      </c>
      <c r="AF317" s="180">
        <v>0</v>
      </c>
      <c r="AG317" s="181">
        <v>0</v>
      </c>
      <c r="AH317" s="182">
        <v>0</v>
      </c>
      <c r="AI317" s="168" t="s">
        <v>1045</v>
      </c>
      <c r="AJ317" s="169" t="s">
        <v>2555</v>
      </c>
      <c r="AK317" s="170" t="s">
        <v>2502</v>
      </c>
      <c r="AL317" s="169" t="s">
        <v>14</v>
      </c>
      <c r="AM317" s="183">
        <v>1163</v>
      </c>
    </row>
    <row r="318" spans="1:39" s="2" customFormat="1">
      <c r="A318" s="179" t="s">
        <v>380</v>
      </c>
      <c r="B318" s="238" t="s">
        <v>163</v>
      </c>
      <c r="C318" s="164" t="s">
        <v>1114</v>
      </c>
      <c r="D318" s="236" t="s">
        <v>1117</v>
      </c>
      <c r="E318" s="180">
        <v>0</v>
      </c>
      <c r="F318" s="181">
        <v>0</v>
      </c>
      <c r="G318" s="182">
        <v>0</v>
      </c>
      <c r="H318" s="180">
        <v>0</v>
      </c>
      <c r="I318" s="181">
        <v>0</v>
      </c>
      <c r="J318" s="182">
        <v>0</v>
      </c>
      <c r="K318" s="180">
        <v>0</v>
      </c>
      <c r="L318" s="181">
        <v>0</v>
      </c>
      <c r="M318" s="182">
        <v>0</v>
      </c>
      <c r="N318" s="180">
        <v>0</v>
      </c>
      <c r="O318" s="181">
        <v>0</v>
      </c>
      <c r="P318" s="182">
        <v>0</v>
      </c>
      <c r="Q318" s="180">
        <v>0</v>
      </c>
      <c r="R318" s="181">
        <v>0</v>
      </c>
      <c r="S318" s="182">
        <v>0</v>
      </c>
      <c r="T318" s="180">
        <v>0</v>
      </c>
      <c r="U318" s="181">
        <v>0</v>
      </c>
      <c r="V318" s="182">
        <v>0</v>
      </c>
      <c r="W318" s="180">
        <v>0</v>
      </c>
      <c r="X318" s="181">
        <v>0</v>
      </c>
      <c r="Y318" s="182">
        <v>0</v>
      </c>
      <c r="Z318" s="180">
        <v>0</v>
      </c>
      <c r="AA318" s="181">
        <v>0</v>
      </c>
      <c r="AB318" s="182">
        <v>0</v>
      </c>
      <c r="AC318" s="180">
        <v>0</v>
      </c>
      <c r="AD318" s="181">
        <v>0</v>
      </c>
      <c r="AE318" s="182">
        <v>0</v>
      </c>
      <c r="AF318" s="180">
        <v>0</v>
      </c>
      <c r="AG318" s="181">
        <v>0</v>
      </c>
      <c r="AH318" s="182">
        <v>0</v>
      </c>
      <c r="AI318" s="168" t="s">
        <v>1045</v>
      </c>
      <c r="AJ318" s="169" t="s">
        <v>2555</v>
      </c>
      <c r="AK318" s="170" t="s">
        <v>2502</v>
      </c>
      <c r="AL318" s="169" t="s">
        <v>14</v>
      </c>
      <c r="AM318" s="183">
        <v>1163</v>
      </c>
    </row>
    <row r="319" spans="1:39" s="2" customFormat="1" ht="20.6">
      <c r="A319" s="179" t="s">
        <v>380</v>
      </c>
      <c r="B319" s="238" t="s">
        <v>163</v>
      </c>
      <c r="C319" s="164" t="s">
        <v>4365</v>
      </c>
      <c r="D319" s="236" t="s">
        <v>4366</v>
      </c>
      <c r="E319" s="180">
        <v>56.52</v>
      </c>
      <c r="F319" s="181">
        <v>56.52</v>
      </c>
      <c r="G319" s="182">
        <v>56.52</v>
      </c>
      <c r="H319" s="180">
        <v>56.52</v>
      </c>
      <c r="I319" s="181">
        <v>56.52</v>
      </c>
      <c r="J319" s="182">
        <v>56.52</v>
      </c>
      <c r="K319" s="180">
        <v>56.52</v>
      </c>
      <c r="L319" s="181">
        <v>56.52</v>
      </c>
      <c r="M319" s="182">
        <v>56.52</v>
      </c>
      <c r="N319" s="180">
        <v>56.52</v>
      </c>
      <c r="O319" s="181">
        <v>56.52</v>
      </c>
      <c r="P319" s="182">
        <v>56.52</v>
      </c>
      <c r="Q319" s="180">
        <v>56.52</v>
      </c>
      <c r="R319" s="181">
        <v>56.52</v>
      </c>
      <c r="S319" s="182">
        <v>56.52</v>
      </c>
      <c r="T319" s="180">
        <v>56.52</v>
      </c>
      <c r="U319" s="181">
        <v>56.52</v>
      </c>
      <c r="V319" s="182">
        <v>56.52</v>
      </c>
      <c r="W319" s="180">
        <v>56.52</v>
      </c>
      <c r="X319" s="181">
        <v>56.52</v>
      </c>
      <c r="Y319" s="182">
        <v>56.52</v>
      </c>
      <c r="Z319" s="180">
        <v>56.52</v>
      </c>
      <c r="AA319" s="181">
        <v>56.52</v>
      </c>
      <c r="AB319" s="182">
        <v>56.52</v>
      </c>
      <c r="AC319" s="180">
        <v>56.52</v>
      </c>
      <c r="AD319" s="181">
        <v>56.52</v>
      </c>
      <c r="AE319" s="182">
        <v>56.52</v>
      </c>
      <c r="AF319" s="180">
        <v>56.52</v>
      </c>
      <c r="AG319" s="181">
        <v>56.52</v>
      </c>
      <c r="AH319" s="182">
        <v>56.52</v>
      </c>
      <c r="AI319" s="168" t="s">
        <v>218</v>
      </c>
      <c r="AJ319" s="169" t="s">
        <v>2501</v>
      </c>
      <c r="AK319" s="170" t="s">
        <v>2502</v>
      </c>
      <c r="AL319" s="169" t="s">
        <v>21</v>
      </c>
      <c r="AM319" s="183">
        <v>1391</v>
      </c>
    </row>
    <row r="320" spans="1:39" s="2" customFormat="1">
      <c r="A320" s="179" t="s">
        <v>380</v>
      </c>
      <c r="B320" s="238" t="s">
        <v>163</v>
      </c>
      <c r="C320" s="164" t="s">
        <v>1780</v>
      </c>
      <c r="D320" s="236" t="s">
        <v>4409</v>
      </c>
      <c r="E320" s="180">
        <v>29</v>
      </c>
      <c r="F320" s="181">
        <v>23</v>
      </c>
      <c r="G320" s="182">
        <v>21</v>
      </c>
      <c r="H320" s="180">
        <v>29</v>
      </c>
      <c r="I320" s="181">
        <v>23</v>
      </c>
      <c r="J320" s="182">
        <v>21</v>
      </c>
      <c r="K320" s="180">
        <v>29</v>
      </c>
      <c r="L320" s="181">
        <v>23</v>
      </c>
      <c r="M320" s="182">
        <v>21</v>
      </c>
      <c r="N320" s="180">
        <v>29</v>
      </c>
      <c r="O320" s="181">
        <v>23</v>
      </c>
      <c r="P320" s="182">
        <v>21</v>
      </c>
      <c r="Q320" s="180">
        <v>29</v>
      </c>
      <c r="R320" s="181">
        <v>23</v>
      </c>
      <c r="S320" s="182">
        <v>21</v>
      </c>
      <c r="T320" s="180">
        <v>29</v>
      </c>
      <c r="U320" s="181">
        <v>23</v>
      </c>
      <c r="V320" s="182">
        <v>21</v>
      </c>
      <c r="W320" s="180">
        <v>29</v>
      </c>
      <c r="X320" s="181">
        <v>23</v>
      </c>
      <c r="Y320" s="182">
        <v>21</v>
      </c>
      <c r="Z320" s="180">
        <v>29</v>
      </c>
      <c r="AA320" s="181">
        <v>23</v>
      </c>
      <c r="AB320" s="182">
        <v>21</v>
      </c>
      <c r="AC320" s="180">
        <v>29</v>
      </c>
      <c r="AD320" s="181">
        <v>23</v>
      </c>
      <c r="AE320" s="182">
        <v>21</v>
      </c>
      <c r="AF320" s="180">
        <v>29</v>
      </c>
      <c r="AG320" s="181">
        <v>23</v>
      </c>
      <c r="AH320" s="182">
        <v>21</v>
      </c>
      <c r="AI320" s="168" t="s">
        <v>1759</v>
      </c>
      <c r="AJ320" s="169" t="s">
        <v>2555</v>
      </c>
      <c r="AK320" s="170" t="s">
        <v>2556</v>
      </c>
      <c r="AL320" s="169" t="s">
        <v>14</v>
      </c>
      <c r="AM320" s="183">
        <v>1166</v>
      </c>
    </row>
    <row r="321" spans="1:39" s="2" customFormat="1">
      <c r="A321" s="179" t="s">
        <v>380</v>
      </c>
      <c r="B321" s="238" t="s">
        <v>163</v>
      </c>
      <c r="C321" s="164" t="s">
        <v>1780</v>
      </c>
      <c r="D321" s="236" t="s">
        <v>4410</v>
      </c>
      <c r="E321" s="180">
        <v>23</v>
      </c>
      <c r="F321" s="181">
        <v>20</v>
      </c>
      <c r="G321" s="182">
        <v>18</v>
      </c>
      <c r="H321" s="180">
        <v>23</v>
      </c>
      <c r="I321" s="181">
        <v>20</v>
      </c>
      <c r="J321" s="182">
        <v>18</v>
      </c>
      <c r="K321" s="180">
        <v>23</v>
      </c>
      <c r="L321" s="181">
        <v>20</v>
      </c>
      <c r="M321" s="182">
        <v>18</v>
      </c>
      <c r="N321" s="180">
        <v>23</v>
      </c>
      <c r="O321" s="181">
        <v>20</v>
      </c>
      <c r="P321" s="182">
        <v>18</v>
      </c>
      <c r="Q321" s="180">
        <v>23</v>
      </c>
      <c r="R321" s="181">
        <v>20</v>
      </c>
      <c r="S321" s="182">
        <v>18</v>
      </c>
      <c r="T321" s="180">
        <v>23</v>
      </c>
      <c r="U321" s="181">
        <v>20</v>
      </c>
      <c r="V321" s="182">
        <v>18</v>
      </c>
      <c r="W321" s="180">
        <v>23</v>
      </c>
      <c r="X321" s="181">
        <v>20</v>
      </c>
      <c r="Y321" s="182">
        <v>18</v>
      </c>
      <c r="Z321" s="180">
        <v>23</v>
      </c>
      <c r="AA321" s="181">
        <v>20</v>
      </c>
      <c r="AB321" s="182">
        <v>18</v>
      </c>
      <c r="AC321" s="180">
        <v>23</v>
      </c>
      <c r="AD321" s="181">
        <v>20</v>
      </c>
      <c r="AE321" s="182">
        <v>18</v>
      </c>
      <c r="AF321" s="180">
        <v>23</v>
      </c>
      <c r="AG321" s="181">
        <v>20</v>
      </c>
      <c r="AH321" s="182">
        <v>18</v>
      </c>
      <c r="AI321" s="168" t="s">
        <v>1759</v>
      </c>
      <c r="AJ321" s="169" t="s">
        <v>2555</v>
      </c>
      <c r="AK321" s="170" t="s">
        <v>2556</v>
      </c>
      <c r="AL321" s="169" t="s">
        <v>14</v>
      </c>
      <c r="AM321" s="183">
        <v>1166</v>
      </c>
    </row>
    <row r="322" spans="1:39" s="2" customFormat="1">
      <c r="A322" s="179" t="s">
        <v>380</v>
      </c>
      <c r="B322" s="238" t="s">
        <v>163</v>
      </c>
      <c r="C322" s="164" t="s">
        <v>1780</v>
      </c>
      <c r="D322" s="236" t="s">
        <v>4411</v>
      </c>
      <c r="E322" s="180">
        <v>29</v>
      </c>
      <c r="F322" s="181">
        <v>23</v>
      </c>
      <c r="G322" s="182">
        <v>21</v>
      </c>
      <c r="H322" s="180">
        <v>29</v>
      </c>
      <c r="I322" s="181">
        <v>23</v>
      </c>
      <c r="J322" s="182">
        <v>21</v>
      </c>
      <c r="K322" s="180">
        <v>29</v>
      </c>
      <c r="L322" s="181">
        <v>23</v>
      </c>
      <c r="M322" s="182">
        <v>21</v>
      </c>
      <c r="N322" s="180">
        <v>29</v>
      </c>
      <c r="O322" s="181">
        <v>23</v>
      </c>
      <c r="P322" s="182">
        <v>21</v>
      </c>
      <c r="Q322" s="180">
        <v>29</v>
      </c>
      <c r="R322" s="181">
        <v>23</v>
      </c>
      <c r="S322" s="182">
        <v>21</v>
      </c>
      <c r="T322" s="180">
        <v>29</v>
      </c>
      <c r="U322" s="181">
        <v>23</v>
      </c>
      <c r="V322" s="182">
        <v>21</v>
      </c>
      <c r="W322" s="180">
        <v>29</v>
      </c>
      <c r="X322" s="181">
        <v>23</v>
      </c>
      <c r="Y322" s="182">
        <v>21</v>
      </c>
      <c r="Z322" s="180">
        <v>29</v>
      </c>
      <c r="AA322" s="181">
        <v>23</v>
      </c>
      <c r="AB322" s="182">
        <v>21</v>
      </c>
      <c r="AC322" s="180">
        <v>29</v>
      </c>
      <c r="AD322" s="181">
        <v>23</v>
      </c>
      <c r="AE322" s="182">
        <v>21</v>
      </c>
      <c r="AF322" s="180">
        <v>29</v>
      </c>
      <c r="AG322" s="181">
        <v>23</v>
      </c>
      <c r="AH322" s="182">
        <v>21</v>
      </c>
      <c r="AI322" s="168" t="s">
        <v>1759</v>
      </c>
      <c r="AJ322" s="169" t="s">
        <v>2555</v>
      </c>
      <c r="AK322" s="170" t="s">
        <v>2556</v>
      </c>
      <c r="AL322" s="169" t="s">
        <v>14</v>
      </c>
      <c r="AM322" s="183">
        <v>1166</v>
      </c>
    </row>
    <row r="323" spans="1:39" s="2" customFormat="1">
      <c r="A323" s="179" t="s">
        <v>380</v>
      </c>
      <c r="B323" s="238" t="s">
        <v>163</v>
      </c>
      <c r="C323" s="164" t="s">
        <v>1780</v>
      </c>
      <c r="D323" s="236" t="s">
        <v>4412</v>
      </c>
      <c r="E323" s="180">
        <v>23</v>
      </c>
      <c r="F323" s="181">
        <v>20</v>
      </c>
      <c r="G323" s="182">
        <v>18</v>
      </c>
      <c r="H323" s="180">
        <v>23</v>
      </c>
      <c r="I323" s="181">
        <v>20</v>
      </c>
      <c r="J323" s="182">
        <v>18</v>
      </c>
      <c r="K323" s="180">
        <v>23</v>
      </c>
      <c r="L323" s="181">
        <v>20</v>
      </c>
      <c r="M323" s="182">
        <v>18</v>
      </c>
      <c r="N323" s="180">
        <v>23</v>
      </c>
      <c r="O323" s="181">
        <v>20</v>
      </c>
      <c r="P323" s="182">
        <v>18</v>
      </c>
      <c r="Q323" s="180">
        <v>23</v>
      </c>
      <c r="R323" s="181">
        <v>20</v>
      </c>
      <c r="S323" s="182">
        <v>18</v>
      </c>
      <c r="T323" s="180">
        <v>23</v>
      </c>
      <c r="U323" s="181">
        <v>20</v>
      </c>
      <c r="V323" s="182">
        <v>18</v>
      </c>
      <c r="W323" s="180">
        <v>23</v>
      </c>
      <c r="X323" s="181">
        <v>20</v>
      </c>
      <c r="Y323" s="182">
        <v>18</v>
      </c>
      <c r="Z323" s="180">
        <v>23</v>
      </c>
      <c r="AA323" s="181">
        <v>20</v>
      </c>
      <c r="AB323" s="182">
        <v>18</v>
      </c>
      <c r="AC323" s="180">
        <v>23</v>
      </c>
      <c r="AD323" s="181">
        <v>20</v>
      </c>
      <c r="AE323" s="182">
        <v>18</v>
      </c>
      <c r="AF323" s="180">
        <v>23</v>
      </c>
      <c r="AG323" s="181">
        <v>20</v>
      </c>
      <c r="AH323" s="182">
        <v>18</v>
      </c>
      <c r="AI323" s="168" t="s">
        <v>1759</v>
      </c>
      <c r="AJ323" s="169" t="s">
        <v>2555</v>
      </c>
      <c r="AK323" s="170" t="s">
        <v>2556</v>
      </c>
      <c r="AL323" s="169" t="s">
        <v>14</v>
      </c>
      <c r="AM323" s="183">
        <v>1166</v>
      </c>
    </row>
    <row r="324" spans="1:39" s="2" customFormat="1">
      <c r="A324" s="179" t="s">
        <v>380</v>
      </c>
      <c r="B324" s="238" t="s">
        <v>163</v>
      </c>
      <c r="C324" s="164" t="s">
        <v>1780</v>
      </c>
      <c r="D324" s="236" t="s">
        <v>4413</v>
      </c>
      <c r="E324" s="180">
        <v>120</v>
      </c>
      <c r="F324" s="181">
        <v>114</v>
      </c>
      <c r="G324" s="182">
        <v>111</v>
      </c>
      <c r="H324" s="180">
        <v>120</v>
      </c>
      <c r="I324" s="181">
        <v>114</v>
      </c>
      <c r="J324" s="182">
        <v>111</v>
      </c>
      <c r="K324" s="180">
        <v>120</v>
      </c>
      <c r="L324" s="181">
        <v>114</v>
      </c>
      <c r="M324" s="182">
        <v>111</v>
      </c>
      <c r="N324" s="180">
        <v>120</v>
      </c>
      <c r="O324" s="181">
        <v>114</v>
      </c>
      <c r="P324" s="182">
        <v>111</v>
      </c>
      <c r="Q324" s="180">
        <v>120</v>
      </c>
      <c r="R324" s="181">
        <v>114</v>
      </c>
      <c r="S324" s="182">
        <v>111</v>
      </c>
      <c r="T324" s="180">
        <v>120</v>
      </c>
      <c r="U324" s="181">
        <v>114</v>
      </c>
      <c r="V324" s="182">
        <v>111</v>
      </c>
      <c r="W324" s="180">
        <v>120</v>
      </c>
      <c r="X324" s="181">
        <v>114</v>
      </c>
      <c r="Y324" s="182">
        <v>111</v>
      </c>
      <c r="Z324" s="180">
        <v>120</v>
      </c>
      <c r="AA324" s="181">
        <v>114</v>
      </c>
      <c r="AB324" s="182">
        <v>111</v>
      </c>
      <c r="AC324" s="180">
        <v>120</v>
      </c>
      <c r="AD324" s="181">
        <v>114</v>
      </c>
      <c r="AE324" s="182">
        <v>111</v>
      </c>
      <c r="AF324" s="180">
        <v>120</v>
      </c>
      <c r="AG324" s="181">
        <v>114</v>
      </c>
      <c r="AH324" s="182">
        <v>111</v>
      </c>
      <c r="AI324" s="168" t="s">
        <v>1759</v>
      </c>
      <c r="AJ324" s="169" t="s">
        <v>2555</v>
      </c>
      <c r="AK324" s="170" t="s">
        <v>2556</v>
      </c>
      <c r="AL324" s="169" t="s">
        <v>14</v>
      </c>
      <c r="AM324" s="183">
        <v>1166</v>
      </c>
    </row>
    <row r="325" spans="1:39" s="2" customFormat="1" ht="20.6">
      <c r="A325" s="179" t="s">
        <v>7</v>
      </c>
      <c r="B325" s="238" t="s">
        <v>2463</v>
      </c>
      <c r="C325" s="164" t="s">
        <v>4417</v>
      </c>
      <c r="D325" s="236" t="s">
        <v>5182</v>
      </c>
      <c r="E325" s="180">
        <v>0</v>
      </c>
      <c r="F325" s="181">
        <v>0</v>
      </c>
      <c r="G325" s="182">
        <v>0</v>
      </c>
      <c r="H325" s="180">
        <v>20</v>
      </c>
      <c r="I325" s="181">
        <v>20</v>
      </c>
      <c r="J325" s="182">
        <v>20</v>
      </c>
      <c r="K325" s="180">
        <v>20</v>
      </c>
      <c r="L325" s="181">
        <v>20</v>
      </c>
      <c r="M325" s="182">
        <v>20</v>
      </c>
      <c r="N325" s="180">
        <v>20</v>
      </c>
      <c r="O325" s="181">
        <v>20</v>
      </c>
      <c r="P325" s="182">
        <v>20</v>
      </c>
      <c r="Q325" s="180">
        <v>20</v>
      </c>
      <c r="R325" s="181">
        <v>20</v>
      </c>
      <c r="S325" s="182">
        <v>20</v>
      </c>
      <c r="T325" s="180">
        <v>20</v>
      </c>
      <c r="U325" s="181">
        <v>20</v>
      </c>
      <c r="V325" s="182">
        <v>20</v>
      </c>
      <c r="W325" s="180">
        <v>20</v>
      </c>
      <c r="X325" s="181">
        <v>20</v>
      </c>
      <c r="Y325" s="182">
        <v>20</v>
      </c>
      <c r="Z325" s="180">
        <v>20</v>
      </c>
      <c r="AA325" s="181">
        <v>20</v>
      </c>
      <c r="AB325" s="182">
        <v>20</v>
      </c>
      <c r="AC325" s="180">
        <v>20</v>
      </c>
      <c r="AD325" s="181">
        <v>20</v>
      </c>
      <c r="AE325" s="182">
        <v>20</v>
      </c>
      <c r="AF325" s="180">
        <v>20</v>
      </c>
      <c r="AG325" s="181">
        <v>20</v>
      </c>
      <c r="AH325" s="182">
        <v>20</v>
      </c>
      <c r="AI325" s="168" t="s">
        <v>244</v>
      </c>
      <c r="AJ325" s="169" t="s">
        <v>2466</v>
      </c>
      <c r="AK325" s="170" t="s">
        <v>2467</v>
      </c>
      <c r="AL325" s="169" t="s">
        <v>20</v>
      </c>
      <c r="AM325" s="183">
        <v>1857</v>
      </c>
    </row>
    <row r="326" spans="1:39" s="2" customFormat="1" ht="20.6">
      <c r="A326" s="179" t="s">
        <v>7</v>
      </c>
      <c r="B326" s="238" t="s">
        <v>2463</v>
      </c>
      <c r="C326" s="164" t="s">
        <v>4417</v>
      </c>
      <c r="D326" s="236" t="s">
        <v>5182</v>
      </c>
      <c r="E326" s="180">
        <v>0</v>
      </c>
      <c r="F326" s="181">
        <v>0</v>
      </c>
      <c r="G326" s="182">
        <v>0</v>
      </c>
      <c r="H326" s="180">
        <v>80.08</v>
      </c>
      <c r="I326" s="181">
        <v>80.08</v>
      </c>
      <c r="J326" s="182">
        <v>80.08</v>
      </c>
      <c r="K326" s="180">
        <v>80.08</v>
      </c>
      <c r="L326" s="181">
        <v>80.08</v>
      </c>
      <c r="M326" s="182">
        <v>80.08</v>
      </c>
      <c r="N326" s="180">
        <v>80.08</v>
      </c>
      <c r="O326" s="181">
        <v>80.08</v>
      </c>
      <c r="P326" s="182">
        <v>80.08</v>
      </c>
      <c r="Q326" s="180">
        <v>80.08</v>
      </c>
      <c r="R326" s="181">
        <v>80.08</v>
      </c>
      <c r="S326" s="182">
        <v>80.08</v>
      </c>
      <c r="T326" s="180">
        <v>80.08</v>
      </c>
      <c r="U326" s="181">
        <v>80.08</v>
      </c>
      <c r="V326" s="182">
        <v>80.08</v>
      </c>
      <c r="W326" s="180">
        <v>80.08</v>
      </c>
      <c r="X326" s="181">
        <v>80.08</v>
      </c>
      <c r="Y326" s="182">
        <v>80.08</v>
      </c>
      <c r="Z326" s="180">
        <v>80.08</v>
      </c>
      <c r="AA326" s="181">
        <v>80.08</v>
      </c>
      <c r="AB326" s="182">
        <v>80.08</v>
      </c>
      <c r="AC326" s="180">
        <v>80.08</v>
      </c>
      <c r="AD326" s="181">
        <v>80.08</v>
      </c>
      <c r="AE326" s="182">
        <v>80.08</v>
      </c>
      <c r="AF326" s="180">
        <v>80.08</v>
      </c>
      <c r="AG326" s="181">
        <v>80.08</v>
      </c>
      <c r="AH326" s="182">
        <v>80.08</v>
      </c>
      <c r="AI326" s="168" t="s">
        <v>244</v>
      </c>
      <c r="AJ326" s="169" t="s">
        <v>2491</v>
      </c>
      <c r="AK326" s="170" t="s">
        <v>2477</v>
      </c>
      <c r="AL326" s="169" t="s">
        <v>2479</v>
      </c>
      <c r="AM326" s="183">
        <v>1857</v>
      </c>
    </row>
    <row r="327" spans="1:39" s="2" customFormat="1">
      <c r="A327" s="179" t="s">
        <v>423</v>
      </c>
      <c r="B327" s="238" t="s">
        <v>163</v>
      </c>
      <c r="C327" s="164" t="s">
        <v>1344</v>
      </c>
      <c r="D327" s="236" t="s">
        <v>4427</v>
      </c>
      <c r="E327" s="180">
        <v>200</v>
      </c>
      <c r="F327" s="181">
        <v>200</v>
      </c>
      <c r="G327" s="182">
        <v>200</v>
      </c>
      <c r="H327" s="180">
        <v>200</v>
      </c>
      <c r="I327" s="181">
        <v>200</v>
      </c>
      <c r="J327" s="182">
        <v>200</v>
      </c>
      <c r="K327" s="180">
        <v>200</v>
      </c>
      <c r="L327" s="181">
        <v>200</v>
      </c>
      <c r="M327" s="182">
        <v>200</v>
      </c>
      <c r="N327" s="180">
        <v>200</v>
      </c>
      <c r="O327" s="181">
        <v>200</v>
      </c>
      <c r="P327" s="182">
        <v>200</v>
      </c>
      <c r="Q327" s="180">
        <v>200</v>
      </c>
      <c r="R327" s="181">
        <v>200</v>
      </c>
      <c r="S327" s="182">
        <v>200</v>
      </c>
      <c r="T327" s="180">
        <v>200</v>
      </c>
      <c r="U327" s="181">
        <v>200</v>
      </c>
      <c r="V327" s="182">
        <v>200</v>
      </c>
      <c r="W327" s="180">
        <v>200</v>
      </c>
      <c r="X327" s="181">
        <v>200</v>
      </c>
      <c r="Y327" s="182">
        <v>200</v>
      </c>
      <c r="Z327" s="180">
        <v>200</v>
      </c>
      <c r="AA327" s="181">
        <v>200</v>
      </c>
      <c r="AB327" s="182">
        <v>200</v>
      </c>
      <c r="AC327" s="180">
        <v>200</v>
      </c>
      <c r="AD327" s="181">
        <v>200</v>
      </c>
      <c r="AE327" s="182">
        <v>200</v>
      </c>
      <c r="AF327" s="180">
        <v>200</v>
      </c>
      <c r="AG327" s="181">
        <v>200</v>
      </c>
      <c r="AH327" s="182">
        <v>200</v>
      </c>
      <c r="AI327" s="168" t="s">
        <v>4426</v>
      </c>
      <c r="AJ327" s="169" t="s">
        <v>2466</v>
      </c>
      <c r="AK327" s="170" t="s">
        <v>2467</v>
      </c>
      <c r="AL327" s="169" t="s">
        <v>20</v>
      </c>
      <c r="AM327" s="183">
        <v>2460</v>
      </c>
    </row>
    <row r="328" spans="1:39" s="2" customFormat="1">
      <c r="A328" s="179" t="s">
        <v>565</v>
      </c>
      <c r="B328" s="238" t="s">
        <v>163</v>
      </c>
      <c r="C328" s="164" t="s">
        <v>4438</v>
      </c>
      <c r="D328" s="236" t="s">
        <v>4439</v>
      </c>
      <c r="E328" s="180">
        <v>116</v>
      </c>
      <c r="F328" s="181">
        <v>116</v>
      </c>
      <c r="G328" s="182">
        <v>116</v>
      </c>
      <c r="H328" s="180">
        <v>116</v>
      </c>
      <c r="I328" s="181">
        <v>116</v>
      </c>
      <c r="J328" s="182">
        <v>116</v>
      </c>
      <c r="K328" s="180">
        <v>116</v>
      </c>
      <c r="L328" s="181">
        <v>116</v>
      </c>
      <c r="M328" s="182">
        <v>116</v>
      </c>
      <c r="N328" s="180">
        <v>116</v>
      </c>
      <c r="O328" s="181">
        <v>116</v>
      </c>
      <c r="P328" s="182">
        <v>116</v>
      </c>
      <c r="Q328" s="180">
        <v>119</v>
      </c>
      <c r="R328" s="181">
        <v>119</v>
      </c>
      <c r="S328" s="182">
        <v>119</v>
      </c>
      <c r="T328" s="180">
        <v>119</v>
      </c>
      <c r="U328" s="181">
        <v>0</v>
      </c>
      <c r="V328" s="182">
        <v>0</v>
      </c>
      <c r="W328" s="180">
        <v>0</v>
      </c>
      <c r="X328" s="181">
        <v>119</v>
      </c>
      <c r="Y328" s="182">
        <v>119</v>
      </c>
      <c r="Z328" s="180">
        <v>110</v>
      </c>
      <c r="AA328" s="181">
        <v>119</v>
      </c>
      <c r="AB328" s="182">
        <v>119</v>
      </c>
      <c r="AC328" s="180">
        <v>119</v>
      </c>
      <c r="AD328" s="181">
        <v>119</v>
      </c>
      <c r="AE328" s="182">
        <v>119</v>
      </c>
      <c r="AF328" s="180">
        <v>119</v>
      </c>
      <c r="AG328" s="181">
        <v>119</v>
      </c>
      <c r="AH328" s="182">
        <v>119</v>
      </c>
      <c r="AI328" s="168" t="s">
        <v>1137</v>
      </c>
      <c r="AJ328" s="169" t="s">
        <v>2593</v>
      </c>
      <c r="AK328" s="170" t="s">
        <v>2482</v>
      </c>
      <c r="AL328" s="169" t="s">
        <v>18</v>
      </c>
      <c r="AM328" s="183">
        <v>1168</v>
      </c>
    </row>
    <row r="329" spans="1:39" s="2" customFormat="1">
      <c r="A329" s="179" t="s">
        <v>565</v>
      </c>
      <c r="B329" s="238" t="s">
        <v>163</v>
      </c>
      <c r="C329" s="164" t="s">
        <v>4438</v>
      </c>
      <c r="D329" s="236" t="s">
        <v>4440</v>
      </c>
      <c r="E329" s="180">
        <v>116</v>
      </c>
      <c r="F329" s="181">
        <v>116</v>
      </c>
      <c r="G329" s="182">
        <v>116</v>
      </c>
      <c r="H329" s="180">
        <v>116</v>
      </c>
      <c r="I329" s="181">
        <v>116</v>
      </c>
      <c r="J329" s="182">
        <v>116</v>
      </c>
      <c r="K329" s="180">
        <v>116</v>
      </c>
      <c r="L329" s="181">
        <v>116</v>
      </c>
      <c r="M329" s="182">
        <v>116</v>
      </c>
      <c r="N329" s="180">
        <v>116</v>
      </c>
      <c r="O329" s="181">
        <v>116</v>
      </c>
      <c r="P329" s="182">
        <v>116</v>
      </c>
      <c r="Q329" s="180">
        <v>116</v>
      </c>
      <c r="R329" s="181">
        <v>116</v>
      </c>
      <c r="S329" s="182">
        <v>116</v>
      </c>
      <c r="T329" s="180">
        <v>119</v>
      </c>
      <c r="U329" s="181">
        <v>119</v>
      </c>
      <c r="V329" s="182">
        <v>119</v>
      </c>
      <c r="W329" s="180">
        <v>119</v>
      </c>
      <c r="X329" s="181">
        <v>0</v>
      </c>
      <c r="Y329" s="182">
        <v>0</v>
      </c>
      <c r="Z329" s="180">
        <v>0</v>
      </c>
      <c r="AA329" s="181">
        <v>119</v>
      </c>
      <c r="AB329" s="182">
        <v>119</v>
      </c>
      <c r="AC329" s="180">
        <v>119</v>
      </c>
      <c r="AD329" s="181">
        <v>119</v>
      </c>
      <c r="AE329" s="182">
        <v>119</v>
      </c>
      <c r="AF329" s="180">
        <v>119</v>
      </c>
      <c r="AG329" s="181">
        <v>119</v>
      </c>
      <c r="AH329" s="182">
        <v>119</v>
      </c>
      <c r="AI329" s="168" t="s">
        <v>1137</v>
      </c>
      <c r="AJ329" s="169" t="s">
        <v>2593</v>
      </c>
      <c r="AK329" s="170" t="s">
        <v>2482</v>
      </c>
      <c r="AL329" s="169" t="s">
        <v>18</v>
      </c>
      <c r="AM329" s="183">
        <v>1168</v>
      </c>
    </row>
    <row r="330" spans="1:39" s="2" customFormat="1">
      <c r="A330" s="179" t="s">
        <v>7</v>
      </c>
      <c r="B330" s="238" t="s">
        <v>163</v>
      </c>
      <c r="C330" s="164" t="s">
        <v>1223</v>
      </c>
      <c r="D330" s="236" t="s">
        <v>4455</v>
      </c>
      <c r="E330" s="180">
        <v>60</v>
      </c>
      <c r="F330" s="181">
        <v>60</v>
      </c>
      <c r="G330" s="182">
        <v>60</v>
      </c>
      <c r="H330" s="180">
        <v>60</v>
      </c>
      <c r="I330" s="181">
        <v>60</v>
      </c>
      <c r="J330" s="182">
        <v>60</v>
      </c>
      <c r="K330" s="180">
        <v>60</v>
      </c>
      <c r="L330" s="181">
        <v>60</v>
      </c>
      <c r="M330" s="182">
        <v>60</v>
      </c>
      <c r="N330" s="180">
        <v>60</v>
      </c>
      <c r="O330" s="181">
        <v>60</v>
      </c>
      <c r="P330" s="182">
        <v>60</v>
      </c>
      <c r="Q330" s="180">
        <v>60</v>
      </c>
      <c r="R330" s="181">
        <v>60</v>
      </c>
      <c r="S330" s="182">
        <v>60</v>
      </c>
      <c r="T330" s="180">
        <v>60</v>
      </c>
      <c r="U330" s="181">
        <v>60</v>
      </c>
      <c r="V330" s="182">
        <v>60</v>
      </c>
      <c r="W330" s="180">
        <v>60</v>
      </c>
      <c r="X330" s="181">
        <v>60</v>
      </c>
      <c r="Y330" s="182">
        <v>60</v>
      </c>
      <c r="Z330" s="180">
        <v>60</v>
      </c>
      <c r="AA330" s="181">
        <v>60</v>
      </c>
      <c r="AB330" s="182">
        <v>60</v>
      </c>
      <c r="AC330" s="180">
        <v>60</v>
      </c>
      <c r="AD330" s="181">
        <v>60</v>
      </c>
      <c r="AE330" s="182">
        <v>60</v>
      </c>
      <c r="AF330" s="180">
        <v>60</v>
      </c>
      <c r="AG330" s="181">
        <v>60</v>
      </c>
      <c r="AH330" s="182">
        <v>60</v>
      </c>
      <c r="AI330" s="168" t="s">
        <v>960</v>
      </c>
      <c r="AJ330" s="169" t="s">
        <v>2466</v>
      </c>
      <c r="AK330" s="170" t="s">
        <v>2467</v>
      </c>
      <c r="AL330" s="169" t="s">
        <v>20</v>
      </c>
      <c r="AM330" s="183">
        <v>1936</v>
      </c>
    </row>
    <row r="331" spans="1:39" s="2" customFormat="1">
      <c r="A331" s="179" t="s">
        <v>7</v>
      </c>
      <c r="B331" s="238" t="s">
        <v>163</v>
      </c>
      <c r="C331" s="164" t="s">
        <v>1224</v>
      </c>
      <c r="D331" s="236" t="s">
        <v>4457</v>
      </c>
      <c r="E331" s="180">
        <v>65</v>
      </c>
      <c r="F331" s="181">
        <v>65</v>
      </c>
      <c r="G331" s="182">
        <v>65</v>
      </c>
      <c r="H331" s="180">
        <v>65</v>
      </c>
      <c r="I331" s="181">
        <v>65</v>
      </c>
      <c r="J331" s="182">
        <v>65</v>
      </c>
      <c r="K331" s="180">
        <v>65</v>
      </c>
      <c r="L331" s="181">
        <v>65</v>
      </c>
      <c r="M331" s="182">
        <v>65</v>
      </c>
      <c r="N331" s="180">
        <v>65</v>
      </c>
      <c r="O331" s="181">
        <v>65</v>
      </c>
      <c r="P331" s="182">
        <v>65</v>
      </c>
      <c r="Q331" s="180">
        <v>65</v>
      </c>
      <c r="R331" s="181">
        <v>65</v>
      </c>
      <c r="S331" s="182">
        <v>65</v>
      </c>
      <c r="T331" s="180">
        <v>65</v>
      </c>
      <c r="U331" s="181">
        <v>65</v>
      </c>
      <c r="V331" s="182">
        <v>65</v>
      </c>
      <c r="W331" s="180">
        <v>65</v>
      </c>
      <c r="X331" s="181">
        <v>65</v>
      </c>
      <c r="Y331" s="182">
        <v>65</v>
      </c>
      <c r="Z331" s="180">
        <v>65</v>
      </c>
      <c r="AA331" s="181">
        <v>65</v>
      </c>
      <c r="AB331" s="182">
        <v>65</v>
      </c>
      <c r="AC331" s="180">
        <v>65</v>
      </c>
      <c r="AD331" s="181">
        <v>65</v>
      </c>
      <c r="AE331" s="182">
        <v>65</v>
      </c>
      <c r="AF331" s="180">
        <v>65</v>
      </c>
      <c r="AG331" s="181">
        <v>65</v>
      </c>
      <c r="AH331" s="182">
        <v>65</v>
      </c>
      <c r="AI331" s="168" t="s">
        <v>1225</v>
      </c>
      <c r="AJ331" s="169" t="s">
        <v>2466</v>
      </c>
      <c r="AK331" s="170" t="s">
        <v>2467</v>
      </c>
      <c r="AL331" s="169" t="s">
        <v>20</v>
      </c>
      <c r="AM331" s="183">
        <v>2018</v>
      </c>
    </row>
    <row r="332" spans="1:39" s="2" customFormat="1">
      <c r="A332" s="179" t="s">
        <v>309</v>
      </c>
      <c r="B332" s="238" t="s">
        <v>163</v>
      </c>
      <c r="C332" s="164" t="s">
        <v>4480</v>
      </c>
      <c r="D332" s="236" t="s">
        <v>4481</v>
      </c>
      <c r="E332" s="180">
        <v>34</v>
      </c>
      <c r="F332" s="181">
        <v>30</v>
      </c>
      <c r="G332" s="182">
        <v>27</v>
      </c>
      <c r="H332" s="180">
        <v>34</v>
      </c>
      <c r="I332" s="181">
        <v>30</v>
      </c>
      <c r="J332" s="182">
        <v>27</v>
      </c>
      <c r="K332" s="180">
        <v>34</v>
      </c>
      <c r="L332" s="181">
        <v>30</v>
      </c>
      <c r="M332" s="182">
        <v>27</v>
      </c>
      <c r="N332" s="180">
        <v>34</v>
      </c>
      <c r="O332" s="181">
        <v>30</v>
      </c>
      <c r="P332" s="182">
        <v>27</v>
      </c>
      <c r="Q332" s="180">
        <v>34</v>
      </c>
      <c r="R332" s="181">
        <v>30</v>
      </c>
      <c r="S332" s="182">
        <v>27</v>
      </c>
      <c r="T332" s="180">
        <v>34</v>
      </c>
      <c r="U332" s="181">
        <v>30</v>
      </c>
      <c r="V332" s="182">
        <v>27</v>
      </c>
      <c r="W332" s="180">
        <v>34</v>
      </c>
      <c r="X332" s="181">
        <v>30</v>
      </c>
      <c r="Y332" s="182">
        <v>27</v>
      </c>
      <c r="Z332" s="180">
        <v>34</v>
      </c>
      <c r="AA332" s="181">
        <v>30</v>
      </c>
      <c r="AB332" s="182">
        <v>27</v>
      </c>
      <c r="AC332" s="180">
        <v>34</v>
      </c>
      <c r="AD332" s="181">
        <v>30</v>
      </c>
      <c r="AE332" s="182">
        <v>27</v>
      </c>
      <c r="AF332" s="180">
        <v>34</v>
      </c>
      <c r="AG332" s="181">
        <v>30</v>
      </c>
      <c r="AH332" s="182">
        <v>27</v>
      </c>
      <c r="AI332" s="168" t="s">
        <v>1759</v>
      </c>
      <c r="AJ332" s="169" t="s">
        <v>2555</v>
      </c>
      <c r="AK332" s="170" t="s">
        <v>2556</v>
      </c>
      <c r="AL332" s="169" t="s">
        <v>14</v>
      </c>
      <c r="AM332" s="183">
        <v>1173</v>
      </c>
    </row>
    <row r="333" spans="1:39" s="2" customFormat="1">
      <c r="A333" s="179" t="s">
        <v>309</v>
      </c>
      <c r="B333" s="238" t="s">
        <v>163</v>
      </c>
      <c r="C333" s="164" t="s">
        <v>4480</v>
      </c>
      <c r="D333" s="236" t="s">
        <v>4482</v>
      </c>
      <c r="E333" s="180">
        <v>34</v>
      </c>
      <c r="F333" s="181">
        <v>30</v>
      </c>
      <c r="G333" s="182">
        <v>27</v>
      </c>
      <c r="H333" s="180">
        <v>34</v>
      </c>
      <c r="I333" s="181">
        <v>30</v>
      </c>
      <c r="J333" s="182">
        <v>27</v>
      </c>
      <c r="K333" s="180">
        <v>34</v>
      </c>
      <c r="L333" s="181">
        <v>30</v>
      </c>
      <c r="M333" s="182">
        <v>27</v>
      </c>
      <c r="N333" s="180">
        <v>34</v>
      </c>
      <c r="O333" s="181">
        <v>30</v>
      </c>
      <c r="P333" s="182">
        <v>27</v>
      </c>
      <c r="Q333" s="180">
        <v>34</v>
      </c>
      <c r="R333" s="181">
        <v>30</v>
      </c>
      <c r="S333" s="182">
        <v>27</v>
      </c>
      <c r="T333" s="180">
        <v>34</v>
      </c>
      <c r="U333" s="181">
        <v>30</v>
      </c>
      <c r="V333" s="182">
        <v>27</v>
      </c>
      <c r="W333" s="180">
        <v>34</v>
      </c>
      <c r="X333" s="181">
        <v>30</v>
      </c>
      <c r="Y333" s="182">
        <v>27</v>
      </c>
      <c r="Z333" s="180">
        <v>34</v>
      </c>
      <c r="AA333" s="181">
        <v>30</v>
      </c>
      <c r="AB333" s="182">
        <v>27</v>
      </c>
      <c r="AC333" s="180">
        <v>34</v>
      </c>
      <c r="AD333" s="181">
        <v>30</v>
      </c>
      <c r="AE333" s="182">
        <v>27</v>
      </c>
      <c r="AF333" s="180">
        <v>34</v>
      </c>
      <c r="AG333" s="181">
        <v>30</v>
      </c>
      <c r="AH333" s="182">
        <v>27</v>
      </c>
      <c r="AI333" s="168" t="s">
        <v>1759</v>
      </c>
      <c r="AJ333" s="169" t="s">
        <v>2555</v>
      </c>
      <c r="AK333" s="170" t="s">
        <v>2556</v>
      </c>
      <c r="AL333" s="169" t="s">
        <v>14</v>
      </c>
      <c r="AM333" s="183">
        <v>1173</v>
      </c>
    </row>
    <row r="334" spans="1:39" s="2" customFormat="1" ht="20.6">
      <c r="A334" s="179" t="s">
        <v>309</v>
      </c>
      <c r="B334" s="238" t="s">
        <v>163</v>
      </c>
      <c r="C334" s="164" t="s">
        <v>2002</v>
      </c>
      <c r="D334" s="236" t="s">
        <v>4489</v>
      </c>
      <c r="E334" s="180">
        <v>115.968</v>
      </c>
      <c r="F334" s="181">
        <v>115.968</v>
      </c>
      <c r="G334" s="182">
        <v>115.968</v>
      </c>
      <c r="H334" s="180">
        <v>115.968</v>
      </c>
      <c r="I334" s="181">
        <v>115.968</v>
      </c>
      <c r="J334" s="182">
        <v>115.968</v>
      </c>
      <c r="K334" s="180">
        <v>115.968</v>
      </c>
      <c r="L334" s="181">
        <v>115.968</v>
      </c>
      <c r="M334" s="182">
        <v>115.968</v>
      </c>
      <c r="N334" s="180">
        <v>115.968</v>
      </c>
      <c r="O334" s="181">
        <v>115.968</v>
      </c>
      <c r="P334" s="182">
        <v>115.968</v>
      </c>
      <c r="Q334" s="180">
        <v>115.968</v>
      </c>
      <c r="R334" s="181">
        <v>115.968</v>
      </c>
      <c r="S334" s="182">
        <v>115.968</v>
      </c>
      <c r="T334" s="180">
        <v>115.968</v>
      </c>
      <c r="U334" s="181">
        <v>115.968</v>
      </c>
      <c r="V334" s="182">
        <v>115.968</v>
      </c>
      <c r="W334" s="180">
        <v>115.968</v>
      </c>
      <c r="X334" s="181">
        <v>115.968</v>
      </c>
      <c r="Y334" s="182">
        <v>115.968</v>
      </c>
      <c r="Z334" s="180">
        <v>115.968</v>
      </c>
      <c r="AA334" s="181">
        <v>115.968</v>
      </c>
      <c r="AB334" s="182">
        <v>115.968</v>
      </c>
      <c r="AC334" s="180">
        <v>115.968</v>
      </c>
      <c r="AD334" s="181">
        <v>115.968</v>
      </c>
      <c r="AE334" s="182">
        <v>115.968</v>
      </c>
      <c r="AF334" s="180">
        <v>115.968</v>
      </c>
      <c r="AG334" s="181">
        <v>115.968</v>
      </c>
      <c r="AH334" s="182">
        <v>115.968</v>
      </c>
      <c r="AI334" s="168" t="s">
        <v>4488</v>
      </c>
      <c r="AJ334" s="169" t="s">
        <v>2491</v>
      </c>
      <c r="AK334" s="170" t="s">
        <v>2477</v>
      </c>
      <c r="AL334" s="169" t="s">
        <v>2479</v>
      </c>
      <c r="AM334" s="183">
        <v>1401</v>
      </c>
    </row>
    <row r="335" spans="1:39" s="2" customFormat="1">
      <c r="A335" s="179" t="s">
        <v>309</v>
      </c>
      <c r="B335" s="238" t="s">
        <v>163</v>
      </c>
      <c r="C335" s="164" t="s">
        <v>2006</v>
      </c>
      <c r="D335" s="236" t="s">
        <v>4510</v>
      </c>
      <c r="E335" s="180">
        <v>65</v>
      </c>
      <c r="F335" s="181">
        <v>65</v>
      </c>
      <c r="G335" s="182">
        <v>65</v>
      </c>
      <c r="H335" s="180">
        <v>65</v>
      </c>
      <c r="I335" s="181">
        <v>65</v>
      </c>
      <c r="J335" s="182">
        <v>65</v>
      </c>
      <c r="K335" s="180">
        <v>65</v>
      </c>
      <c r="L335" s="181">
        <v>65</v>
      </c>
      <c r="M335" s="182">
        <v>65</v>
      </c>
      <c r="N335" s="180">
        <v>65</v>
      </c>
      <c r="O335" s="181">
        <v>65</v>
      </c>
      <c r="P335" s="182">
        <v>65</v>
      </c>
      <c r="Q335" s="180">
        <v>65</v>
      </c>
      <c r="R335" s="181">
        <v>65</v>
      </c>
      <c r="S335" s="182">
        <v>65</v>
      </c>
      <c r="T335" s="180">
        <v>65</v>
      </c>
      <c r="U335" s="181">
        <v>65</v>
      </c>
      <c r="V335" s="182">
        <v>65</v>
      </c>
      <c r="W335" s="180">
        <v>65</v>
      </c>
      <c r="X335" s="181">
        <v>65</v>
      </c>
      <c r="Y335" s="182">
        <v>65</v>
      </c>
      <c r="Z335" s="180">
        <v>65</v>
      </c>
      <c r="AA335" s="181">
        <v>65</v>
      </c>
      <c r="AB335" s="182">
        <v>65</v>
      </c>
      <c r="AC335" s="180">
        <v>65</v>
      </c>
      <c r="AD335" s="181">
        <v>65</v>
      </c>
      <c r="AE335" s="182">
        <v>65</v>
      </c>
      <c r="AF335" s="180">
        <v>65</v>
      </c>
      <c r="AG335" s="181">
        <v>65</v>
      </c>
      <c r="AH335" s="182">
        <v>65</v>
      </c>
      <c r="AI335" s="168" t="s">
        <v>4509</v>
      </c>
      <c r="AJ335" s="169" t="s">
        <v>2491</v>
      </c>
      <c r="AK335" s="170" t="s">
        <v>2477</v>
      </c>
      <c r="AL335" s="169" t="s">
        <v>2479</v>
      </c>
      <c r="AM335" s="183">
        <v>1493</v>
      </c>
    </row>
    <row r="336" spans="1:39" s="2" customFormat="1">
      <c r="A336" s="179" t="s">
        <v>423</v>
      </c>
      <c r="B336" s="238" t="s">
        <v>163</v>
      </c>
      <c r="C336" s="164" t="s">
        <v>486</v>
      </c>
      <c r="D336" s="236" t="s">
        <v>488</v>
      </c>
      <c r="E336" s="180">
        <v>204.88</v>
      </c>
      <c r="F336" s="181">
        <v>204.88</v>
      </c>
      <c r="G336" s="182">
        <v>204.88</v>
      </c>
      <c r="H336" s="180">
        <v>204.88</v>
      </c>
      <c r="I336" s="181">
        <v>204.88</v>
      </c>
      <c r="J336" s="182">
        <v>204.88</v>
      </c>
      <c r="K336" s="180">
        <v>204.88</v>
      </c>
      <c r="L336" s="181">
        <v>204.88</v>
      </c>
      <c r="M336" s="182">
        <v>204.88</v>
      </c>
      <c r="N336" s="180">
        <v>204.88</v>
      </c>
      <c r="O336" s="181">
        <v>204.88</v>
      </c>
      <c r="P336" s="182">
        <v>204.88</v>
      </c>
      <c r="Q336" s="180">
        <v>204.88</v>
      </c>
      <c r="R336" s="181">
        <v>204.88</v>
      </c>
      <c r="S336" s="182">
        <v>204.88</v>
      </c>
      <c r="T336" s="180">
        <v>204.88</v>
      </c>
      <c r="U336" s="181">
        <v>204.88</v>
      </c>
      <c r="V336" s="182">
        <v>204.88</v>
      </c>
      <c r="W336" s="180">
        <v>204.88</v>
      </c>
      <c r="X336" s="181">
        <v>204.88</v>
      </c>
      <c r="Y336" s="182">
        <v>204.88</v>
      </c>
      <c r="Z336" s="180">
        <v>204.88</v>
      </c>
      <c r="AA336" s="181">
        <v>204.88</v>
      </c>
      <c r="AB336" s="182">
        <v>204.88</v>
      </c>
      <c r="AC336" s="180">
        <v>204.88</v>
      </c>
      <c r="AD336" s="181">
        <v>204.88</v>
      </c>
      <c r="AE336" s="182">
        <v>204.88</v>
      </c>
      <c r="AF336" s="180">
        <v>204.88</v>
      </c>
      <c r="AG336" s="181">
        <v>204.88</v>
      </c>
      <c r="AH336" s="182">
        <v>204.88</v>
      </c>
      <c r="AI336" s="168" t="s">
        <v>487</v>
      </c>
      <c r="AJ336" s="169" t="s">
        <v>2485</v>
      </c>
      <c r="AK336" s="170" t="s">
        <v>2486</v>
      </c>
      <c r="AL336" s="169" t="s">
        <v>17</v>
      </c>
      <c r="AM336" s="183">
        <v>1176</v>
      </c>
    </row>
    <row r="337" spans="1:39" s="2" customFormat="1">
      <c r="A337" s="179" t="s">
        <v>7</v>
      </c>
      <c r="B337" s="238" t="s">
        <v>163</v>
      </c>
      <c r="C337" s="164" t="s">
        <v>922</v>
      </c>
      <c r="D337" s="236" t="s">
        <v>923</v>
      </c>
      <c r="E337" s="180">
        <v>383.46</v>
      </c>
      <c r="F337" s="181">
        <v>383.46</v>
      </c>
      <c r="G337" s="182">
        <v>383.46</v>
      </c>
      <c r="H337" s="180">
        <v>383.46</v>
      </c>
      <c r="I337" s="181">
        <v>383.46</v>
      </c>
      <c r="J337" s="182">
        <v>383.46</v>
      </c>
      <c r="K337" s="180">
        <v>383.46</v>
      </c>
      <c r="L337" s="181">
        <v>383.46</v>
      </c>
      <c r="M337" s="182">
        <v>383.46</v>
      </c>
      <c r="N337" s="180">
        <v>383.46</v>
      </c>
      <c r="O337" s="181">
        <v>383.46</v>
      </c>
      <c r="P337" s="182">
        <v>383.46</v>
      </c>
      <c r="Q337" s="180">
        <v>383.46</v>
      </c>
      <c r="R337" s="181">
        <v>383.46</v>
      </c>
      <c r="S337" s="182">
        <v>383.46</v>
      </c>
      <c r="T337" s="180">
        <v>383.46</v>
      </c>
      <c r="U337" s="181">
        <v>383.46</v>
      </c>
      <c r="V337" s="182">
        <v>383.46</v>
      </c>
      <c r="W337" s="180">
        <v>383.46</v>
      </c>
      <c r="X337" s="181">
        <v>383.46</v>
      </c>
      <c r="Y337" s="182">
        <v>383.46</v>
      </c>
      <c r="Z337" s="180">
        <v>383.46</v>
      </c>
      <c r="AA337" s="181">
        <v>383.46</v>
      </c>
      <c r="AB337" s="182">
        <v>383.46</v>
      </c>
      <c r="AC337" s="180">
        <v>383.46</v>
      </c>
      <c r="AD337" s="181">
        <v>383.46</v>
      </c>
      <c r="AE337" s="182">
        <v>383.46</v>
      </c>
      <c r="AF337" s="180">
        <v>383.46</v>
      </c>
      <c r="AG337" s="181">
        <v>383.46</v>
      </c>
      <c r="AH337" s="182">
        <v>383.46</v>
      </c>
      <c r="AI337" s="168" t="s">
        <v>236</v>
      </c>
      <c r="AJ337" s="169" t="s">
        <v>2485</v>
      </c>
      <c r="AK337" s="170" t="s">
        <v>2486</v>
      </c>
      <c r="AL337" s="169" t="s">
        <v>17</v>
      </c>
      <c r="AM337" s="183">
        <v>1353</v>
      </c>
    </row>
    <row r="338" spans="1:39" s="2" customFormat="1">
      <c r="A338" s="179" t="s">
        <v>423</v>
      </c>
      <c r="B338" s="238" t="s">
        <v>163</v>
      </c>
      <c r="C338" s="164" t="s">
        <v>2053</v>
      </c>
      <c r="D338" s="236" t="s">
        <v>4524</v>
      </c>
      <c r="E338" s="180">
        <v>54</v>
      </c>
      <c r="F338" s="181">
        <v>51</v>
      </c>
      <c r="G338" s="182">
        <v>37.5</v>
      </c>
      <c r="H338" s="180">
        <v>54</v>
      </c>
      <c r="I338" s="181">
        <v>51</v>
      </c>
      <c r="J338" s="182">
        <v>37.5</v>
      </c>
      <c r="K338" s="180">
        <v>54</v>
      </c>
      <c r="L338" s="181">
        <v>51</v>
      </c>
      <c r="M338" s="182">
        <v>37.5</v>
      </c>
      <c r="N338" s="180">
        <v>54</v>
      </c>
      <c r="O338" s="181">
        <v>51</v>
      </c>
      <c r="P338" s="182">
        <v>37.5</v>
      </c>
      <c r="Q338" s="180">
        <v>54</v>
      </c>
      <c r="R338" s="181">
        <v>51</v>
      </c>
      <c r="S338" s="182">
        <v>37.5</v>
      </c>
      <c r="T338" s="180">
        <v>54</v>
      </c>
      <c r="U338" s="181">
        <v>51</v>
      </c>
      <c r="V338" s="182">
        <v>37.5</v>
      </c>
      <c r="W338" s="180">
        <v>54</v>
      </c>
      <c r="X338" s="181">
        <v>51</v>
      </c>
      <c r="Y338" s="182">
        <v>37.5</v>
      </c>
      <c r="Z338" s="180">
        <v>54</v>
      </c>
      <c r="AA338" s="181">
        <v>51</v>
      </c>
      <c r="AB338" s="182">
        <v>37.5</v>
      </c>
      <c r="AC338" s="180">
        <v>54</v>
      </c>
      <c r="AD338" s="181">
        <v>51</v>
      </c>
      <c r="AE338" s="182">
        <v>37.5</v>
      </c>
      <c r="AF338" s="180">
        <v>54</v>
      </c>
      <c r="AG338" s="181">
        <v>51</v>
      </c>
      <c r="AH338" s="182">
        <v>37.5</v>
      </c>
      <c r="AI338" s="168" t="s">
        <v>4523</v>
      </c>
      <c r="AJ338" s="169" t="s">
        <v>2485</v>
      </c>
      <c r="AK338" s="170" t="s">
        <v>2486</v>
      </c>
      <c r="AL338" s="169" t="s">
        <v>17</v>
      </c>
      <c r="AM338" s="183">
        <v>1244</v>
      </c>
    </row>
    <row r="339" spans="1:39" s="2" customFormat="1" ht="20.6">
      <c r="A339" s="179" t="s">
        <v>7</v>
      </c>
      <c r="B339" s="238" t="s">
        <v>163</v>
      </c>
      <c r="C339" s="164" t="s">
        <v>950</v>
      </c>
      <c r="D339" s="236" t="s">
        <v>4534</v>
      </c>
      <c r="E339" s="180">
        <v>270</v>
      </c>
      <c r="F339" s="181">
        <v>252</v>
      </c>
      <c r="G339" s="182">
        <v>155.69999999999999</v>
      </c>
      <c r="H339" s="180">
        <v>270</v>
      </c>
      <c r="I339" s="181">
        <v>252</v>
      </c>
      <c r="J339" s="182">
        <v>155.69999999999999</v>
      </c>
      <c r="K339" s="180">
        <v>270</v>
      </c>
      <c r="L339" s="181">
        <v>252</v>
      </c>
      <c r="M339" s="182">
        <v>155.69999999999999</v>
      </c>
      <c r="N339" s="180">
        <v>270</v>
      </c>
      <c r="O339" s="181">
        <v>252</v>
      </c>
      <c r="P339" s="182">
        <v>155.69999999999999</v>
      </c>
      <c r="Q339" s="180">
        <v>270</v>
      </c>
      <c r="R339" s="181">
        <v>252</v>
      </c>
      <c r="S339" s="182">
        <v>155.69999999999999</v>
      </c>
      <c r="T339" s="180">
        <v>270</v>
      </c>
      <c r="U339" s="181">
        <v>252</v>
      </c>
      <c r="V339" s="182">
        <v>155.69999999999999</v>
      </c>
      <c r="W339" s="180">
        <v>270</v>
      </c>
      <c r="X339" s="181">
        <v>252</v>
      </c>
      <c r="Y339" s="182">
        <v>155.69999999999999</v>
      </c>
      <c r="Z339" s="180">
        <v>270</v>
      </c>
      <c r="AA339" s="181">
        <v>252</v>
      </c>
      <c r="AB339" s="182">
        <v>155.69999999999999</v>
      </c>
      <c r="AC339" s="180">
        <v>270</v>
      </c>
      <c r="AD339" s="181">
        <v>252</v>
      </c>
      <c r="AE339" s="182">
        <v>155.69999999999999</v>
      </c>
      <c r="AF339" s="180">
        <v>270</v>
      </c>
      <c r="AG339" s="181">
        <v>252</v>
      </c>
      <c r="AH339" s="182">
        <v>155.69999999999999</v>
      </c>
      <c r="AI339" s="168" t="s">
        <v>951</v>
      </c>
      <c r="AJ339" s="169" t="s">
        <v>2485</v>
      </c>
      <c r="AK339" s="170" t="s">
        <v>2486</v>
      </c>
      <c r="AL339" s="169" t="s">
        <v>17</v>
      </c>
      <c r="AM339" s="183">
        <v>1270</v>
      </c>
    </row>
    <row r="340" spans="1:39" s="2" customFormat="1">
      <c r="A340" s="179" t="s">
        <v>7</v>
      </c>
      <c r="B340" s="238" t="s">
        <v>163</v>
      </c>
      <c r="C340" s="164" t="s">
        <v>924</v>
      </c>
      <c r="D340" s="236" t="s">
        <v>926</v>
      </c>
      <c r="E340" s="180">
        <v>90</v>
      </c>
      <c r="F340" s="181">
        <v>90</v>
      </c>
      <c r="G340" s="182">
        <v>85.8</v>
      </c>
      <c r="H340" s="180">
        <v>90</v>
      </c>
      <c r="I340" s="181">
        <v>90</v>
      </c>
      <c r="J340" s="182">
        <v>85.8</v>
      </c>
      <c r="K340" s="180">
        <v>90</v>
      </c>
      <c r="L340" s="181">
        <v>90</v>
      </c>
      <c r="M340" s="182">
        <v>85.8</v>
      </c>
      <c r="N340" s="180">
        <v>90</v>
      </c>
      <c r="O340" s="181">
        <v>90</v>
      </c>
      <c r="P340" s="182">
        <v>85.8</v>
      </c>
      <c r="Q340" s="180">
        <v>90</v>
      </c>
      <c r="R340" s="181">
        <v>90</v>
      </c>
      <c r="S340" s="182">
        <v>85.8</v>
      </c>
      <c r="T340" s="180">
        <v>90</v>
      </c>
      <c r="U340" s="181">
        <v>90</v>
      </c>
      <c r="V340" s="182">
        <v>85.8</v>
      </c>
      <c r="W340" s="180">
        <v>90</v>
      </c>
      <c r="X340" s="181">
        <v>90</v>
      </c>
      <c r="Y340" s="182">
        <v>85.8</v>
      </c>
      <c r="Z340" s="180">
        <v>90</v>
      </c>
      <c r="AA340" s="181">
        <v>90</v>
      </c>
      <c r="AB340" s="182">
        <v>85.8</v>
      </c>
      <c r="AC340" s="180">
        <v>90</v>
      </c>
      <c r="AD340" s="181">
        <v>90</v>
      </c>
      <c r="AE340" s="182">
        <v>85.8</v>
      </c>
      <c r="AF340" s="180">
        <v>90</v>
      </c>
      <c r="AG340" s="181">
        <v>90</v>
      </c>
      <c r="AH340" s="182">
        <v>85.8</v>
      </c>
      <c r="AI340" s="168" t="s">
        <v>925</v>
      </c>
      <c r="AJ340" s="169" t="s">
        <v>2491</v>
      </c>
      <c r="AK340" s="170" t="s">
        <v>2477</v>
      </c>
      <c r="AL340" s="169" t="s">
        <v>2479</v>
      </c>
      <c r="AM340" s="183">
        <v>1927</v>
      </c>
    </row>
    <row r="341" spans="1:39" s="2" customFormat="1">
      <c r="A341" s="179" t="s">
        <v>7</v>
      </c>
      <c r="B341" s="238" t="s">
        <v>163</v>
      </c>
      <c r="C341" s="164" t="s">
        <v>4544</v>
      </c>
      <c r="D341" s="236" t="s">
        <v>4545</v>
      </c>
      <c r="E341" s="180">
        <v>247</v>
      </c>
      <c r="F341" s="181">
        <v>247</v>
      </c>
      <c r="G341" s="182">
        <v>247</v>
      </c>
      <c r="H341" s="180">
        <v>247</v>
      </c>
      <c r="I341" s="181">
        <v>247</v>
      </c>
      <c r="J341" s="182">
        <v>247</v>
      </c>
      <c r="K341" s="180">
        <v>247</v>
      </c>
      <c r="L341" s="181">
        <v>247</v>
      </c>
      <c r="M341" s="182">
        <v>247</v>
      </c>
      <c r="N341" s="180">
        <v>247</v>
      </c>
      <c r="O341" s="181">
        <v>247</v>
      </c>
      <c r="P341" s="182">
        <v>247</v>
      </c>
      <c r="Q341" s="180">
        <v>247</v>
      </c>
      <c r="R341" s="181">
        <v>247</v>
      </c>
      <c r="S341" s="182">
        <v>247</v>
      </c>
      <c r="T341" s="180">
        <v>247</v>
      </c>
      <c r="U341" s="181">
        <v>247</v>
      </c>
      <c r="V341" s="182">
        <v>247</v>
      </c>
      <c r="W341" s="180">
        <v>247</v>
      </c>
      <c r="X341" s="181">
        <v>247</v>
      </c>
      <c r="Y341" s="182">
        <v>247</v>
      </c>
      <c r="Z341" s="180">
        <v>247</v>
      </c>
      <c r="AA341" s="181">
        <v>247</v>
      </c>
      <c r="AB341" s="182">
        <v>247</v>
      </c>
      <c r="AC341" s="180">
        <v>247</v>
      </c>
      <c r="AD341" s="181">
        <v>247</v>
      </c>
      <c r="AE341" s="182">
        <v>247</v>
      </c>
      <c r="AF341" s="180">
        <v>247</v>
      </c>
      <c r="AG341" s="181">
        <v>247</v>
      </c>
      <c r="AH341" s="182">
        <v>247</v>
      </c>
      <c r="AI341" s="168" t="s">
        <v>1071</v>
      </c>
      <c r="AJ341" s="169" t="s">
        <v>2636</v>
      </c>
      <c r="AK341" s="170" t="s">
        <v>2482</v>
      </c>
      <c r="AL341" s="169" t="s">
        <v>18</v>
      </c>
      <c r="AM341" s="183">
        <v>1177</v>
      </c>
    </row>
    <row r="342" spans="1:39" s="2" customFormat="1" ht="20.6">
      <c r="A342" s="179" t="s">
        <v>7</v>
      </c>
      <c r="B342" s="238" t="s">
        <v>163</v>
      </c>
      <c r="C342" s="164" t="s">
        <v>2063</v>
      </c>
      <c r="D342" s="236" t="s">
        <v>4552</v>
      </c>
      <c r="E342" s="180">
        <v>198.012</v>
      </c>
      <c r="F342" s="181">
        <v>198.012</v>
      </c>
      <c r="G342" s="182">
        <v>119.48</v>
      </c>
      <c r="H342" s="180">
        <v>198.012</v>
      </c>
      <c r="I342" s="181">
        <v>198.012</v>
      </c>
      <c r="J342" s="182">
        <v>119.48</v>
      </c>
      <c r="K342" s="180">
        <v>198.012</v>
      </c>
      <c r="L342" s="181">
        <v>198.012</v>
      </c>
      <c r="M342" s="182">
        <v>119.48</v>
      </c>
      <c r="N342" s="180">
        <v>198.012</v>
      </c>
      <c r="O342" s="181">
        <v>198.012</v>
      </c>
      <c r="P342" s="182">
        <v>119.48</v>
      </c>
      <c r="Q342" s="180">
        <v>198.012</v>
      </c>
      <c r="R342" s="181">
        <v>198.012</v>
      </c>
      <c r="S342" s="182">
        <v>119.48</v>
      </c>
      <c r="T342" s="180">
        <v>198.012</v>
      </c>
      <c r="U342" s="181">
        <v>198.012</v>
      </c>
      <c r="V342" s="182">
        <v>119.48</v>
      </c>
      <c r="W342" s="180">
        <v>198.012</v>
      </c>
      <c r="X342" s="181">
        <v>198.012</v>
      </c>
      <c r="Y342" s="182">
        <v>119.48</v>
      </c>
      <c r="Z342" s="180">
        <v>198.012</v>
      </c>
      <c r="AA342" s="181">
        <v>198.012</v>
      </c>
      <c r="AB342" s="182">
        <v>119.48</v>
      </c>
      <c r="AC342" s="180">
        <v>198.012</v>
      </c>
      <c r="AD342" s="181">
        <v>198.012</v>
      </c>
      <c r="AE342" s="182">
        <v>119.48</v>
      </c>
      <c r="AF342" s="180">
        <v>198.012</v>
      </c>
      <c r="AG342" s="181">
        <v>198.012</v>
      </c>
      <c r="AH342" s="182">
        <v>119.48</v>
      </c>
      <c r="AI342" s="168" t="s">
        <v>4551</v>
      </c>
      <c r="AJ342" s="169" t="s">
        <v>2485</v>
      </c>
      <c r="AK342" s="170" t="s">
        <v>2486</v>
      </c>
      <c r="AL342" s="169" t="s">
        <v>17</v>
      </c>
      <c r="AM342" s="183">
        <v>1178</v>
      </c>
    </row>
    <row r="343" spans="1:39" s="2" customFormat="1">
      <c r="A343" s="179" t="s">
        <v>7</v>
      </c>
      <c r="B343" s="238" t="s">
        <v>2463</v>
      </c>
      <c r="C343" s="164" t="s">
        <v>213</v>
      </c>
      <c r="D343" s="236" t="s">
        <v>215</v>
      </c>
      <c r="E343" s="180">
        <v>0</v>
      </c>
      <c r="F343" s="181">
        <v>64.98</v>
      </c>
      <c r="G343" s="182">
        <v>64.98</v>
      </c>
      <c r="H343" s="180">
        <v>64.98</v>
      </c>
      <c r="I343" s="181">
        <v>64.98</v>
      </c>
      <c r="J343" s="182">
        <v>64.98</v>
      </c>
      <c r="K343" s="180">
        <v>64.98</v>
      </c>
      <c r="L343" s="181">
        <v>64.98</v>
      </c>
      <c r="M343" s="182">
        <v>64.98</v>
      </c>
      <c r="N343" s="180">
        <v>64.98</v>
      </c>
      <c r="O343" s="181">
        <v>64.98</v>
      </c>
      <c r="P343" s="182">
        <v>64.98</v>
      </c>
      <c r="Q343" s="180">
        <v>64.98</v>
      </c>
      <c r="R343" s="181">
        <v>64.98</v>
      </c>
      <c r="S343" s="182">
        <v>64.98</v>
      </c>
      <c r="T343" s="180">
        <v>64.98</v>
      </c>
      <c r="U343" s="181">
        <v>64.98</v>
      </c>
      <c r="V343" s="182">
        <v>64.98</v>
      </c>
      <c r="W343" s="180">
        <v>64.98</v>
      </c>
      <c r="X343" s="181">
        <v>64.98</v>
      </c>
      <c r="Y343" s="182">
        <v>64.98</v>
      </c>
      <c r="Z343" s="180">
        <v>64.98</v>
      </c>
      <c r="AA343" s="181">
        <v>64.98</v>
      </c>
      <c r="AB343" s="182">
        <v>64.98</v>
      </c>
      <c r="AC343" s="180">
        <v>64.98</v>
      </c>
      <c r="AD343" s="181">
        <v>64.98</v>
      </c>
      <c r="AE343" s="182">
        <v>64.98</v>
      </c>
      <c r="AF343" s="180">
        <v>64.98</v>
      </c>
      <c r="AG343" s="181">
        <v>64.98</v>
      </c>
      <c r="AH343" s="182">
        <v>64.98</v>
      </c>
      <c r="AI343" s="168" t="s">
        <v>214</v>
      </c>
      <c r="AJ343" s="169" t="s">
        <v>2466</v>
      </c>
      <c r="AK343" s="170" t="s">
        <v>2467</v>
      </c>
      <c r="AL343" s="169" t="s">
        <v>20</v>
      </c>
      <c r="AM343" s="183">
        <v>2623</v>
      </c>
    </row>
    <row r="344" spans="1:39" s="2" customFormat="1">
      <c r="A344" s="179" t="s">
        <v>7</v>
      </c>
      <c r="B344" s="238" t="s">
        <v>163</v>
      </c>
      <c r="C344" s="164" t="s">
        <v>631</v>
      </c>
      <c r="D344" s="236" t="s">
        <v>4553</v>
      </c>
      <c r="E344" s="180">
        <v>125.7</v>
      </c>
      <c r="F344" s="181">
        <v>108</v>
      </c>
      <c r="G344" s="182">
        <v>108</v>
      </c>
      <c r="H344" s="180">
        <v>125.7</v>
      </c>
      <c r="I344" s="181">
        <v>108</v>
      </c>
      <c r="J344" s="182">
        <v>108</v>
      </c>
      <c r="K344" s="180">
        <v>125.7</v>
      </c>
      <c r="L344" s="181">
        <v>108</v>
      </c>
      <c r="M344" s="182">
        <v>108</v>
      </c>
      <c r="N344" s="180">
        <v>125.7</v>
      </c>
      <c r="O344" s="181">
        <v>108</v>
      </c>
      <c r="P344" s="182">
        <v>108</v>
      </c>
      <c r="Q344" s="180">
        <v>125.7</v>
      </c>
      <c r="R344" s="181">
        <v>108</v>
      </c>
      <c r="S344" s="182">
        <v>108</v>
      </c>
      <c r="T344" s="180">
        <v>125.7</v>
      </c>
      <c r="U344" s="181">
        <v>108</v>
      </c>
      <c r="V344" s="182">
        <v>108</v>
      </c>
      <c r="W344" s="180">
        <v>125.7</v>
      </c>
      <c r="X344" s="181">
        <v>108</v>
      </c>
      <c r="Y344" s="182">
        <v>108</v>
      </c>
      <c r="Z344" s="180">
        <v>125.7</v>
      </c>
      <c r="AA344" s="181">
        <v>108</v>
      </c>
      <c r="AB344" s="182">
        <v>108</v>
      </c>
      <c r="AC344" s="180">
        <v>125.7</v>
      </c>
      <c r="AD344" s="181">
        <v>108</v>
      </c>
      <c r="AE344" s="182">
        <v>108</v>
      </c>
      <c r="AF344" s="180">
        <v>125.7</v>
      </c>
      <c r="AG344" s="181">
        <v>108</v>
      </c>
      <c r="AH344" s="182">
        <v>108</v>
      </c>
      <c r="AI344" s="168" t="s">
        <v>632</v>
      </c>
      <c r="AJ344" s="169" t="s">
        <v>2555</v>
      </c>
      <c r="AK344" s="170" t="s">
        <v>2556</v>
      </c>
      <c r="AL344" s="169" t="s">
        <v>14</v>
      </c>
      <c r="AM344" s="183">
        <v>1179</v>
      </c>
    </row>
    <row r="345" spans="1:39" s="2" customFormat="1">
      <c r="A345" s="179" t="s">
        <v>380</v>
      </c>
      <c r="B345" s="238" t="s">
        <v>163</v>
      </c>
      <c r="C345" s="164" t="s">
        <v>1449</v>
      </c>
      <c r="D345" s="236" t="s">
        <v>1451</v>
      </c>
      <c r="E345" s="180">
        <v>31.38</v>
      </c>
      <c r="F345" s="181">
        <v>27.62</v>
      </c>
      <c r="G345" s="182">
        <v>24.6</v>
      </c>
      <c r="H345" s="180">
        <v>31.38</v>
      </c>
      <c r="I345" s="181">
        <v>27.62</v>
      </c>
      <c r="J345" s="182">
        <v>24.6</v>
      </c>
      <c r="K345" s="180">
        <v>31.38</v>
      </c>
      <c r="L345" s="181">
        <v>27.62</v>
      </c>
      <c r="M345" s="182">
        <v>24.6</v>
      </c>
      <c r="N345" s="180">
        <v>31.38</v>
      </c>
      <c r="O345" s="181">
        <v>27.62</v>
      </c>
      <c r="P345" s="182">
        <v>24.6</v>
      </c>
      <c r="Q345" s="180">
        <v>31.38</v>
      </c>
      <c r="R345" s="181">
        <v>27.62</v>
      </c>
      <c r="S345" s="182">
        <v>24.6</v>
      </c>
      <c r="T345" s="180">
        <v>31.38</v>
      </c>
      <c r="U345" s="181">
        <v>27.62</v>
      </c>
      <c r="V345" s="182">
        <v>24.6</v>
      </c>
      <c r="W345" s="180">
        <v>31.38</v>
      </c>
      <c r="X345" s="181">
        <v>27.62</v>
      </c>
      <c r="Y345" s="182">
        <v>24.6</v>
      </c>
      <c r="Z345" s="180">
        <v>31.38</v>
      </c>
      <c r="AA345" s="181">
        <v>27.62</v>
      </c>
      <c r="AB345" s="182">
        <v>24.6</v>
      </c>
      <c r="AC345" s="180">
        <v>31.38</v>
      </c>
      <c r="AD345" s="181">
        <v>27.62</v>
      </c>
      <c r="AE345" s="182">
        <v>24.6</v>
      </c>
      <c r="AF345" s="180">
        <v>31.38</v>
      </c>
      <c r="AG345" s="181">
        <v>27.62</v>
      </c>
      <c r="AH345" s="182">
        <v>24.6</v>
      </c>
      <c r="AI345" s="168" t="s">
        <v>1450</v>
      </c>
      <c r="AJ345" s="169" t="s">
        <v>2555</v>
      </c>
      <c r="AK345" s="170" t="s">
        <v>2814</v>
      </c>
      <c r="AL345" s="169" t="s">
        <v>14</v>
      </c>
      <c r="AM345" s="183">
        <v>1532</v>
      </c>
    </row>
    <row r="346" spans="1:39" s="2" customFormat="1">
      <c r="A346" s="179" t="s">
        <v>380</v>
      </c>
      <c r="B346" s="238" t="s">
        <v>163</v>
      </c>
      <c r="C346" s="164" t="s">
        <v>1449</v>
      </c>
      <c r="D346" s="236" t="s">
        <v>1451</v>
      </c>
      <c r="E346" s="180">
        <v>125.52</v>
      </c>
      <c r="F346" s="181">
        <v>110.48</v>
      </c>
      <c r="G346" s="182">
        <v>98.4</v>
      </c>
      <c r="H346" s="180">
        <v>125.52</v>
      </c>
      <c r="I346" s="181">
        <v>110.48</v>
      </c>
      <c r="J346" s="182">
        <v>98.4</v>
      </c>
      <c r="K346" s="180">
        <v>125.52</v>
      </c>
      <c r="L346" s="181">
        <v>110.48</v>
      </c>
      <c r="M346" s="182">
        <v>98.4</v>
      </c>
      <c r="N346" s="180">
        <v>125.52</v>
      </c>
      <c r="O346" s="181">
        <v>110.48</v>
      </c>
      <c r="P346" s="182">
        <v>98.4</v>
      </c>
      <c r="Q346" s="180">
        <v>125.52</v>
      </c>
      <c r="R346" s="181">
        <v>110.48</v>
      </c>
      <c r="S346" s="182">
        <v>98.4</v>
      </c>
      <c r="T346" s="180">
        <v>125.52</v>
      </c>
      <c r="U346" s="181">
        <v>110.48</v>
      </c>
      <c r="V346" s="182">
        <v>98.4</v>
      </c>
      <c r="W346" s="180">
        <v>125.52</v>
      </c>
      <c r="X346" s="181">
        <v>110.48</v>
      </c>
      <c r="Y346" s="182">
        <v>98.4</v>
      </c>
      <c r="Z346" s="180">
        <v>125.52</v>
      </c>
      <c r="AA346" s="181">
        <v>110.48</v>
      </c>
      <c r="AB346" s="182">
        <v>98.4</v>
      </c>
      <c r="AC346" s="180">
        <v>125.52</v>
      </c>
      <c r="AD346" s="181">
        <v>110.48</v>
      </c>
      <c r="AE346" s="182">
        <v>98.4</v>
      </c>
      <c r="AF346" s="180">
        <v>125.52</v>
      </c>
      <c r="AG346" s="181">
        <v>110.48</v>
      </c>
      <c r="AH346" s="182">
        <v>98.4</v>
      </c>
      <c r="AI346" s="168" t="s">
        <v>1450</v>
      </c>
      <c r="AJ346" s="169" t="s">
        <v>2555</v>
      </c>
      <c r="AK346" s="170" t="s">
        <v>2814</v>
      </c>
      <c r="AL346" s="169" t="s">
        <v>14</v>
      </c>
      <c r="AM346" s="183">
        <v>1532</v>
      </c>
    </row>
    <row r="347" spans="1:39" s="2" customFormat="1">
      <c r="A347" s="179" t="s">
        <v>380</v>
      </c>
      <c r="B347" s="238" t="s">
        <v>163</v>
      </c>
      <c r="C347" s="164" t="s">
        <v>4559</v>
      </c>
      <c r="D347" s="236" t="s">
        <v>4561</v>
      </c>
      <c r="E347" s="180">
        <v>144</v>
      </c>
      <c r="F347" s="181">
        <v>144</v>
      </c>
      <c r="G347" s="182">
        <v>133.19999999999999</v>
      </c>
      <c r="H347" s="180">
        <v>144</v>
      </c>
      <c r="I347" s="181">
        <v>144</v>
      </c>
      <c r="J347" s="182">
        <v>133.19999999999999</v>
      </c>
      <c r="K347" s="180">
        <v>144</v>
      </c>
      <c r="L347" s="181">
        <v>144</v>
      </c>
      <c r="M347" s="182">
        <v>133.19999999999999</v>
      </c>
      <c r="N347" s="180">
        <v>144</v>
      </c>
      <c r="O347" s="181">
        <v>144</v>
      </c>
      <c r="P347" s="182">
        <v>133.19999999999999</v>
      </c>
      <c r="Q347" s="180">
        <v>144</v>
      </c>
      <c r="R347" s="181">
        <v>144</v>
      </c>
      <c r="S347" s="182">
        <v>133.19999999999999</v>
      </c>
      <c r="T347" s="180">
        <v>144</v>
      </c>
      <c r="U347" s="181">
        <v>144</v>
      </c>
      <c r="V347" s="182">
        <v>133.19999999999999</v>
      </c>
      <c r="W347" s="180">
        <v>144</v>
      </c>
      <c r="X347" s="181">
        <v>144</v>
      </c>
      <c r="Y347" s="182">
        <v>133.19999999999999</v>
      </c>
      <c r="Z347" s="180">
        <v>144</v>
      </c>
      <c r="AA347" s="181">
        <v>144</v>
      </c>
      <c r="AB347" s="182">
        <v>133.19999999999999</v>
      </c>
      <c r="AC347" s="180">
        <v>144</v>
      </c>
      <c r="AD347" s="181">
        <v>144</v>
      </c>
      <c r="AE347" s="182">
        <v>133.19999999999999</v>
      </c>
      <c r="AF347" s="180">
        <v>144</v>
      </c>
      <c r="AG347" s="181">
        <v>144</v>
      </c>
      <c r="AH347" s="182">
        <v>133.19999999999999</v>
      </c>
      <c r="AI347" s="168" t="s">
        <v>4560</v>
      </c>
      <c r="AJ347" s="169" t="s">
        <v>2485</v>
      </c>
      <c r="AK347" s="170" t="s">
        <v>2486</v>
      </c>
      <c r="AL347" s="169" t="s">
        <v>17</v>
      </c>
      <c r="AM347" s="183">
        <v>1181</v>
      </c>
    </row>
    <row r="348" spans="1:39" s="2" customFormat="1">
      <c r="A348" s="179" t="s">
        <v>380</v>
      </c>
      <c r="B348" s="238" t="s">
        <v>163</v>
      </c>
      <c r="C348" s="164" t="s">
        <v>4559</v>
      </c>
      <c r="D348" s="236" t="s">
        <v>4562</v>
      </c>
      <c r="E348" s="180">
        <v>126</v>
      </c>
      <c r="F348" s="181">
        <v>126</v>
      </c>
      <c r="G348" s="182">
        <v>116.55</v>
      </c>
      <c r="H348" s="180">
        <v>126</v>
      </c>
      <c r="I348" s="181">
        <v>126</v>
      </c>
      <c r="J348" s="182">
        <v>116.55</v>
      </c>
      <c r="K348" s="180">
        <v>126</v>
      </c>
      <c r="L348" s="181">
        <v>126</v>
      </c>
      <c r="M348" s="182">
        <v>116.55</v>
      </c>
      <c r="N348" s="180">
        <v>126</v>
      </c>
      <c r="O348" s="181">
        <v>126</v>
      </c>
      <c r="P348" s="182">
        <v>116.55</v>
      </c>
      <c r="Q348" s="180">
        <v>126</v>
      </c>
      <c r="R348" s="181">
        <v>126</v>
      </c>
      <c r="S348" s="182">
        <v>116.55</v>
      </c>
      <c r="T348" s="180">
        <v>126</v>
      </c>
      <c r="U348" s="181">
        <v>126</v>
      </c>
      <c r="V348" s="182">
        <v>116.55</v>
      </c>
      <c r="W348" s="180">
        <v>126</v>
      </c>
      <c r="X348" s="181">
        <v>126</v>
      </c>
      <c r="Y348" s="182">
        <v>116.55</v>
      </c>
      <c r="Z348" s="180">
        <v>126</v>
      </c>
      <c r="AA348" s="181">
        <v>126</v>
      </c>
      <c r="AB348" s="182">
        <v>116.55</v>
      </c>
      <c r="AC348" s="180">
        <v>126</v>
      </c>
      <c r="AD348" s="181">
        <v>126</v>
      </c>
      <c r="AE348" s="182">
        <v>116.55</v>
      </c>
      <c r="AF348" s="180">
        <v>126</v>
      </c>
      <c r="AG348" s="181">
        <v>126</v>
      </c>
      <c r="AH348" s="182">
        <v>116.55</v>
      </c>
      <c r="AI348" s="168" t="s">
        <v>4560</v>
      </c>
      <c r="AJ348" s="169" t="s">
        <v>2485</v>
      </c>
      <c r="AK348" s="170" t="s">
        <v>2486</v>
      </c>
      <c r="AL348" s="169" t="s">
        <v>17</v>
      </c>
      <c r="AM348" s="183">
        <v>1181</v>
      </c>
    </row>
    <row r="349" spans="1:39" s="2" customFormat="1">
      <c r="A349" s="179" t="s">
        <v>380</v>
      </c>
      <c r="B349" s="238" t="s">
        <v>163</v>
      </c>
      <c r="C349" s="164" t="s">
        <v>4563</v>
      </c>
      <c r="D349" s="236" t="s">
        <v>4565</v>
      </c>
      <c r="E349" s="180">
        <v>98.7</v>
      </c>
      <c r="F349" s="181">
        <v>98.7</v>
      </c>
      <c r="G349" s="182">
        <v>65.8</v>
      </c>
      <c r="H349" s="180">
        <v>98.7</v>
      </c>
      <c r="I349" s="181">
        <v>98.7</v>
      </c>
      <c r="J349" s="182">
        <v>65.8</v>
      </c>
      <c r="K349" s="180">
        <v>98.7</v>
      </c>
      <c r="L349" s="181">
        <v>98.7</v>
      </c>
      <c r="M349" s="182">
        <v>65.8</v>
      </c>
      <c r="N349" s="180">
        <v>98.7</v>
      </c>
      <c r="O349" s="181">
        <v>98.7</v>
      </c>
      <c r="P349" s="182">
        <v>65.8</v>
      </c>
      <c r="Q349" s="180">
        <v>98.7</v>
      </c>
      <c r="R349" s="181">
        <v>98.7</v>
      </c>
      <c r="S349" s="182">
        <v>65.8</v>
      </c>
      <c r="T349" s="180">
        <v>98.7</v>
      </c>
      <c r="U349" s="181">
        <v>98.7</v>
      </c>
      <c r="V349" s="182">
        <v>65.8</v>
      </c>
      <c r="W349" s="180">
        <v>98.7</v>
      </c>
      <c r="X349" s="181">
        <v>98.7</v>
      </c>
      <c r="Y349" s="182">
        <v>65.8</v>
      </c>
      <c r="Z349" s="180">
        <v>98.7</v>
      </c>
      <c r="AA349" s="181">
        <v>98.7</v>
      </c>
      <c r="AB349" s="182">
        <v>65.8</v>
      </c>
      <c r="AC349" s="180">
        <v>0</v>
      </c>
      <c r="AD349" s="181">
        <v>0</v>
      </c>
      <c r="AE349" s="182">
        <v>0</v>
      </c>
      <c r="AF349" s="180">
        <v>0</v>
      </c>
      <c r="AG349" s="181">
        <v>0</v>
      </c>
      <c r="AH349" s="182">
        <v>0</v>
      </c>
      <c r="AI349" s="168" t="s">
        <v>4564</v>
      </c>
      <c r="AJ349" s="169" t="s">
        <v>2485</v>
      </c>
      <c r="AK349" s="170" t="s">
        <v>2486</v>
      </c>
      <c r="AL349" s="169" t="s">
        <v>17</v>
      </c>
      <c r="AM349" s="183">
        <v>1180</v>
      </c>
    </row>
    <row r="350" spans="1:39" s="2" customFormat="1">
      <c r="A350" s="179" t="s">
        <v>7</v>
      </c>
      <c r="B350" s="238" t="s">
        <v>2463</v>
      </c>
      <c r="C350" s="164" t="s">
        <v>217</v>
      </c>
      <c r="D350" s="236" t="s">
        <v>5182</v>
      </c>
      <c r="E350" s="180">
        <v>0</v>
      </c>
      <c r="F350" s="181">
        <v>0</v>
      </c>
      <c r="G350" s="182">
        <v>0</v>
      </c>
      <c r="H350" s="180">
        <v>0</v>
      </c>
      <c r="I350" s="181">
        <v>0</v>
      </c>
      <c r="J350" s="182">
        <v>0</v>
      </c>
      <c r="K350" s="180">
        <v>0</v>
      </c>
      <c r="L350" s="181">
        <v>0</v>
      </c>
      <c r="M350" s="182">
        <v>0</v>
      </c>
      <c r="N350" s="180">
        <v>733.99800000000005</v>
      </c>
      <c r="O350" s="181">
        <v>2200.1999999999998</v>
      </c>
      <c r="P350" s="182">
        <v>2200.1999999999998</v>
      </c>
      <c r="Q350" s="180">
        <v>2200.1999999999998</v>
      </c>
      <c r="R350" s="181">
        <v>2200.1999999999998</v>
      </c>
      <c r="S350" s="182">
        <v>2200.1999999999998</v>
      </c>
      <c r="T350" s="180">
        <v>2200.1999999999998</v>
      </c>
      <c r="U350" s="181">
        <v>2200.1999999999998</v>
      </c>
      <c r="V350" s="182">
        <v>2200.1999999999998</v>
      </c>
      <c r="W350" s="180">
        <v>2200.1999999999998</v>
      </c>
      <c r="X350" s="181">
        <v>2200.1999999999998</v>
      </c>
      <c r="Y350" s="182">
        <v>2200.1999999999998</v>
      </c>
      <c r="Z350" s="180">
        <v>2200.1999999999998</v>
      </c>
      <c r="AA350" s="181">
        <v>2200.1999999999998</v>
      </c>
      <c r="AB350" s="182">
        <v>2200.1999999999998</v>
      </c>
      <c r="AC350" s="180">
        <v>2200.1999999999998</v>
      </c>
      <c r="AD350" s="181">
        <v>2200.1999999999998</v>
      </c>
      <c r="AE350" s="182">
        <v>2200.1999999999998</v>
      </c>
      <c r="AF350" s="180">
        <v>2200.1999999999998</v>
      </c>
      <c r="AG350" s="181">
        <v>2200.1999999999998</v>
      </c>
      <c r="AH350" s="182">
        <v>2200.1999999999998</v>
      </c>
      <c r="AI350" s="168" t="s">
        <v>218</v>
      </c>
      <c r="AJ350" s="169" t="s">
        <v>2636</v>
      </c>
      <c r="AK350" s="170" t="s">
        <v>2482</v>
      </c>
      <c r="AL350" s="169" t="s">
        <v>18</v>
      </c>
      <c r="AM350" s="183">
        <v>1752</v>
      </c>
    </row>
    <row r="351" spans="1:39" s="2" customFormat="1">
      <c r="A351" s="179" t="s">
        <v>380</v>
      </c>
      <c r="B351" s="238" t="s">
        <v>163</v>
      </c>
      <c r="C351" s="164" t="s">
        <v>1044</v>
      </c>
      <c r="D351" s="236" t="s">
        <v>1118</v>
      </c>
      <c r="E351" s="180">
        <v>0</v>
      </c>
      <c r="F351" s="181">
        <v>0</v>
      </c>
      <c r="G351" s="182">
        <v>0</v>
      </c>
      <c r="H351" s="180">
        <v>0</v>
      </c>
      <c r="I351" s="181">
        <v>0</v>
      </c>
      <c r="J351" s="182">
        <v>0</v>
      </c>
      <c r="K351" s="180">
        <v>0</v>
      </c>
      <c r="L351" s="181">
        <v>0</v>
      </c>
      <c r="M351" s="182">
        <v>0</v>
      </c>
      <c r="N351" s="180">
        <v>0</v>
      </c>
      <c r="O351" s="181">
        <v>0</v>
      </c>
      <c r="P351" s="182">
        <v>0</v>
      </c>
      <c r="Q351" s="180">
        <v>0</v>
      </c>
      <c r="R351" s="181">
        <v>0</v>
      </c>
      <c r="S351" s="182">
        <v>0</v>
      </c>
      <c r="T351" s="180">
        <v>0</v>
      </c>
      <c r="U351" s="181">
        <v>0</v>
      </c>
      <c r="V351" s="182">
        <v>0</v>
      </c>
      <c r="W351" s="180">
        <v>0</v>
      </c>
      <c r="X351" s="181">
        <v>0</v>
      </c>
      <c r="Y351" s="182">
        <v>0</v>
      </c>
      <c r="Z351" s="180">
        <v>0</v>
      </c>
      <c r="AA351" s="181">
        <v>0</v>
      </c>
      <c r="AB351" s="182">
        <v>0</v>
      </c>
      <c r="AC351" s="180">
        <v>0</v>
      </c>
      <c r="AD351" s="181">
        <v>0</v>
      </c>
      <c r="AE351" s="182">
        <v>0</v>
      </c>
      <c r="AF351" s="180">
        <v>0</v>
      </c>
      <c r="AG351" s="181">
        <v>0</v>
      </c>
      <c r="AH351" s="182">
        <v>0</v>
      </c>
      <c r="AI351" s="168" t="s">
        <v>1045</v>
      </c>
      <c r="AJ351" s="169" t="s">
        <v>2555</v>
      </c>
      <c r="AK351" s="170" t="s">
        <v>2502</v>
      </c>
      <c r="AL351" s="169" t="s">
        <v>14</v>
      </c>
      <c r="AM351" s="183">
        <v>1182</v>
      </c>
    </row>
    <row r="352" spans="1:39" s="2" customFormat="1">
      <c r="A352" s="179" t="s">
        <v>423</v>
      </c>
      <c r="B352" s="238" t="s">
        <v>163</v>
      </c>
      <c r="C352" s="164" t="s">
        <v>1919</v>
      </c>
      <c r="D352" s="236" t="s">
        <v>4569</v>
      </c>
      <c r="E352" s="180">
        <v>170</v>
      </c>
      <c r="F352" s="181">
        <v>150</v>
      </c>
      <c r="G352" s="182">
        <v>140</v>
      </c>
      <c r="H352" s="180">
        <v>170</v>
      </c>
      <c r="I352" s="181">
        <v>150</v>
      </c>
      <c r="J352" s="182">
        <v>140</v>
      </c>
      <c r="K352" s="180">
        <v>170</v>
      </c>
      <c r="L352" s="181">
        <v>150</v>
      </c>
      <c r="M352" s="182">
        <v>140</v>
      </c>
      <c r="N352" s="180">
        <v>170</v>
      </c>
      <c r="O352" s="181">
        <v>150</v>
      </c>
      <c r="P352" s="182">
        <v>140</v>
      </c>
      <c r="Q352" s="180">
        <v>170</v>
      </c>
      <c r="R352" s="181">
        <v>150</v>
      </c>
      <c r="S352" s="182">
        <v>140</v>
      </c>
      <c r="T352" s="180">
        <v>170</v>
      </c>
      <c r="U352" s="181">
        <v>170</v>
      </c>
      <c r="V352" s="182">
        <v>140</v>
      </c>
      <c r="W352" s="180">
        <v>170</v>
      </c>
      <c r="X352" s="181">
        <v>170</v>
      </c>
      <c r="Y352" s="182">
        <v>140</v>
      </c>
      <c r="Z352" s="180">
        <v>170</v>
      </c>
      <c r="AA352" s="181">
        <v>170</v>
      </c>
      <c r="AB352" s="182">
        <v>140</v>
      </c>
      <c r="AC352" s="180">
        <v>170</v>
      </c>
      <c r="AD352" s="181">
        <v>170</v>
      </c>
      <c r="AE352" s="182">
        <v>140</v>
      </c>
      <c r="AF352" s="180">
        <v>170</v>
      </c>
      <c r="AG352" s="181">
        <v>170</v>
      </c>
      <c r="AH352" s="182">
        <v>140</v>
      </c>
      <c r="AI352" s="168" t="s">
        <v>1920</v>
      </c>
      <c r="AJ352" s="169" t="s">
        <v>2555</v>
      </c>
      <c r="AK352" s="170" t="s">
        <v>2556</v>
      </c>
      <c r="AL352" s="169" t="s">
        <v>14</v>
      </c>
      <c r="AM352" s="183">
        <v>1183</v>
      </c>
    </row>
    <row r="353" spans="1:39" s="2" customFormat="1">
      <c r="A353" s="179" t="s">
        <v>309</v>
      </c>
      <c r="B353" s="238" t="s">
        <v>163</v>
      </c>
      <c r="C353" s="164" t="s">
        <v>4617</v>
      </c>
      <c r="D353" s="236" t="s">
        <v>4618</v>
      </c>
      <c r="E353" s="180">
        <v>365</v>
      </c>
      <c r="F353" s="181">
        <v>365</v>
      </c>
      <c r="G353" s="182">
        <v>365</v>
      </c>
      <c r="H353" s="180">
        <v>365</v>
      </c>
      <c r="I353" s="181">
        <v>365</v>
      </c>
      <c r="J353" s="182">
        <v>365</v>
      </c>
      <c r="K353" s="180">
        <v>365</v>
      </c>
      <c r="L353" s="181">
        <v>365</v>
      </c>
      <c r="M353" s="182">
        <v>365</v>
      </c>
      <c r="N353" s="180">
        <v>365</v>
      </c>
      <c r="O353" s="181">
        <v>365</v>
      </c>
      <c r="P353" s="182">
        <v>365</v>
      </c>
      <c r="Q353" s="180">
        <v>365</v>
      </c>
      <c r="R353" s="181">
        <v>365</v>
      </c>
      <c r="S353" s="182">
        <v>365</v>
      </c>
      <c r="T353" s="180">
        <v>365</v>
      </c>
      <c r="U353" s="181">
        <v>365</v>
      </c>
      <c r="V353" s="182">
        <v>365</v>
      </c>
      <c r="W353" s="180">
        <v>365</v>
      </c>
      <c r="X353" s="181">
        <v>365</v>
      </c>
      <c r="Y353" s="182">
        <v>365</v>
      </c>
      <c r="Z353" s="180">
        <v>365</v>
      </c>
      <c r="AA353" s="181">
        <v>365</v>
      </c>
      <c r="AB353" s="182">
        <v>365</v>
      </c>
      <c r="AC353" s="180">
        <v>365</v>
      </c>
      <c r="AD353" s="181">
        <v>365</v>
      </c>
      <c r="AE353" s="182">
        <v>365</v>
      </c>
      <c r="AF353" s="180">
        <v>365</v>
      </c>
      <c r="AG353" s="181">
        <v>365</v>
      </c>
      <c r="AH353" s="182">
        <v>365</v>
      </c>
      <c r="AI353" s="168" t="s">
        <v>357</v>
      </c>
      <c r="AJ353" s="169" t="s">
        <v>2639</v>
      </c>
      <c r="AK353" s="170" t="s">
        <v>2640</v>
      </c>
      <c r="AL353" s="169" t="s">
        <v>12</v>
      </c>
      <c r="AM353" s="183">
        <v>1185</v>
      </c>
    </row>
    <row r="354" spans="1:39" s="2" customFormat="1">
      <c r="A354" s="179" t="s">
        <v>309</v>
      </c>
      <c r="B354" s="238" t="s">
        <v>163</v>
      </c>
      <c r="C354" s="164" t="s">
        <v>4617</v>
      </c>
      <c r="D354" s="236" t="s">
        <v>4619</v>
      </c>
      <c r="E354" s="180">
        <v>365</v>
      </c>
      <c r="F354" s="181">
        <v>365</v>
      </c>
      <c r="G354" s="182">
        <v>365</v>
      </c>
      <c r="H354" s="180">
        <v>365</v>
      </c>
      <c r="I354" s="181">
        <v>365</v>
      </c>
      <c r="J354" s="182">
        <v>365</v>
      </c>
      <c r="K354" s="180">
        <v>365</v>
      </c>
      <c r="L354" s="181">
        <v>365</v>
      </c>
      <c r="M354" s="182">
        <v>365</v>
      </c>
      <c r="N354" s="180">
        <v>365</v>
      </c>
      <c r="O354" s="181">
        <v>365</v>
      </c>
      <c r="P354" s="182">
        <v>365</v>
      </c>
      <c r="Q354" s="180">
        <v>365</v>
      </c>
      <c r="R354" s="181">
        <v>365</v>
      </c>
      <c r="S354" s="182">
        <v>365</v>
      </c>
      <c r="T354" s="180">
        <v>365</v>
      </c>
      <c r="U354" s="181">
        <v>365</v>
      </c>
      <c r="V354" s="182">
        <v>365</v>
      </c>
      <c r="W354" s="180">
        <v>365</v>
      </c>
      <c r="X354" s="181">
        <v>365</v>
      </c>
      <c r="Y354" s="182">
        <v>365</v>
      </c>
      <c r="Z354" s="180">
        <v>365</v>
      </c>
      <c r="AA354" s="181">
        <v>365</v>
      </c>
      <c r="AB354" s="182">
        <v>365</v>
      </c>
      <c r="AC354" s="180">
        <v>365</v>
      </c>
      <c r="AD354" s="181">
        <v>365</v>
      </c>
      <c r="AE354" s="182">
        <v>365</v>
      </c>
      <c r="AF354" s="180">
        <v>365</v>
      </c>
      <c r="AG354" s="181">
        <v>365</v>
      </c>
      <c r="AH354" s="182">
        <v>365</v>
      </c>
      <c r="AI354" s="168" t="s">
        <v>357</v>
      </c>
      <c r="AJ354" s="169" t="s">
        <v>2639</v>
      </c>
      <c r="AK354" s="170" t="s">
        <v>2640</v>
      </c>
      <c r="AL354" s="169" t="s">
        <v>12</v>
      </c>
      <c r="AM354" s="183">
        <v>1185</v>
      </c>
    </row>
    <row r="355" spans="1:39" s="2" customFormat="1">
      <c r="A355" s="179" t="s">
        <v>309</v>
      </c>
      <c r="B355" s="238" t="s">
        <v>163</v>
      </c>
      <c r="C355" s="164" t="s">
        <v>4617</v>
      </c>
      <c r="D355" s="236" t="s">
        <v>4620</v>
      </c>
      <c r="E355" s="180">
        <v>365</v>
      </c>
      <c r="F355" s="181">
        <v>365</v>
      </c>
      <c r="G355" s="182">
        <v>365</v>
      </c>
      <c r="H355" s="180">
        <v>365</v>
      </c>
      <c r="I355" s="181">
        <v>365</v>
      </c>
      <c r="J355" s="182">
        <v>365</v>
      </c>
      <c r="K355" s="180">
        <v>365</v>
      </c>
      <c r="L355" s="181">
        <v>365</v>
      </c>
      <c r="M355" s="182">
        <v>365</v>
      </c>
      <c r="N355" s="180">
        <v>365</v>
      </c>
      <c r="O355" s="181">
        <v>365</v>
      </c>
      <c r="P355" s="182">
        <v>365</v>
      </c>
      <c r="Q355" s="180">
        <v>365</v>
      </c>
      <c r="R355" s="181">
        <v>365</v>
      </c>
      <c r="S355" s="182">
        <v>365</v>
      </c>
      <c r="T355" s="180">
        <v>365</v>
      </c>
      <c r="U355" s="181">
        <v>365</v>
      </c>
      <c r="V355" s="182">
        <v>365</v>
      </c>
      <c r="W355" s="180">
        <v>365</v>
      </c>
      <c r="X355" s="181">
        <v>365</v>
      </c>
      <c r="Y355" s="182">
        <v>365</v>
      </c>
      <c r="Z355" s="180">
        <v>365</v>
      </c>
      <c r="AA355" s="181">
        <v>365</v>
      </c>
      <c r="AB355" s="182">
        <v>365</v>
      </c>
      <c r="AC355" s="180">
        <v>365</v>
      </c>
      <c r="AD355" s="181">
        <v>365</v>
      </c>
      <c r="AE355" s="182">
        <v>365</v>
      </c>
      <c r="AF355" s="180">
        <v>365</v>
      </c>
      <c r="AG355" s="181">
        <v>365</v>
      </c>
      <c r="AH355" s="182">
        <v>365</v>
      </c>
      <c r="AI355" s="168" t="s">
        <v>357</v>
      </c>
      <c r="AJ355" s="169" t="s">
        <v>2639</v>
      </c>
      <c r="AK355" s="170" t="s">
        <v>2640</v>
      </c>
      <c r="AL355" s="169" t="s">
        <v>12</v>
      </c>
      <c r="AM355" s="183">
        <v>1185</v>
      </c>
    </row>
    <row r="356" spans="1:39" s="2" customFormat="1">
      <c r="A356" s="179" t="s">
        <v>309</v>
      </c>
      <c r="B356" s="238" t="s">
        <v>163</v>
      </c>
      <c r="C356" s="164" t="s">
        <v>4617</v>
      </c>
      <c r="D356" s="236" t="s">
        <v>4621</v>
      </c>
      <c r="E356" s="180">
        <v>365</v>
      </c>
      <c r="F356" s="181">
        <v>365</v>
      </c>
      <c r="G356" s="182">
        <v>365</v>
      </c>
      <c r="H356" s="180">
        <v>365</v>
      </c>
      <c r="I356" s="181">
        <v>365</v>
      </c>
      <c r="J356" s="182">
        <v>365</v>
      </c>
      <c r="K356" s="180">
        <v>365</v>
      </c>
      <c r="L356" s="181">
        <v>365</v>
      </c>
      <c r="M356" s="182">
        <v>365</v>
      </c>
      <c r="N356" s="180">
        <v>365</v>
      </c>
      <c r="O356" s="181">
        <v>365</v>
      </c>
      <c r="P356" s="182">
        <v>365</v>
      </c>
      <c r="Q356" s="180">
        <v>365</v>
      </c>
      <c r="R356" s="181">
        <v>365</v>
      </c>
      <c r="S356" s="182">
        <v>365</v>
      </c>
      <c r="T356" s="180">
        <v>365</v>
      </c>
      <c r="U356" s="181">
        <v>365</v>
      </c>
      <c r="V356" s="182">
        <v>365</v>
      </c>
      <c r="W356" s="180">
        <v>365</v>
      </c>
      <c r="X356" s="181">
        <v>365</v>
      </c>
      <c r="Y356" s="182">
        <v>365</v>
      </c>
      <c r="Z356" s="180">
        <v>365</v>
      </c>
      <c r="AA356" s="181">
        <v>365</v>
      </c>
      <c r="AB356" s="182">
        <v>365</v>
      </c>
      <c r="AC356" s="180">
        <v>365</v>
      </c>
      <c r="AD356" s="181">
        <v>365</v>
      </c>
      <c r="AE356" s="182">
        <v>365</v>
      </c>
      <c r="AF356" s="180">
        <v>365</v>
      </c>
      <c r="AG356" s="181">
        <v>365</v>
      </c>
      <c r="AH356" s="182">
        <v>365</v>
      </c>
      <c r="AI356" s="168" t="s">
        <v>357</v>
      </c>
      <c r="AJ356" s="169" t="s">
        <v>2639</v>
      </c>
      <c r="AK356" s="170" t="s">
        <v>2640</v>
      </c>
      <c r="AL356" s="169" t="s">
        <v>12</v>
      </c>
      <c r="AM356" s="183">
        <v>1185</v>
      </c>
    </row>
    <row r="357" spans="1:39" s="2" customFormat="1">
      <c r="A357" s="179" t="s">
        <v>423</v>
      </c>
      <c r="B357" s="238" t="s">
        <v>163</v>
      </c>
      <c r="C357" s="164" t="s">
        <v>1504</v>
      </c>
      <c r="D357" s="236" t="s">
        <v>1506</v>
      </c>
      <c r="E357" s="180">
        <v>511.00299999999999</v>
      </c>
      <c r="F357" s="181">
        <v>511.00299999999999</v>
      </c>
      <c r="G357" s="182">
        <v>511.00299999999999</v>
      </c>
      <c r="H357" s="180">
        <v>511.00299999999999</v>
      </c>
      <c r="I357" s="181">
        <v>511.00299999999999</v>
      </c>
      <c r="J357" s="182">
        <v>511.00299999999999</v>
      </c>
      <c r="K357" s="180">
        <v>511.00299999999999</v>
      </c>
      <c r="L357" s="181">
        <v>511.00299999999999</v>
      </c>
      <c r="M357" s="182">
        <v>511.00299999999999</v>
      </c>
      <c r="N357" s="180">
        <v>511.00299999999999</v>
      </c>
      <c r="O357" s="181">
        <v>511.00299999999999</v>
      </c>
      <c r="P357" s="182">
        <v>511.00299999999999</v>
      </c>
      <c r="Q357" s="180">
        <v>511.00299999999999</v>
      </c>
      <c r="R357" s="181">
        <v>511.00299999999999</v>
      </c>
      <c r="S357" s="182">
        <v>511.00299999999999</v>
      </c>
      <c r="T357" s="180">
        <v>511.00299999999999</v>
      </c>
      <c r="U357" s="181">
        <v>511.00299999999999</v>
      </c>
      <c r="V357" s="182">
        <v>511.00299999999999</v>
      </c>
      <c r="W357" s="180">
        <v>511.00299999999999</v>
      </c>
      <c r="X357" s="181">
        <v>511.00299999999999</v>
      </c>
      <c r="Y357" s="182">
        <v>511.00299999999999</v>
      </c>
      <c r="Z357" s="180">
        <v>511.00299999999999</v>
      </c>
      <c r="AA357" s="181">
        <v>511.00299999999999</v>
      </c>
      <c r="AB357" s="182">
        <v>511.00299999999999</v>
      </c>
      <c r="AC357" s="180">
        <v>511.00299999999999</v>
      </c>
      <c r="AD357" s="181">
        <v>511.00299999999999</v>
      </c>
      <c r="AE357" s="182">
        <v>511.00299999999999</v>
      </c>
      <c r="AF357" s="180">
        <v>511.00299999999999</v>
      </c>
      <c r="AG357" s="181">
        <v>511.00299999999999</v>
      </c>
      <c r="AH357" s="182">
        <v>511.00299999999999</v>
      </c>
      <c r="AI357" s="168" t="s">
        <v>1505</v>
      </c>
      <c r="AJ357" s="169" t="s">
        <v>2485</v>
      </c>
      <c r="AK357" s="170" t="s">
        <v>2486</v>
      </c>
      <c r="AL357" s="169" t="s">
        <v>17</v>
      </c>
      <c r="AM357" s="183">
        <v>1187</v>
      </c>
    </row>
    <row r="358" spans="1:39" s="2" customFormat="1">
      <c r="A358" s="179" t="s">
        <v>7</v>
      </c>
      <c r="B358" s="238" t="s">
        <v>163</v>
      </c>
      <c r="C358" s="164" t="s">
        <v>653</v>
      </c>
      <c r="D358" s="236" t="s">
        <v>4651</v>
      </c>
      <c r="E358" s="180">
        <v>202</v>
      </c>
      <c r="F358" s="181">
        <v>202</v>
      </c>
      <c r="G358" s="182">
        <v>202</v>
      </c>
      <c r="H358" s="180">
        <v>202</v>
      </c>
      <c r="I358" s="181">
        <v>202</v>
      </c>
      <c r="J358" s="182">
        <v>202</v>
      </c>
      <c r="K358" s="180">
        <v>202</v>
      </c>
      <c r="L358" s="181">
        <v>202</v>
      </c>
      <c r="M358" s="182">
        <v>202</v>
      </c>
      <c r="N358" s="180">
        <v>202</v>
      </c>
      <c r="O358" s="181">
        <v>202</v>
      </c>
      <c r="P358" s="182">
        <v>202</v>
      </c>
      <c r="Q358" s="180">
        <v>202</v>
      </c>
      <c r="R358" s="181">
        <v>202</v>
      </c>
      <c r="S358" s="182">
        <v>202</v>
      </c>
      <c r="T358" s="180">
        <v>202</v>
      </c>
      <c r="U358" s="181">
        <v>202</v>
      </c>
      <c r="V358" s="182">
        <v>202</v>
      </c>
      <c r="W358" s="180">
        <v>202</v>
      </c>
      <c r="X358" s="181">
        <v>202</v>
      </c>
      <c r="Y358" s="182">
        <v>202</v>
      </c>
      <c r="Z358" s="180">
        <v>202</v>
      </c>
      <c r="AA358" s="181">
        <v>202</v>
      </c>
      <c r="AB358" s="182">
        <v>202</v>
      </c>
      <c r="AC358" s="180">
        <v>202</v>
      </c>
      <c r="AD358" s="181">
        <v>202</v>
      </c>
      <c r="AE358" s="182">
        <v>202</v>
      </c>
      <c r="AF358" s="180">
        <v>202</v>
      </c>
      <c r="AG358" s="181">
        <v>202</v>
      </c>
      <c r="AH358" s="182">
        <v>202</v>
      </c>
      <c r="AI358" s="168" t="s">
        <v>654</v>
      </c>
      <c r="AJ358" s="169" t="s">
        <v>2491</v>
      </c>
      <c r="AK358" s="170" t="s">
        <v>2477</v>
      </c>
      <c r="AL358" s="169" t="s">
        <v>2479</v>
      </c>
      <c r="AM358" s="183">
        <v>1894</v>
      </c>
    </row>
    <row r="359" spans="1:39" s="2" customFormat="1">
      <c r="A359" s="179" t="s">
        <v>7</v>
      </c>
      <c r="B359" s="238" t="s">
        <v>163</v>
      </c>
      <c r="C359" s="164" t="s">
        <v>653</v>
      </c>
      <c r="D359" s="236" t="s">
        <v>4653</v>
      </c>
      <c r="E359" s="180">
        <v>198</v>
      </c>
      <c r="F359" s="181">
        <v>198</v>
      </c>
      <c r="G359" s="182">
        <v>198</v>
      </c>
      <c r="H359" s="180">
        <v>198</v>
      </c>
      <c r="I359" s="181">
        <v>198</v>
      </c>
      <c r="J359" s="182">
        <v>198</v>
      </c>
      <c r="K359" s="180">
        <v>198</v>
      </c>
      <c r="L359" s="181">
        <v>198</v>
      </c>
      <c r="M359" s="182">
        <v>198</v>
      </c>
      <c r="N359" s="180">
        <v>198</v>
      </c>
      <c r="O359" s="181">
        <v>198</v>
      </c>
      <c r="P359" s="182">
        <v>198</v>
      </c>
      <c r="Q359" s="180">
        <v>198</v>
      </c>
      <c r="R359" s="181">
        <v>198</v>
      </c>
      <c r="S359" s="182">
        <v>198</v>
      </c>
      <c r="T359" s="180">
        <v>198</v>
      </c>
      <c r="U359" s="181">
        <v>198</v>
      </c>
      <c r="V359" s="182">
        <v>198</v>
      </c>
      <c r="W359" s="180">
        <v>198</v>
      </c>
      <c r="X359" s="181">
        <v>198</v>
      </c>
      <c r="Y359" s="182">
        <v>198</v>
      </c>
      <c r="Z359" s="180">
        <v>198</v>
      </c>
      <c r="AA359" s="181">
        <v>198</v>
      </c>
      <c r="AB359" s="182">
        <v>198</v>
      </c>
      <c r="AC359" s="180">
        <v>198</v>
      </c>
      <c r="AD359" s="181">
        <v>198</v>
      </c>
      <c r="AE359" s="182">
        <v>198</v>
      </c>
      <c r="AF359" s="180">
        <v>198</v>
      </c>
      <c r="AG359" s="181">
        <v>198</v>
      </c>
      <c r="AH359" s="182">
        <v>198</v>
      </c>
      <c r="AI359" s="168" t="s">
        <v>654</v>
      </c>
      <c r="AJ359" s="169" t="s">
        <v>2491</v>
      </c>
      <c r="AK359" s="170" t="s">
        <v>2477</v>
      </c>
      <c r="AL359" s="169" t="s">
        <v>2479</v>
      </c>
      <c r="AM359" s="183">
        <v>1894</v>
      </c>
    </row>
    <row r="360" spans="1:39" s="2" customFormat="1">
      <c r="A360" s="179" t="s">
        <v>309</v>
      </c>
      <c r="B360" s="238" t="s">
        <v>163</v>
      </c>
      <c r="C360" s="164" t="s">
        <v>4664</v>
      </c>
      <c r="D360" s="236" t="s">
        <v>4666</v>
      </c>
      <c r="E360" s="180">
        <v>117</v>
      </c>
      <c r="F360" s="181">
        <v>121.16</v>
      </c>
      <c r="G360" s="182">
        <v>120.12</v>
      </c>
      <c r="H360" s="180">
        <v>117</v>
      </c>
      <c r="I360" s="181">
        <v>121.16</v>
      </c>
      <c r="J360" s="182">
        <v>120.12</v>
      </c>
      <c r="K360" s="180">
        <v>117</v>
      </c>
      <c r="L360" s="181">
        <v>121.16</v>
      </c>
      <c r="M360" s="182">
        <v>120.12</v>
      </c>
      <c r="N360" s="180">
        <v>117</v>
      </c>
      <c r="O360" s="181">
        <v>121.16</v>
      </c>
      <c r="P360" s="182">
        <v>120.12</v>
      </c>
      <c r="Q360" s="180">
        <v>117</v>
      </c>
      <c r="R360" s="181">
        <v>121.16</v>
      </c>
      <c r="S360" s="182">
        <v>120.12</v>
      </c>
      <c r="T360" s="180">
        <v>117</v>
      </c>
      <c r="U360" s="181">
        <v>121.16</v>
      </c>
      <c r="V360" s="182">
        <v>120.12</v>
      </c>
      <c r="W360" s="180">
        <v>117</v>
      </c>
      <c r="X360" s="181">
        <v>121.16</v>
      </c>
      <c r="Y360" s="182">
        <v>120.12</v>
      </c>
      <c r="Z360" s="180">
        <v>117</v>
      </c>
      <c r="AA360" s="181">
        <v>121.16</v>
      </c>
      <c r="AB360" s="182">
        <v>120.12</v>
      </c>
      <c r="AC360" s="180">
        <v>117</v>
      </c>
      <c r="AD360" s="181">
        <v>121.16</v>
      </c>
      <c r="AE360" s="182">
        <v>120.12</v>
      </c>
      <c r="AF360" s="180">
        <v>117</v>
      </c>
      <c r="AG360" s="181">
        <v>121.16</v>
      </c>
      <c r="AH360" s="182">
        <v>120.12</v>
      </c>
      <c r="AI360" s="168" t="s">
        <v>4665</v>
      </c>
      <c r="AJ360" s="169" t="s">
        <v>2476</v>
      </c>
      <c r="AK360" s="170" t="s">
        <v>2477</v>
      </c>
      <c r="AL360" s="169" t="s">
        <v>2479</v>
      </c>
      <c r="AM360" s="183">
        <v>1437</v>
      </c>
    </row>
    <row r="361" spans="1:39" s="2" customFormat="1">
      <c r="A361" s="179" t="s">
        <v>7</v>
      </c>
      <c r="B361" s="238" t="s">
        <v>163</v>
      </c>
      <c r="C361" s="164" t="s">
        <v>1554</v>
      </c>
      <c r="D361" s="236" t="s">
        <v>1556</v>
      </c>
      <c r="E361" s="180">
        <v>199.68</v>
      </c>
      <c r="F361" s="181">
        <v>199.68</v>
      </c>
      <c r="G361" s="182">
        <v>191.36</v>
      </c>
      <c r="H361" s="180">
        <v>199.68</v>
      </c>
      <c r="I361" s="181">
        <v>199.68</v>
      </c>
      <c r="J361" s="182">
        <v>191.36</v>
      </c>
      <c r="K361" s="180">
        <v>199.68</v>
      </c>
      <c r="L361" s="181">
        <v>199.68</v>
      </c>
      <c r="M361" s="182">
        <v>191.36</v>
      </c>
      <c r="N361" s="180">
        <v>199.68</v>
      </c>
      <c r="O361" s="181">
        <v>199.68</v>
      </c>
      <c r="P361" s="182">
        <v>191.36</v>
      </c>
      <c r="Q361" s="180">
        <v>199.68</v>
      </c>
      <c r="R361" s="181">
        <v>199.68</v>
      </c>
      <c r="S361" s="182">
        <v>191.36</v>
      </c>
      <c r="T361" s="180">
        <v>199.68</v>
      </c>
      <c r="U361" s="181">
        <v>199.68</v>
      </c>
      <c r="V361" s="182">
        <v>191.36</v>
      </c>
      <c r="W361" s="180">
        <v>199.68</v>
      </c>
      <c r="X361" s="181">
        <v>199.68</v>
      </c>
      <c r="Y361" s="182">
        <v>191.36</v>
      </c>
      <c r="Z361" s="180">
        <v>199.68</v>
      </c>
      <c r="AA361" s="181">
        <v>199.68</v>
      </c>
      <c r="AB361" s="182">
        <v>191.36</v>
      </c>
      <c r="AC361" s="180">
        <v>199.68</v>
      </c>
      <c r="AD361" s="181">
        <v>199.68</v>
      </c>
      <c r="AE361" s="182">
        <v>191.36</v>
      </c>
      <c r="AF361" s="180">
        <v>199.68</v>
      </c>
      <c r="AG361" s="181">
        <v>199.68</v>
      </c>
      <c r="AH361" s="182">
        <v>191.36</v>
      </c>
      <c r="AI361" s="168" t="s">
        <v>1555</v>
      </c>
      <c r="AJ361" s="169" t="s">
        <v>2491</v>
      </c>
      <c r="AK361" s="170" t="s">
        <v>2477</v>
      </c>
      <c r="AL361" s="169" t="s">
        <v>2479</v>
      </c>
      <c r="AM361" s="183">
        <v>1447</v>
      </c>
    </row>
    <row r="362" spans="1:39" s="2" customFormat="1">
      <c r="A362" s="179" t="s">
        <v>7</v>
      </c>
      <c r="B362" s="238" t="s">
        <v>163</v>
      </c>
      <c r="C362" s="164" t="s">
        <v>1641</v>
      </c>
      <c r="D362" s="236" t="s">
        <v>4679</v>
      </c>
      <c r="E362" s="180">
        <v>150</v>
      </c>
      <c r="F362" s="181">
        <v>150</v>
      </c>
      <c r="G362" s="182">
        <v>150</v>
      </c>
      <c r="H362" s="180">
        <v>150</v>
      </c>
      <c r="I362" s="181">
        <v>150</v>
      </c>
      <c r="J362" s="182">
        <v>150</v>
      </c>
      <c r="K362" s="180">
        <v>150</v>
      </c>
      <c r="L362" s="181">
        <v>150</v>
      </c>
      <c r="M362" s="182">
        <v>150</v>
      </c>
      <c r="N362" s="180">
        <v>150</v>
      </c>
      <c r="O362" s="181">
        <v>150</v>
      </c>
      <c r="P362" s="182">
        <v>150</v>
      </c>
      <c r="Q362" s="180">
        <v>150</v>
      </c>
      <c r="R362" s="181">
        <v>150</v>
      </c>
      <c r="S362" s="182">
        <v>150</v>
      </c>
      <c r="T362" s="180">
        <v>150</v>
      </c>
      <c r="U362" s="181">
        <v>150</v>
      </c>
      <c r="V362" s="182">
        <v>150</v>
      </c>
      <c r="W362" s="180">
        <v>150</v>
      </c>
      <c r="X362" s="181">
        <v>150</v>
      </c>
      <c r="Y362" s="182">
        <v>150</v>
      </c>
      <c r="Z362" s="180">
        <v>150</v>
      </c>
      <c r="AA362" s="181">
        <v>150</v>
      </c>
      <c r="AB362" s="182">
        <v>150</v>
      </c>
      <c r="AC362" s="180">
        <v>150</v>
      </c>
      <c r="AD362" s="181">
        <v>150</v>
      </c>
      <c r="AE362" s="182">
        <v>150</v>
      </c>
      <c r="AF362" s="180">
        <v>150</v>
      </c>
      <c r="AG362" s="181">
        <v>150</v>
      </c>
      <c r="AH362" s="182">
        <v>150</v>
      </c>
      <c r="AI362" s="168" t="s">
        <v>4678</v>
      </c>
      <c r="AJ362" s="169" t="s">
        <v>2491</v>
      </c>
      <c r="AK362" s="170" t="s">
        <v>2477</v>
      </c>
      <c r="AL362" s="169" t="s">
        <v>2479</v>
      </c>
      <c r="AM362" s="183">
        <v>1586</v>
      </c>
    </row>
    <row r="363" spans="1:39" s="2" customFormat="1" ht="20.6">
      <c r="A363" s="179" t="s">
        <v>309</v>
      </c>
      <c r="B363" s="238" t="s">
        <v>2463</v>
      </c>
      <c r="C363" s="164" t="s">
        <v>542</v>
      </c>
      <c r="D363" s="236" t="s">
        <v>544</v>
      </c>
      <c r="E363" s="180">
        <v>0</v>
      </c>
      <c r="F363" s="181">
        <v>260</v>
      </c>
      <c r="G363" s="182">
        <v>260</v>
      </c>
      <c r="H363" s="180">
        <v>260</v>
      </c>
      <c r="I363" s="181">
        <v>260</v>
      </c>
      <c r="J363" s="182">
        <v>260</v>
      </c>
      <c r="K363" s="180">
        <v>260</v>
      </c>
      <c r="L363" s="181">
        <v>260</v>
      </c>
      <c r="M363" s="182">
        <v>260</v>
      </c>
      <c r="N363" s="180">
        <v>260</v>
      </c>
      <c r="O363" s="181">
        <v>260</v>
      </c>
      <c r="P363" s="182">
        <v>260</v>
      </c>
      <c r="Q363" s="180">
        <v>260</v>
      </c>
      <c r="R363" s="181">
        <v>260</v>
      </c>
      <c r="S363" s="182">
        <v>260</v>
      </c>
      <c r="T363" s="180">
        <v>260</v>
      </c>
      <c r="U363" s="181">
        <v>260</v>
      </c>
      <c r="V363" s="182">
        <v>260</v>
      </c>
      <c r="W363" s="180">
        <v>260</v>
      </c>
      <c r="X363" s="181">
        <v>260</v>
      </c>
      <c r="Y363" s="182">
        <v>260</v>
      </c>
      <c r="Z363" s="180">
        <v>260</v>
      </c>
      <c r="AA363" s="181">
        <v>260</v>
      </c>
      <c r="AB363" s="182">
        <v>260</v>
      </c>
      <c r="AC363" s="180">
        <v>260</v>
      </c>
      <c r="AD363" s="181">
        <v>260</v>
      </c>
      <c r="AE363" s="182">
        <v>260</v>
      </c>
      <c r="AF363" s="180">
        <v>260</v>
      </c>
      <c r="AG363" s="181">
        <v>260</v>
      </c>
      <c r="AH363" s="182">
        <v>260</v>
      </c>
      <c r="AI363" s="168" t="s">
        <v>543</v>
      </c>
      <c r="AJ363" s="169" t="s">
        <v>2466</v>
      </c>
      <c r="AK363" s="170" t="s">
        <v>2467</v>
      </c>
      <c r="AL363" s="169" t="s">
        <v>20</v>
      </c>
      <c r="AM363" s="183">
        <v>2431</v>
      </c>
    </row>
    <row r="364" spans="1:39" s="2" customFormat="1" ht="20.6">
      <c r="A364" s="179" t="s">
        <v>309</v>
      </c>
      <c r="B364" s="238" t="s">
        <v>2463</v>
      </c>
      <c r="C364" s="164" t="s">
        <v>542</v>
      </c>
      <c r="D364" s="236" t="s">
        <v>5182</v>
      </c>
      <c r="E364" s="180">
        <v>0</v>
      </c>
      <c r="F364" s="181">
        <v>0</v>
      </c>
      <c r="G364" s="182">
        <v>0</v>
      </c>
      <c r="H364" s="180">
        <v>260</v>
      </c>
      <c r="I364" s="181">
        <v>260</v>
      </c>
      <c r="J364" s="182">
        <v>260</v>
      </c>
      <c r="K364" s="180">
        <v>260</v>
      </c>
      <c r="L364" s="181">
        <v>260</v>
      </c>
      <c r="M364" s="182">
        <v>260</v>
      </c>
      <c r="N364" s="180">
        <v>260</v>
      </c>
      <c r="O364" s="181">
        <v>260</v>
      </c>
      <c r="P364" s="182">
        <v>260</v>
      </c>
      <c r="Q364" s="180">
        <v>260</v>
      </c>
      <c r="R364" s="181">
        <v>260</v>
      </c>
      <c r="S364" s="182">
        <v>260</v>
      </c>
      <c r="T364" s="180">
        <v>260</v>
      </c>
      <c r="U364" s="181">
        <v>260</v>
      </c>
      <c r="V364" s="182">
        <v>260</v>
      </c>
      <c r="W364" s="180">
        <v>260</v>
      </c>
      <c r="X364" s="181">
        <v>260</v>
      </c>
      <c r="Y364" s="182">
        <v>260</v>
      </c>
      <c r="Z364" s="180">
        <v>260</v>
      </c>
      <c r="AA364" s="181">
        <v>260</v>
      </c>
      <c r="AB364" s="182">
        <v>260</v>
      </c>
      <c r="AC364" s="180">
        <v>260</v>
      </c>
      <c r="AD364" s="181">
        <v>260</v>
      </c>
      <c r="AE364" s="182">
        <v>260</v>
      </c>
      <c r="AF364" s="180">
        <v>260</v>
      </c>
      <c r="AG364" s="181">
        <v>260</v>
      </c>
      <c r="AH364" s="182">
        <v>260</v>
      </c>
      <c r="AI364" s="168" t="s">
        <v>543</v>
      </c>
      <c r="AJ364" s="169" t="s">
        <v>2466</v>
      </c>
      <c r="AK364" s="170" t="s">
        <v>2467</v>
      </c>
      <c r="AL364" s="169" t="s">
        <v>20</v>
      </c>
      <c r="AM364" s="183">
        <v>2431</v>
      </c>
    </row>
    <row r="365" spans="1:39" s="2" customFormat="1" ht="20.6">
      <c r="A365" s="179" t="s">
        <v>309</v>
      </c>
      <c r="B365" s="238" t="s">
        <v>163</v>
      </c>
      <c r="C365" s="164" t="s">
        <v>1863</v>
      </c>
      <c r="D365" s="236" t="s">
        <v>1865</v>
      </c>
      <c r="E365" s="180">
        <v>75.019000000000005</v>
      </c>
      <c r="F365" s="181">
        <v>75.019000000000005</v>
      </c>
      <c r="G365" s="182">
        <v>75.019000000000005</v>
      </c>
      <c r="H365" s="180">
        <v>75.019000000000005</v>
      </c>
      <c r="I365" s="181">
        <v>75.019000000000005</v>
      </c>
      <c r="J365" s="182">
        <v>75.019000000000005</v>
      </c>
      <c r="K365" s="180">
        <v>75.019000000000005</v>
      </c>
      <c r="L365" s="181">
        <v>75.019000000000005</v>
      </c>
      <c r="M365" s="182">
        <v>75.019000000000005</v>
      </c>
      <c r="N365" s="180">
        <v>75.019000000000005</v>
      </c>
      <c r="O365" s="181">
        <v>75.019000000000005</v>
      </c>
      <c r="P365" s="182">
        <v>75.019000000000005</v>
      </c>
      <c r="Q365" s="180">
        <v>75.019000000000005</v>
      </c>
      <c r="R365" s="181">
        <v>75.019000000000005</v>
      </c>
      <c r="S365" s="182">
        <v>75.019000000000005</v>
      </c>
      <c r="T365" s="180">
        <v>75.019000000000005</v>
      </c>
      <c r="U365" s="181">
        <v>75.019000000000005</v>
      </c>
      <c r="V365" s="182">
        <v>75.019000000000005</v>
      </c>
      <c r="W365" s="180">
        <v>75.019000000000005</v>
      </c>
      <c r="X365" s="181">
        <v>75.019000000000005</v>
      </c>
      <c r="Y365" s="182">
        <v>75.019000000000005</v>
      </c>
      <c r="Z365" s="180">
        <v>75.019000000000005</v>
      </c>
      <c r="AA365" s="181">
        <v>75.019000000000005</v>
      </c>
      <c r="AB365" s="182">
        <v>75.019000000000005</v>
      </c>
      <c r="AC365" s="180">
        <v>75.019000000000005</v>
      </c>
      <c r="AD365" s="181">
        <v>75.019000000000005</v>
      </c>
      <c r="AE365" s="182">
        <v>75.019000000000005</v>
      </c>
      <c r="AF365" s="180">
        <v>75.019000000000005</v>
      </c>
      <c r="AG365" s="181">
        <v>75.019000000000005</v>
      </c>
      <c r="AH365" s="182">
        <v>75.019000000000005</v>
      </c>
      <c r="AI365" s="168" t="s">
        <v>4685</v>
      </c>
      <c r="AJ365" s="169" t="s">
        <v>2491</v>
      </c>
      <c r="AK365" s="170" t="s">
        <v>2477</v>
      </c>
      <c r="AL365" s="169" t="s">
        <v>2479</v>
      </c>
      <c r="AM365" s="183">
        <v>1444</v>
      </c>
    </row>
    <row r="366" spans="1:39" s="2" customFormat="1">
      <c r="A366" s="179" t="s">
        <v>309</v>
      </c>
      <c r="B366" s="238" t="s">
        <v>163</v>
      </c>
      <c r="C366" s="164" t="s">
        <v>2068</v>
      </c>
      <c r="D366" s="236" t="s">
        <v>4691</v>
      </c>
      <c r="E366" s="180">
        <v>373</v>
      </c>
      <c r="F366" s="181">
        <v>373</v>
      </c>
      <c r="G366" s="182">
        <v>360</v>
      </c>
      <c r="H366" s="180">
        <v>373</v>
      </c>
      <c r="I366" s="181">
        <v>373</v>
      </c>
      <c r="J366" s="182">
        <v>360</v>
      </c>
      <c r="K366" s="180">
        <v>373</v>
      </c>
      <c r="L366" s="181">
        <v>373</v>
      </c>
      <c r="M366" s="182">
        <v>360</v>
      </c>
      <c r="N366" s="180">
        <v>373</v>
      </c>
      <c r="O366" s="181">
        <v>373</v>
      </c>
      <c r="P366" s="182">
        <v>360</v>
      </c>
      <c r="Q366" s="180">
        <v>373</v>
      </c>
      <c r="R366" s="181">
        <v>373</v>
      </c>
      <c r="S366" s="182">
        <v>360</v>
      </c>
      <c r="T366" s="180">
        <v>373</v>
      </c>
      <c r="U366" s="181">
        <v>373</v>
      </c>
      <c r="V366" s="182">
        <v>360</v>
      </c>
      <c r="W366" s="180">
        <v>373</v>
      </c>
      <c r="X366" s="181">
        <v>373</v>
      </c>
      <c r="Y366" s="182">
        <v>360</v>
      </c>
      <c r="Z366" s="180">
        <v>373</v>
      </c>
      <c r="AA366" s="181">
        <v>373</v>
      </c>
      <c r="AB366" s="182">
        <v>360</v>
      </c>
      <c r="AC366" s="180">
        <v>373</v>
      </c>
      <c r="AD366" s="181">
        <v>373</v>
      </c>
      <c r="AE366" s="182">
        <v>360</v>
      </c>
      <c r="AF366" s="180">
        <v>373</v>
      </c>
      <c r="AG366" s="181">
        <v>373</v>
      </c>
      <c r="AH366" s="182">
        <v>360</v>
      </c>
      <c r="AI366" s="168" t="s">
        <v>936</v>
      </c>
      <c r="AJ366" s="169" t="s">
        <v>3100</v>
      </c>
      <c r="AK366" s="170" t="s">
        <v>2786</v>
      </c>
      <c r="AL366" s="169" t="s">
        <v>13</v>
      </c>
      <c r="AM366" s="183">
        <v>1190</v>
      </c>
    </row>
    <row r="367" spans="1:39" s="2" customFormat="1">
      <c r="A367" s="179" t="s">
        <v>380</v>
      </c>
      <c r="B367" s="238" t="s">
        <v>163</v>
      </c>
      <c r="C367" s="164" t="s">
        <v>1934</v>
      </c>
      <c r="D367" s="236" t="s">
        <v>4698</v>
      </c>
      <c r="E367" s="180">
        <v>95</v>
      </c>
      <c r="F367" s="181">
        <v>95</v>
      </c>
      <c r="G367" s="182">
        <v>95</v>
      </c>
      <c r="H367" s="180">
        <v>95</v>
      </c>
      <c r="I367" s="181">
        <v>95</v>
      </c>
      <c r="J367" s="182">
        <v>95</v>
      </c>
      <c r="K367" s="180">
        <v>95</v>
      </c>
      <c r="L367" s="181">
        <v>95</v>
      </c>
      <c r="M367" s="182">
        <v>95</v>
      </c>
      <c r="N367" s="180">
        <v>95</v>
      </c>
      <c r="O367" s="181">
        <v>95</v>
      </c>
      <c r="P367" s="182">
        <v>95</v>
      </c>
      <c r="Q367" s="180">
        <v>95</v>
      </c>
      <c r="R367" s="181">
        <v>95</v>
      </c>
      <c r="S367" s="182">
        <v>95</v>
      </c>
      <c r="T367" s="180">
        <v>95</v>
      </c>
      <c r="U367" s="181">
        <v>95</v>
      </c>
      <c r="V367" s="182">
        <v>95</v>
      </c>
      <c r="W367" s="180">
        <v>95</v>
      </c>
      <c r="X367" s="181">
        <v>95</v>
      </c>
      <c r="Y367" s="182">
        <v>95</v>
      </c>
      <c r="Z367" s="180">
        <v>95</v>
      </c>
      <c r="AA367" s="181">
        <v>95</v>
      </c>
      <c r="AB367" s="182">
        <v>95</v>
      </c>
      <c r="AC367" s="180">
        <v>95</v>
      </c>
      <c r="AD367" s="181">
        <v>95</v>
      </c>
      <c r="AE367" s="182">
        <v>95</v>
      </c>
      <c r="AF367" s="180">
        <v>95</v>
      </c>
      <c r="AG367" s="181">
        <v>95</v>
      </c>
      <c r="AH367" s="182">
        <v>95</v>
      </c>
      <c r="AI367" s="168" t="s">
        <v>269</v>
      </c>
      <c r="AJ367" s="169" t="s">
        <v>2476</v>
      </c>
      <c r="AK367" s="170" t="s">
        <v>2477</v>
      </c>
      <c r="AL367" s="169" t="s">
        <v>2479</v>
      </c>
      <c r="AM367" s="183">
        <v>1397</v>
      </c>
    </row>
    <row r="368" spans="1:39" s="2" customFormat="1">
      <c r="A368" s="179" t="s">
        <v>380</v>
      </c>
      <c r="B368" s="238" t="s">
        <v>163</v>
      </c>
      <c r="C368" s="164" t="s">
        <v>419</v>
      </c>
      <c r="D368" s="236" t="s">
        <v>420</v>
      </c>
      <c r="E368" s="180">
        <v>41</v>
      </c>
      <c r="F368" s="181">
        <v>41</v>
      </c>
      <c r="G368" s="182">
        <v>40.450000000000003</v>
      </c>
      <c r="H368" s="180">
        <v>41</v>
      </c>
      <c r="I368" s="181">
        <v>41</v>
      </c>
      <c r="J368" s="182">
        <v>40.450000000000003</v>
      </c>
      <c r="K368" s="180">
        <v>41</v>
      </c>
      <c r="L368" s="181">
        <v>41</v>
      </c>
      <c r="M368" s="182">
        <v>40.450000000000003</v>
      </c>
      <c r="N368" s="180">
        <v>41</v>
      </c>
      <c r="O368" s="181">
        <v>41</v>
      </c>
      <c r="P368" s="182">
        <v>40.450000000000003</v>
      </c>
      <c r="Q368" s="180">
        <v>41</v>
      </c>
      <c r="R368" s="181">
        <v>41</v>
      </c>
      <c r="S368" s="182">
        <v>40.450000000000003</v>
      </c>
      <c r="T368" s="180">
        <v>41</v>
      </c>
      <c r="U368" s="181">
        <v>41</v>
      </c>
      <c r="V368" s="182">
        <v>40.450000000000003</v>
      </c>
      <c r="W368" s="180">
        <v>41</v>
      </c>
      <c r="X368" s="181">
        <v>41</v>
      </c>
      <c r="Y368" s="182">
        <v>40.450000000000003</v>
      </c>
      <c r="Z368" s="180">
        <v>41</v>
      </c>
      <c r="AA368" s="181">
        <v>41</v>
      </c>
      <c r="AB368" s="182">
        <v>40.450000000000003</v>
      </c>
      <c r="AC368" s="180">
        <v>41</v>
      </c>
      <c r="AD368" s="181">
        <v>41</v>
      </c>
      <c r="AE368" s="182">
        <v>40.450000000000003</v>
      </c>
      <c r="AF368" s="180">
        <v>41</v>
      </c>
      <c r="AG368" s="181">
        <v>41</v>
      </c>
      <c r="AH368" s="182">
        <v>40.450000000000003</v>
      </c>
      <c r="AI368" s="168" t="s">
        <v>269</v>
      </c>
      <c r="AJ368" s="169" t="s">
        <v>2466</v>
      </c>
      <c r="AK368" s="170" t="s">
        <v>2467</v>
      </c>
      <c r="AL368" s="169" t="s">
        <v>20</v>
      </c>
      <c r="AM368" s="183">
        <v>1735</v>
      </c>
    </row>
    <row r="369" spans="1:39" s="2" customFormat="1">
      <c r="A369" s="179" t="s">
        <v>380</v>
      </c>
      <c r="B369" s="238" t="s">
        <v>163</v>
      </c>
      <c r="C369" s="164" t="s">
        <v>562</v>
      </c>
      <c r="D369" s="236" t="s">
        <v>563</v>
      </c>
      <c r="E369" s="180">
        <v>87</v>
      </c>
      <c r="F369" s="181">
        <v>87</v>
      </c>
      <c r="G369" s="182">
        <v>87</v>
      </c>
      <c r="H369" s="180">
        <v>87</v>
      </c>
      <c r="I369" s="181">
        <v>87</v>
      </c>
      <c r="J369" s="182">
        <v>87</v>
      </c>
      <c r="K369" s="180">
        <v>87</v>
      </c>
      <c r="L369" s="181">
        <v>87</v>
      </c>
      <c r="M369" s="182">
        <v>87</v>
      </c>
      <c r="N369" s="180">
        <v>87</v>
      </c>
      <c r="O369" s="181">
        <v>87</v>
      </c>
      <c r="P369" s="182">
        <v>87</v>
      </c>
      <c r="Q369" s="180">
        <v>87</v>
      </c>
      <c r="R369" s="181">
        <v>87</v>
      </c>
      <c r="S369" s="182">
        <v>87</v>
      </c>
      <c r="T369" s="180">
        <v>87</v>
      </c>
      <c r="U369" s="181">
        <v>87</v>
      </c>
      <c r="V369" s="182">
        <v>87</v>
      </c>
      <c r="W369" s="180">
        <v>87</v>
      </c>
      <c r="X369" s="181">
        <v>87</v>
      </c>
      <c r="Y369" s="182">
        <v>87</v>
      </c>
      <c r="Z369" s="180">
        <v>87</v>
      </c>
      <c r="AA369" s="181">
        <v>87</v>
      </c>
      <c r="AB369" s="182">
        <v>87</v>
      </c>
      <c r="AC369" s="180">
        <v>87</v>
      </c>
      <c r="AD369" s="181">
        <v>87</v>
      </c>
      <c r="AE369" s="182">
        <v>87</v>
      </c>
      <c r="AF369" s="180">
        <v>87</v>
      </c>
      <c r="AG369" s="181">
        <v>87</v>
      </c>
      <c r="AH369" s="182">
        <v>87</v>
      </c>
      <c r="AI369" s="168" t="s">
        <v>269</v>
      </c>
      <c r="AJ369" s="169" t="s">
        <v>2491</v>
      </c>
      <c r="AK369" s="170" t="s">
        <v>2477</v>
      </c>
      <c r="AL369" s="169" t="s">
        <v>2479</v>
      </c>
      <c r="AM369" s="183">
        <v>1575</v>
      </c>
    </row>
    <row r="370" spans="1:39" s="2" customFormat="1">
      <c r="A370" s="179" t="s">
        <v>7</v>
      </c>
      <c r="B370" s="238" t="s">
        <v>163</v>
      </c>
      <c r="C370" s="164" t="s">
        <v>1831</v>
      </c>
      <c r="D370" s="236" t="s">
        <v>4708</v>
      </c>
      <c r="E370" s="180">
        <v>480</v>
      </c>
      <c r="F370" s="181">
        <v>420</v>
      </c>
      <c r="G370" s="182">
        <v>415</v>
      </c>
      <c r="H370" s="180">
        <v>456</v>
      </c>
      <c r="I370" s="181">
        <v>420</v>
      </c>
      <c r="J370" s="182">
        <v>415</v>
      </c>
      <c r="K370" s="180">
        <v>456</v>
      </c>
      <c r="L370" s="181">
        <v>420</v>
      </c>
      <c r="M370" s="182">
        <v>415</v>
      </c>
      <c r="N370" s="180">
        <v>456</v>
      </c>
      <c r="O370" s="181">
        <v>420</v>
      </c>
      <c r="P370" s="182">
        <v>415</v>
      </c>
      <c r="Q370" s="180">
        <v>456</v>
      </c>
      <c r="R370" s="181">
        <v>420</v>
      </c>
      <c r="S370" s="182">
        <v>415</v>
      </c>
      <c r="T370" s="180">
        <v>456</v>
      </c>
      <c r="U370" s="181">
        <v>420</v>
      </c>
      <c r="V370" s="182">
        <v>415</v>
      </c>
      <c r="W370" s="180">
        <v>456</v>
      </c>
      <c r="X370" s="181">
        <v>420</v>
      </c>
      <c r="Y370" s="182">
        <v>415</v>
      </c>
      <c r="Z370" s="180">
        <v>456</v>
      </c>
      <c r="AA370" s="181">
        <v>420</v>
      </c>
      <c r="AB370" s="182">
        <v>415</v>
      </c>
      <c r="AC370" s="180">
        <v>456</v>
      </c>
      <c r="AD370" s="181">
        <v>420</v>
      </c>
      <c r="AE370" s="182">
        <v>415</v>
      </c>
      <c r="AF370" s="180">
        <v>456</v>
      </c>
      <c r="AG370" s="181">
        <v>420</v>
      </c>
      <c r="AH370" s="182">
        <v>415</v>
      </c>
      <c r="AI370" s="168" t="s">
        <v>1573</v>
      </c>
      <c r="AJ370" s="169" t="s">
        <v>3100</v>
      </c>
      <c r="AK370" s="170" t="s">
        <v>2556</v>
      </c>
      <c r="AL370" s="169" t="s">
        <v>13</v>
      </c>
      <c r="AM370" s="183">
        <v>1192</v>
      </c>
    </row>
    <row r="371" spans="1:39" s="2" customFormat="1">
      <c r="A371" s="179" t="s">
        <v>7</v>
      </c>
      <c r="B371" s="238" t="s">
        <v>163</v>
      </c>
      <c r="C371" s="164" t="s">
        <v>1093</v>
      </c>
      <c r="D371" s="236" t="s">
        <v>1095</v>
      </c>
      <c r="E371" s="180">
        <v>318</v>
      </c>
      <c r="F371" s="181">
        <v>312</v>
      </c>
      <c r="G371" s="182">
        <v>303</v>
      </c>
      <c r="H371" s="180">
        <v>318</v>
      </c>
      <c r="I371" s="181">
        <v>312</v>
      </c>
      <c r="J371" s="182">
        <v>303</v>
      </c>
      <c r="K371" s="180">
        <v>318</v>
      </c>
      <c r="L371" s="181">
        <v>312</v>
      </c>
      <c r="M371" s="182">
        <v>303</v>
      </c>
      <c r="N371" s="180">
        <v>318</v>
      </c>
      <c r="O371" s="181">
        <v>312</v>
      </c>
      <c r="P371" s="182">
        <v>303</v>
      </c>
      <c r="Q371" s="180">
        <v>318</v>
      </c>
      <c r="R371" s="181">
        <v>312</v>
      </c>
      <c r="S371" s="182">
        <v>303</v>
      </c>
      <c r="T371" s="180">
        <v>318</v>
      </c>
      <c r="U371" s="181">
        <v>312</v>
      </c>
      <c r="V371" s="182">
        <v>303</v>
      </c>
      <c r="W371" s="180">
        <v>318</v>
      </c>
      <c r="X371" s="181">
        <v>312</v>
      </c>
      <c r="Y371" s="182">
        <v>303</v>
      </c>
      <c r="Z371" s="180">
        <v>318</v>
      </c>
      <c r="AA371" s="181">
        <v>312</v>
      </c>
      <c r="AB371" s="182">
        <v>303</v>
      </c>
      <c r="AC371" s="180">
        <v>318</v>
      </c>
      <c r="AD371" s="181">
        <v>312</v>
      </c>
      <c r="AE371" s="182">
        <v>303</v>
      </c>
      <c r="AF371" s="180">
        <v>318</v>
      </c>
      <c r="AG371" s="181">
        <v>312</v>
      </c>
      <c r="AH371" s="182">
        <v>303</v>
      </c>
      <c r="AI371" s="168" t="s">
        <v>1157</v>
      </c>
      <c r="AJ371" s="169" t="s">
        <v>2555</v>
      </c>
      <c r="AK371" s="170" t="s">
        <v>2556</v>
      </c>
      <c r="AL371" s="169" t="s">
        <v>14</v>
      </c>
      <c r="AM371" s="183">
        <v>1193</v>
      </c>
    </row>
    <row r="372" spans="1:39" s="2" customFormat="1">
      <c r="A372" s="179" t="s">
        <v>565</v>
      </c>
      <c r="B372" s="238" t="s">
        <v>163</v>
      </c>
      <c r="C372" s="164" t="s">
        <v>1545</v>
      </c>
      <c r="D372" s="236" t="s">
        <v>1547</v>
      </c>
      <c r="E372" s="180">
        <v>0</v>
      </c>
      <c r="F372" s="181">
        <v>0</v>
      </c>
      <c r="G372" s="182">
        <v>0</v>
      </c>
      <c r="H372" s="180">
        <v>0</v>
      </c>
      <c r="I372" s="181">
        <v>0</v>
      </c>
      <c r="J372" s="182">
        <v>0</v>
      </c>
      <c r="K372" s="180">
        <v>0</v>
      </c>
      <c r="L372" s="181">
        <v>0</v>
      </c>
      <c r="M372" s="182">
        <v>0</v>
      </c>
      <c r="N372" s="180">
        <v>0</v>
      </c>
      <c r="O372" s="181">
        <v>0</v>
      </c>
      <c r="P372" s="182">
        <v>0</v>
      </c>
      <c r="Q372" s="180">
        <v>0</v>
      </c>
      <c r="R372" s="181">
        <v>0</v>
      </c>
      <c r="S372" s="182">
        <v>0</v>
      </c>
      <c r="T372" s="180">
        <v>0</v>
      </c>
      <c r="U372" s="181">
        <v>0</v>
      </c>
      <c r="V372" s="182">
        <v>0</v>
      </c>
      <c r="W372" s="180">
        <v>0</v>
      </c>
      <c r="X372" s="181">
        <v>0</v>
      </c>
      <c r="Y372" s="182">
        <v>0</v>
      </c>
      <c r="Z372" s="180">
        <v>0</v>
      </c>
      <c r="AA372" s="181">
        <v>0</v>
      </c>
      <c r="AB372" s="182">
        <v>0</v>
      </c>
      <c r="AC372" s="180">
        <v>0</v>
      </c>
      <c r="AD372" s="181">
        <v>0</v>
      </c>
      <c r="AE372" s="182">
        <v>0</v>
      </c>
      <c r="AF372" s="180">
        <v>0</v>
      </c>
      <c r="AG372" s="181">
        <v>0</v>
      </c>
      <c r="AH372" s="182">
        <v>0</v>
      </c>
      <c r="AI372" s="168" t="s">
        <v>1546</v>
      </c>
      <c r="AJ372" s="169" t="s">
        <v>3100</v>
      </c>
      <c r="AK372" s="170" t="s">
        <v>2556</v>
      </c>
      <c r="AL372" s="169" t="s">
        <v>13</v>
      </c>
      <c r="AM372" s="183">
        <v>1194</v>
      </c>
    </row>
    <row r="373" spans="1:39" s="2" customFormat="1">
      <c r="A373" s="179" t="s">
        <v>565</v>
      </c>
      <c r="B373" s="238" t="s">
        <v>163</v>
      </c>
      <c r="C373" s="164" t="s">
        <v>2278</v>
      </c>
      <c r="D373" s="236" t="s">
        <v>4709</v>
      </c>
      <c r="E373" s="180">
        <v>58</v>
      </c>
      <c r="F373" s="181">
        <v>58</v>
      </c>
      <c r="G373" s="182">
        <v>58</v>
      </c>
      <c r="H373" s="180">
        <v>58</v>
      </c>
      <c r="I373" s="181">
        <v>58</v>
      </c>
      <c r="J373" s="182">
        <v>58</v>
      </c>
      <c r="K373" s="180">
        <v>58</v>
      </c>
      <c r="L373" s="181">
        <v>58</v>
      </c>
      <c r="M373" s="182">
        <v>58</v>
      </c>
      <c r="N373" s="180">
        <v>58</v>
      </c>
      <c r="O373" s="181">
        <v>58</v>
      </c>
      <c r="P373" s="182">
        <v>58</v>
      </c>
      <c r="Q373" s="180">
        <v>58</v>
      </c>
      <c r="R373" s="181">
        <v>58</v>
      </c>
      <c r="S373" s="182">
        <v>58</v>
      </c>
      <c r="T373" s="180">
        <v>58</v>
      </c>
      <c r="U373" s="181">
        <v>58</v>
      </c>
      <c r="V373" s="182">
        <v>58</v>
      </c>
      <c r="W373" s="180">
        <v>58</v>
      </c>
      <c r="X373" s="181">
        <v>58</v>
      </c>
      <c r="Y373" s="182">
        <v>58</v>
      </c>
      <c r="Z373" s="180">
        <v>58</v>
      </c>
      <c r="AA373" s="181">
        <v>58</v>
      </c>
      <c r="AB373" s="182">
        <v>58</v>
      </c>
      <c r="AC373" s="180">
        <v>58</v>
      </c>
      <c r="AD373" s="181">
        <v>58</v>
      </c>
      <c r="AE373" s="182">
        <v>58</v>
      </c>
      <c r="AF373" s="180">
        <v>58</v>
      </c>
      <c r="AG373" s="181">
        <v>58</v>
      </c>
      <c r="AH373" s="182">
        <v>58</v>
      </c>
      <c r="AI373" s="168" t="s">
        <v>1546</v>
      </c>
      <c r="AJ373" s="169" t="s">
        <v>2555</v>
      </c>
      <c r="AK373" s="170" t="s">
        <v>2556</v>
      </c>
      <c r="AL373" s="169" t="s">
        <v>14</v>
      </c>
      <c r="AM373" s="183">
        <v>1195</v>
      </c>
    </row>
    <row r="374" spans="1:39" s="2" customFormat="1">
      <c r="A374" s="179" t="s">
        <v>7</v>
      </c>
      <c r="B374" s="238" t="s">
        <v>163</v>
      </c>
      <c r="C374" s="164" t="s">
        <v>2269</v>
      </c>
      <c r="D374" s="236" t="s">
        <v>4724</v>
      </c>
      <c r="E374" s="180">
        <v>106.8</v>
      </c>
      <c r="F374" s="181">
        <v>106.8</v>
      </c>
      <c r="G374" s="182">
        <v>106.8</v>
      </c>
      <c r="H374" s="180">
        <v>106.8</v>
      </c>
      <c r="I374" s="181">
        <v>106.8</v>
      </c>
      <c r="J374" s="182">
        <v>106.8</v>
      </c>
      <c r="K374" s="180">
        <v>106.8</v>
      </c>
      <c r="L374" s="181">
        <v>106.8</v>
      </c>
      <c r="M374" s="182">
        <v>106.8</v>
      </c>
      <c r="N374" s="180">
        <v>106.8</v>
      </c>
      <c r="O374" s="181">
        <v>106.8</v>
      </c>
      <c r="P374" s="182">
        <v>106.8</v>
      </c>
      <c r="Q374" s="180">
        <v>106.8</v>
      </c>
      <c r="R374" s="181">
        <v>106.8</v>
      </c>
      <c r="S374" s="182">
        <v>106.8</v>
      </c>
      <c r="T374" s="180">
        <v>106.8</v>
      </c>
      <c r="U374" s="181">
        <v>106.8</v>
      </c>
      <c r="V374" s="182">
        <v>106.8</v>
      </c>
      <c r="W374" s="180">
        <v>106.8</v>
      </c>
      <c r="X374" s="181">
        <v>106.8</v>
      </c>
      <c r="Y374" s="182">
        <v>106.8</v>
      </c>
      <c r="Z374" s="180">
        <v>106.8</v>
      </c>
      <c r="AA374" s="181">
        <v>106.8</v>
      </c>
      <c r="AB374" s="182">
        <v>106.8</v>
      </c>
      <c r="AC374" s="180">
        <v>106.8</v>
      </c>
      <c r="AD374" s="181">
        <v>106.8</v>
      </c>
      <c r="AE374" s="182">
        <v>106.8</v>
      </c>
      <c r="AF374" s="180">
        <v>106.8</v>
      </c>
      <c r="AG374" s="181">
        <v>106.8</v>
      </c>
      <c r="AH374" s="182">
        <v>106.8</v>
      </c>
      <c r="AI374" s="168" t="s">
        <v>4723</v>
      </c>
      <c r="AJ374" s="169" t="s">
        <v>2485</v>
      </c>
      <c r="AK374" s="170" t="s">
        <v>2486</v>
      </c>
      <c r="AL374" s="169" t="s">
        <v>17</v>
      </c>
      <c r="AM374" s="183">
        <v>1196</v>
      </c>
    </row>
    <row r="375" spans="1:39" s="2" customFormat="1">
      <c r="A375" s="179" t="s">
        <v>309</v>
      </c>
      <c r="B375" s="238" t="s">
        <v>163</v>
      </c>
      <c r="C375" s="164" t="s">
        <v>1049</v>
      </c>
      <c r="D375" s="236" t="s">
        <v>1102</v>
      </c>
      <c r="E375" s="180">
        <v>350</v>
      </c>
      <c r="F375" s="181">
        <v>350</v>
      </c>
      <c r="G375" s="182">
        <v>350</v>
      </c>
      <c r="H375" s="180">
        <v>350</v>
      </c>
      <c r="I375" s="181">
        <v>350</v>
      </c>
      <c r="J375" s="182">
        <v>350</v>
      </c>
      <c r="K375" s="180">
        <v>350</v>
      </c>
      <c r="L375" s="181">
        <v>350</v>
      </c>
      <c r="M375" s="182">
        <v>350</v>
      </c>
      <c r="N375" s="180">
        <v>350</v>
      </c>
      <c r="O375" s="181">
        <v>350</v>
      </c>
      <c r="P375" s="182">
        <v>350</v>
      </c>
      <c r="Q375" s="180">
        <v>350</v>
      </c>
      <c r="R375" s="181">
        <v>350</v>
      </c>
      <c r="S375" s="182">
        <v>350</v>
      </c>
      <c r="T375" s="180">
        <v>350</v>
      </c>
      <c r="U375" s="181">
        <v>350</v>
      </c>
      <c r="V375" s="182">
        <v>350</v>
      </c>
      <c r="W375" s="180">
        <v>350</v>
      </c>
      <c r="X375" s="181">
        <v>350</v>
      </c>
      <c r="Y375" s="182">
        <v>350</v>
      </c>
      <c r="Z375" s="180">
        <v>350</v>
      </c>
      <c r="AA375" s="181">
        <v>350</v>
      </c>
      <c r="AB375" s="182">
        <v>350</v>
      </c>
      <c r="AC375" s="180">
        <v>350</v>
      </c>
      <c r="AD375" s="181">
        <v>350</v>
      </c>
      <c r="AE375" s="182">
        <v>350</v>
      </c>
      <c r="AF375" s="180">
        <v>350</v>
      </c>
      <c r="AG375" s="181">
        <v>350</v>
      </c>
      <c r="AH375" s="182">
        <v>350</v>
      </c>
      <c r="AI375" s="168" t="s">
        <v>357</v>
      </c>
      <c r="AJ375" s="169" t="s">
        <v>2639</v>
      </c>
      <c r="AK375" s="170" t="s">
        <v>2640</v>
      </c>
      <c r="AL375" s="169" t="s">
        <v>12</v>
      </c>
      <c r="AM375" s="183">
        <v>1197</v>
      </c>
    </row>
    <row r="376" spans="1:39" s="2" customFormat="1">
      <c r="A376" s="179" t="s">
        <v>309</v>
      </c>
      <c r="B376" s="238" t="s">
        <v>163</v>
      </c>
      <c r="C376" s="164" t="s">
        <v>1049</v>
      </c>
      <c r="D376" s="236" t="s">
        <v>1104</v>
      </c>
      <c r="E376" s="180">
        <v>350</v>
      </c>
      <c r="F376" s="181">
        <v>350</v>
      </c>
      <c r="G376" s="182">
        <v>350</v>
      </c>
      <c r="H376" s="180">
        <v>350</v>
      </c>
      <c r="I376" s="181">
        <v>350</v>
      </c>
      <c r="J376" s="182">
        <v>350</v>
      </c>
      <c r="K376" s="180">
        <v>350</v>
      </c>
      <c r="L376" s="181">
        <v>350</v>
      </c>
      <c r="M376" s="182">
        <v>350</v>
      </c>
      <c r="N376" s="180">
        <v>350</v>
      </c>
      <c r="O376" s="181">
        <v>350</v>
      </c>
      <c r="P376" s="182">
        <v>350</v>
      </c>
      <c r="Q376" s="180">
        <v>350</v>
      </c>
      <c r="R376" s="181">
        <v>350</v>
      </c>
      <c r="S376" s="182">
        <v>350</v>
      </c>
      <c r="T376" s="180">
        <v>350</v>
      </c>
      <c r="U376" s="181">
        <v>350</v>
      </c>
      <c r="V376" s="182">
        <v>350</v>
      </c>
      <c r="W376" s="180">
        <v>350</v>
      </c>
      <c r="X376" s="181">
        <v>350</v>
      </c>
      <c r="Y376" s="182">
        <v>350</v>
      </c>
      <c r="Z376" s="180">
        <v>350</v>
      </c>
      <c r="AA376" s="181">
        <v>350</v>
      </c>
      <c r="AB376" s="182">
        <v>350</v>
      </c>
      <c r="AC376" s="180">
        <v>350</v>
      </c>
      <c r="AD376" s="181">
        <v>350</v>
      </c>
      <c r="AE376" s="182">
        <v>350</v>
      </c>
      <c r="AF376" s="180">
        <v>350</v>
      </c>
      <c r="AG376" s="181">
        <v>350</v>
      </c>
      <c r="AH376" s="182">
        <v>350</v>
      </c>
      <c r="AI376" s="168" t="s">
        <v>357</v>
      </c>
      <c r="AJ376" s="169" t="s">
        <v>2639</v>
      </c>
      <c r="AK376" s="170" t="s">
        <v>2640</v>
      </c>
      <c r="AL376" s="169" t="s">
        <v>12</v>
      </c>
      <c r="AM376" s="183">
        <v>1197</v>
      </c>
    </row>
    <row r="377" spans="1:39" s="2" customFormat="1">
      <c r="A377" s="179" t="s">
        <v>309</v>
      </c>
      <c r="B377" s="238" t="s">
        <v>163</v>
      </c>
      <c r="C377" s="164" t="s">
        <v>1049</v>
      </c>
      <c r="D377" s="236" t="s">
        <v>4725</v>
      </c>
      <c r="E377" s="180">
        <v>350</v>
      </c>
      <c r="F377" s="181">
        <v>350</v>
      </c>
      <c r="G377" s="182">
        <v>350</v>
      </c>
      <c r="H377" s="180">
        <v>350</v>
      </c>
      <c r="I377" s="181">
        <v>350</v>
      </c>
      <c r="J377" s="182">
        <v>350</v>
      </c>
      <c r="K377" s="180">
        <v>350</v>
      </c>
      <c r="L377" s="181">
        <v>350</v>
      </c>
      <c r="M377" s="182">
        <v>350</v>
      </c>
      <c r="N377" s="180">
        <v>350</v>
      </c>
      <c r="O377" s="181">
        <v>350</v>
      </c>
      <c r="P377" s="182">
        <v>350</v>
      </c>
      <c r="Q377" s="180">
        <v>350</v>
      </c>
      <c r="R377" s="181">
        <v>350</v>
      </c>
      <c r="S377" s="182">
        <v>350</v>
      </c>
      <c r="T377" s="180">
        <v>350</v>
      </c>
      <c r="U377" s="181">
        <v>350</v>
      </c>
      <c r="V377" s="182">
        <v>350</v>
      </c>
      <c r="W377" s="180">
        <v>350</v>
      </c>
      <c r="X377" s="181">
        <v>350</v>
      </c>
      <c r="Y377" s="182">
        <v>350</v>
      </c>
      <c r="Z377" s="180">
        <v>350</v>
      </c>
      <c r="AA377" s="181">
        <v>350</v>
      </c>
      <c r="AB377" s="182">
        <v>350</v>
      </c>
      <c r="AC377" s="180">
        <v>350</v>
      </c>
      <c r="AD377" s="181">
        <v>350</v>
      </c>
      <c r="AE377" s="182">
        <v>350</v>
      </c>
      <c r="AF377" s="180">
        <v>350</v>
      </c>
      <c r="AG377" s="181">
        <v>350</v>
      </c>
      <c r="AH377" s="182">
        <v>350</v>
      </c>
      <c r="AI377" s="168" t="s">
        <v>357</v>
      </c>
      <c r="AJ377" s="169" t="s">
        <v>2639</v>
      </c>
      <c r="AK377" s="170" t="s">
        <v>2640</v>
      </c>
      <c r="AL377" s="169" t="s">
        <v>12</v>
      </c>
      <c r="AM377" s="183">
        <v>1197</v>
      </c>
    </row>
    <row r="378" spans="1:39" s="2" customFormat="1">
      <c r="A378" s="179" t="s">
        <v>309</v>
      </c>
      <c r="B378" s="238" t="s">
        <v>163</v>
      </c>
      <c r="C378" s="164" t="s">
        <v>1049</v>
      </c>
      <c r="D378" s="236" t="s">
        <v>4726</v>
      </c>
      <c r="E378" s="180">
        <v>350</v>
      </c>
      <c r="F378" s="181">
        <v>350</v>
      </c>
      <c r="G378" s="182">
        <v>350</v>
      </c>
      <c r="H378" s="180">
        <v>350</v>
      </c>
      <c r="I378" s="181">
        <v>350</v>
      </c>
      <c r="J378" s="182">
        <v>350</v>
      </c>
      <c r="K378" s="180">
        <v>350</v>
      </c>
      <c r="L378" s="181">
        <v>350</v>
      </c>
      <c r="M378" s="182">
        <v>350</v>
      </c>
      <c r="N378" s="180">
        <v>350</v>
      </c>
      <c r="O378" s="181">
        <v>350</v>
      </c>
      <c r="P378" s="182">
        <v>350</v>
      </c>
      <c r="Q378" s="180">
        <v>350</v>
      </c>
      <c r="R378" s="181">
        <v>350</v>
      </c>
      <c r="S378" s="182">
        <v>350</v>
      </c>
      <c r="T378" s="180">
        <v>350</v>
      </c>
      <c r="U378" s="181">
        <v>350</v>
      </c>
      <c r="V378" s="182">
        <v>350</v>
      </c>
      <c r="W378" s="180">
        <v>350</v>
      </c>
      <c r="X378" s="181">
        <v>350</v>
      </c>
      <c r="Y378" s="182">
        <v>350</v>
      </c>
      <c r="Z378" s="180">
        <v>350</v>
      </c>
      <c r="AA378" s="181">
        <v>350</v>
      </c>
      <c r="AB378" s="182">
        <v>350</v>
      </c>
      <c r="AC378" s="180">
        <v>350</v>
      </c>
      <c r="AD378" s="181">
        <v>350</v>
      </c>
      <c r="AE378" s="182">
        <v>350</v>
      </c>
      <c r="AF378" s="180">
        <v>350</v>
      </c>
      <c r="AG378" s="181">
        <v>350</v>
      </c>
      <c r="AH378" s="182">
        <v>350</v>
      </c>
      <c r="AI378" s="168" t="s">
        <v>357</v>
      </c>
      <c r="AJ378" s="169" t="s">
        <v>2639</v>
      </c>
      <c r="AK378" s="170" t="s">
        <v>2640</v>
      </c>
      <c r="AL378" s="169" t="s">
        <v>12</v>
      </c>
      <c r="AM378" s="183">
        <v>1197</v>
      </c>
    </row>
    <row r="379" spans="1:39" s="2" customFormat="1">
      <c r="A379" s="179" t="s">
        <v>309</v>
      </c>
      <c r="B379" s="238" t="s">
        <v>2463</v>
      </c>
      <c r="C379" s="164" t="s">
        <v>356</v>
      </c>
      <c r="D379" s="236" t="s">
        <v>358</v>
      </c>
      <c r="E379" s="180">
        <v>0</v>
      </c>
      <c r="F379" s="181">
        <v>300</v>
      </c>
      <c r="G379" s="182">
        <v>300</v>
      </c>
      <c r="H379" s="180">
        <v>300</v>
      </c>
      <c r="I379" s="181">
        <v>300</v>
      </c>
      <c r="J379" s="182">
        <v>300</v>
      </c>
      <c r="K379" s="180">
        <v>300</v>
      </c>
      <c r="L379" s="181">
        <v>300</v>
      </c>
      <c r="M379" s="182">
        <v>300</v>
      </c>
      <c r="N379" s="180">
        <v>300</v>
      </c>
      <c r="O379" s="181">
        <v>300</v>
      </c>
      <c r="P379" s="182">
        <v>300</v>
      </c>
      <c r="Q379" s="180">
        <v>300</v>
      </c>
      <c r="R379" s="181">
        <v>300</v>
      </c>
      <c r="S379" s="182">
        <v>300</v>
      </c>
      <c r="T379" s="180">
        <v>300</v>
      </c>
      <c r="U379" s="181">
        <v>300</v>
      </c>
      <c r="V379" s="182">
        <v>300</v>
      </c>
      <c r="W379" s="180">
        <v>300</v>
      </c>
      <c r="X379" s="181">
        <v>300</v>
      </c>
      <c r="Y379" s="182">
        <v>300</v>
      </c>
      <c r="Z379" s="180">
        <v>300</v>
      </c>
      <c r="AA379" s="181">
        <v>300</v>
      </c>
      <c r="AB379" s="182">
        <v>300</v>
      </c>
      <c r="AC379" s="180">
        <v>300</v>
      </c>
      <c r="AD379" s="181">
        <v>300</v>
      </c>
      <c r="AE379" s="182">
        <v>300</v>
      </c>
      <c r="AF379" s="180">
        <v>300</v>
      </c>
      <c r="AG379" s="181">
        <v>300</v>
      </c>
      <c r="AH379" s="182">
        <v>300</v>
      </c>
      <c r="AI379" s="168" t="s">
        <v>357</v>
      </c>
      <c r="AJ379" s="169" t="s">
        <v>2466</v>
      </c>
      <c r="AK379" s="170" t="s">
        <v>2467</v>
      </c>
      <c r="AL379" s="169" t="s">
        <v>20</v>
      </c>
      <c r="AM379" s="183">
        <v>2434</v>
      </c>
    </row>
    <row r="380" spans="1:39" s="2" customFormat="1">
      <c r="A380" s="179" t="s">
        <v>309</v>
      </c>
      <c r="B380" s="238" t="s">
        <v>163</v>
      </c>
      <c r="C380" s="164" t="s">
        <v>4728</v>
      </c>
      <c r="D380" s="236" t="s">
        <v>4729</v>
      </c>
      <c r="E380" s="180">
        <v>443</v>
      </c>
      <c r="F380" s="181">
        <v>443</v>
      </c>
      <c r="G380" s="182">
        <v>443</v>
      </c>
      <c r="H380" s="180">
        <v>443</v>
      </c>
      <c r="I380" s="181">
        <v>443</v>
      </c>
      <c r="J380" s="182">
        <v>443</v>
      </c>
      <c r="K380" s="180">
        <v>443</v>
      </c>
      <c r="L380" s="181">
        <v>443</v>
      </c>
      <c r="M380" s="182">
        <v>443</v>
      </c>
      <c r="N380" s="180">
        <v>443</v>
      </c>
      <c r="O380" s="181">
        <v>443</v>
      </c>
      <c r="P380" s="182">
        <v>443</v>
      </c>
      <c r="Q380" s="180">
        <v>443</v>
      </c>
      <c r="R380" s="181">
        <v>443</v>
      </c>
      <c r="S380" s="182">
        <v>443</v>
      </c>
      <c r="T380" s="180">
        <v>443</v>
      </c>
      <c r="U380" s="181">
        <v>443</v>
      </c>
      <c r="V380" s="182">
        <v>443</v>
      </c>
      <c r="W380" s="180">
        <v>443</v>
      </c>
      <c r="X380" s="181">
        <v>443</v>
      </c>
      <c r="Y380" s="182">
        <v>443</v>
      </c>
      <c r="Z380" s="180">
        <v>443</v>
      </c>
      <c r="AA380" s="181">
        <v>443</v>
      </c>
      <c r="AB380" s="182">
        <v>443</v>
      </c>
      <c r="AC380" s="180">
        <v>443</v>
      </c>
      <c r="AD380" s="181">
        <v>443</v>
      </c>
      <c r="AE380" s="182">
        <v>443</v>
      </c>
      <c r="AF380" s="180">
        <v>443</v>
      </c>
      <c r="AG380" s="181">
        <v>443</v>
      </c>
      <c r="AH380" s="182">
        <v>443</v>
      </c>
      <c r="AI380" s="168" t="s">
        <v>357</v>
      </c>
      <c r="AJ380" s="169" t="s">
        <v>2918</v>
      </c>
      <c r="AK380" s="170" t="s">
        <v>2640</v>
      </c>
      <c r="AL380" s="169" t="s">
        <v>12</v>
      </c>
      <c r="AM380" s="183">
        <v>1199</v>
      </c>
    </row>
    <row r="381" spans="1:39" s="2" customFormat="1">
      <c r="A381" s="179" t="s">
        <v>565</v>
      </c>
      <c r="B381" s="238" t="s">
        <v>163</v>
      </c>
      <c r="C381" s="164" t="s">
        <v>4733</v>
      </c>
      <c r="D381" s="236" t="s">
        <v>4734</v>
      </c>
      <c r="E381" s="180">
        <v>84</v>
      </c>
      <c r="F381" s="181">
        <v>67</v>
      </c>
      <c r="G381" s="182">
        <v>67</v>
      </c>
      <c r="H381" s="180">
        <v>70</v>
      </c>
      <c r="I381" s="181">
        <v>62.5</v>
      </c>
      <c r="J381" s="182">
        <v>62.5</v>
      </c>
      <c r="K381" s="180">
        <v>75</v>
      </c>
      <c r="L381" s="181">
        <v>75</v>
      </c>
      <c r="M381" s="182">
        <v>75</v>
      </c>
      <c r="N381" s="180">
        <v>75</v>
      </c>
      <c r="O381" s="181">
        <v>75</v>
      </c>
      <c r="P381" s="182">
        <v>75</v>
      </c>
      <c r="Q381" s="180">
        <v>75</v>
      </c>
      <c r="R381" s="181">
        <v>75</v>
      </c>
      <c r="S381" s="182">
        <v>75</v>
      </c>
      <c r="T381" s="180">
        <v>75</v>
      </c>
      <c r="U381" s="181">
        <v>75</v>
      </c>
      <c r="V381" s="182">
        <v>75</v>
      </c>
      <c r="W381" s="180">
        <v>75</v>
      </c>
      <c r="X381" s="181">
        <v>75</v>
      </c>
      <c r="Y381" s="182">
        <v>75</v>
      </c>
      <c r="Z381" s="180">
        <v>75</v>
      </c>
      <c r="AA381" s="181">
        <v>75</v>
      </c>
      <c r="AB381" s="182">
        <v>75</v>
      </c>
      <c r="AC381" s="180">
        <v>75</v>
      </c>
      <c r="AD381" s="181">
        <v>75</v>
      </c>
      <c r="AE381" s="182">
        <v>75</v>
      </c>
      <c r="AF381" s="180">
        <v>75</v>
      </c>
      <c r="AG381" s="181">
        <v>75</v>
      </c>
      <c r="AH381" s="182">
        <v>75</v>
      </c>
      <c r="AI381" s="168" t="s">
        <v>1137</v>
      </c>
      <c r="AJ381" s="169" t="s">
        <v>2593</v>
      </c>
      <c r="AK381" s="170" t="s">
        <v>2482</v>
      </c>
      <c r="AL381" s="169" t="s">
        <v>18</v>
      </c>
      <c r="AM381" s="183">
        <v>1200</v>
      </c>
    </row>
    <row r="382" spans="1:39" s="2" customFormat="1">
      <c r="A382" s="179" t="s">
        <v>380</v>
      </c>
      <c r="B382" s="238" t="s">
        <v>163</v>
      </c>
      <c r="C382" s="164" t="s">
        <v>386</v>
      </c>
      <c r="D382" s="236" t="s">
        <v>388</v>
      </c>
      <c r="E382" s="180">
        <v>30</v>
      </c>
      <c r="F382" s="181">
        <v>111</v>
      </c>
      <c r="G382" s="182">
        <v>111</v>
      </c>
      <c r="H382" s="180">
        <v>111</v>
      </c>
      <c r="I382" s="181">
        <v>111</v>
      </c>
      <c r="J382" s="182">
        <v>111</v>
      </c>
      <c r="K382" s="180">
        <v>111</v>
      </c>
      <c r="L382" s="181">
        <v>111</v>
      </c>
      <c r="M382" s="182">
        <v>111</v>
      </c>
      <c r="N382" s="180">
        <v>111</v>
      </c>
      <c r="O382" s="181">
        <v>111</v>
      </c>
      <c r="P382" s="182">
        <v>111</v>
      </c>
      <c r="Q382" s="180">
        <v>111</v>
      </c>
      <c r="R382" s="181">
        <v>111</v>
      </c>
      <c r="S382" s="182">
        <v>111</v>
      </c>
      <c r="T382" s="180">
        <v>111</v>
      </c>
      <c r="U382" s="181">
        <v>111</v>
      </c>
      <c r="V382" s="182">
        <v>111</v>
      </c>
      <c r="W382" s="180">
        <v>111</v>
      </c>
      <c r="X382" s="181">
        <v>111</v>
      </c>
      <c r="Y382" s="182">
        <v>111</v>
      </c>
      <c r="Z382" s="180">
        <v>111</v>
      </c>
      <c r="AA382" s="181">
        <v>111</v>
      </c>
      <c r="AB382" s="182">
        <v>111</v>
      </c>
      <c r="AC382" s="180">
        <v>111</v>
      </c>
      <c r="AD382" s="181">
        <v>111</v>
      </c>
      <c r="AE382" s="182">
        <v>111</v>
      </c>
      <c r="AF382" s="180">
        <v>111</v>
      </c>
      <c r="AG382" s="181">
        <v>111</v>
      </c>
      <c r="AH382" s="182">
        <v>111</v>
      </c>
      <c r="AI382" s="168" t="s">
        <v>387</v>
      </c>
      <c r="AJ382" s="169" t="s">
        <v>2466</v>
      </c>
      <c r="AK382" s="170" t="s">
        <v>2467</v>
      </c>
      <c r="AL382" s="169" t="s">
        <v>20</v>
      </c>
      <c r="AM382" s="183">
        <v>1911</v>
      </c>
    </row>
    <row r="383" spans="1:39" s="2" customFormat="1">
      <c r="A383" s="179" t="s">
        <v>380</v>
      </c>
      <c r="B383" s="238" t="s">
        <v>163</v>
      </c>
      <c r="C383" s="164" t="s">
        <v>390</v>
      </c>
      <c r="D383" s="236" t="s">
        <v>1268</v>
      </c>
      <c r="E383" s="180">
        <v>0</v>
      </c>
      <c r="F383" s="181">
        <v>0</v>
      </c>
      <c r="G383" s="182">
        <v>0</v>
      </c>
      <c r="H383" s="180">
        <v>0</v>
      </c>
      <c r="I383" s="181">
        <v>0</v>
      </c>
      <c r="J383" s="182">
        <v>0</v>
      </c>
      <c r="K383" s="180">
        <v>0</v>
      </c>
      <c r="L383" s="181">
        <v>0</v>
      </c>
      <c r="M383" s="182">
        <v>0</v>
      </c>
      <c r="N383" s="180">
        <v>0</v>
      </c>
      <c r="O383" s="181">
        <v>0</v>
      </c>
      <c r="P383" s="182">
        <v>0</v>
      </c>
      <c r="Q383" s="180">
        <v>0</v>
      </c>
      <c r="R383" s="181">
        <v>0</v>
      </c>
      <c r="S383" s="182">
        <v>0</v>
      </c>
      <c r="T383" s="180">
        <v>0</v>
      </c>
      <c r="U383" s="181">
        <v>0</v>
      </c>
      <c r="V383" s="182">
        <v>0</v>
      </c>
      <c r="W383" s="180">
        <v>0</v>
      </c>
      <c r="X383" s="181">
        <v>0</v>
      </c>
      <c r="Y383" s="182">
        <v>0</v>
      </c>
      <c r="Z383" s="180">
        <v>0</v>
      </c>
      <c r="AA383" s="181">
        <v>0</v>
      </c>
      <c r="AB383" s="182">
        <v>0</v>
      </c>
      <c r="AC383" s="180">
        <v>0</v>
      </c>
      <c r="AD383" s="181">
        <v>0</v>
      </c>
      <c r="AE383" s="182">
        <v>0</v>
      </c>
      <c r="AF383" s="180">
        <v>0</v>
      </c>
      <c r="AG383" s="181">
        <v>0</v>
      </c>
      <c r="AH383" s="182">
        <v>0</v>
      </c>
      <c r="AI383" s="168" t="s">
        <v>391</v>
      </c>
      <c r="AJ383" s="169" t="s">
        <v>2639</v>
      </c>
      <c r="AK383" s="170" t="s">
        <v>2556</v>
      </c>
      <c r="AL383" s="169" t="s">
        <v>15</v>
      </c>
      <c r="AM383" s="183">
        <v>1210</v>
      </c>
    </row>
    <row r="384" spans="1:39" s="2" customFormat="1">
      <c r="A384" s="179" t="s">
        <v>380</v>
      </c>
      <c r="B384" s="238" t="s">
        <v>163</v>
      </c>
      <c r="C384" s="164" t="s">
        <v>390</v>
      </c>
      <c r="D384" s="236" t="s">
        <v>392</v>
      </c>
      <c r="E384" s="180">
        <v>200</v>
      </c>
      <c r="F384" s="181">
        <v>200</v>
      </c>
      <c r="G384" s="182">
        <v>195</v>
      </c>
      <c r="H384" s="180">
        <v>200</v>
      </c>
      <c r="I384" s="181">
        <v>200</v>
      </c>
      <c r="J384" s="182">
        <v>195</v>
      </c>
      <c r="K384" s="180">
        <v>200</v>
      </c>
      <c r="L384" s="181">
        <v>200</v>
      </c>
      <c r="M384" s="182">
        <v>195</v>
      </c>
      <c r="N384" s="180">
        <v>0</v>
      </c>
      <c r="O384" s="181">
        <v>0</v>
      </c>
      <c r="P384" s="182">
        <v>0</v>
      </c>
      <c r="Q384" s="180">
        <v>0</v>
      </c>
      <c r="R384" s="181">
        <v>0</v>
      </c>
      <c r="S384" s="182">
        <v>0</v>
      </c>
      <c r="T384" s="180">
        <v>0</v>
      </c>
      <c r="U384" s="181">
        <v>0</v>
      </c>
      <c r="V384" s="182">
        <v>0</v>
      </c>
      <c r="W384" s="180">
        <v>0</v>
      </c>
      <c r="X384" s="181">
        <v>0</v>
      </c>
      <c r="Y384" s="182">
        <v>0</v>
      </c>
      <c r="Z384" s="180">
        <v>0</v>
      </c>
      <c r="AA384" s="181">
        <v>0</v>
      </c>
      <c r="AB384" s="182">
        <v>0</v>
      </c>
      <c r="AC384" s="180">
        <v>0</v>
      </c>
      <c r="AD384" s="181">
        <v>0</v>
      </c>
      <c r="AE384" s="182">
        <v>0</v>
      </c>
      <c r="AF384" s="180">
        <v>0</v>
      </c>
      <c r="AG384" s="181">
        <v>0</v>
      </c>
      <c r="AH384" s="182">
        <v>0</v>
      </c>
      <c r="AI384" s="168" t="s">
        <v>391</v>
      </c>
      <c r="AJ384" s="169" t="s">
        <v>2639</v>
      </c>
      <c r="AK384" s="170" t="s">
        <v>2556</v>
      </c>
      <c r="AL384" s="169" t="s">
        <v>15</v>
      </c>
      <c r="AM384" s="183">
        <v>1210</v>
      </c>
    </row>
    <row r="385" spans="1:39" s="2" customFormat="1">
      <c r="A385" s="179" t="s">
        <v>380</v>
      </c>
      <c r="B385" s="238" t="s">
        <v>163</v>
      </c>
      <c r="C385" s="164" t="s">
        <v>390</v>
      </c>
      <c r="D385" s="236" t="s">
        <v>394</v>
      </c>
      <c r="E385" s="180">
        <v>200</v>
      </c>
      <c r="F385" s="181">
        <v>200</v>
      </c>
      <c r="G385" s="182">
        <v>195</v>
      </c>
      <c r="H385" s="180">
        <v>200</v>
      </c>
      <c r="I385" s="181">
        <v>200</v>
      </c>
      <c r="J385" s="182">
        <v>195</v>
      </c>
      <c r="K385" s="180">
        <v>200</v>
      </c>
      <c r="L385" s="181">
        <v>200</v>
      </c>
      <c r="M385" s="182">
        <v>195</v>
      </c>
      <c r="N385" s="180">
        <v>0</v>
      </c>
      <c r="O385" s="181">
        <v>0</v>
      </c>
      <c r="P385" s="182">
        <v>0</v>
      </c>
      <c r="Q385" s="180">
        <v>0</v>
      </c>
      <c r="R385" s="181">
        <v>0</v>
      </c>
      <c r="S385" s="182">
        <v>0</v>
      </c>
      <c r="T385" s="180">
        <v>0</v>
      </c>
      <c r="U385" s="181">
        <v>0</v>
      </c>
      <c r="V385" s="182">
        <v>0</v>
      </c>
      <c r="W385" s="180">
        <v>0</v>
      </c>
      <c r="X385" s="181">
        <v>0</v>
      </c>
      <c r="Y385" s="182">
        <v>0</v>
      </c>
      <c r="Z385" s="180">
        <v>0</v>
      </c>
      <c r="AA385" s="181">
        <v>0</v>
      </c>
      <c r="AB385" s="182">
        <v>0</v>
      </c>
      <c r="AC385" s="180">
        <v>0</v>
      </c>
      <c r="AD385" s="181">
        <v>0</v>
      </c>
      <c r="AE385" s="182">
        <v>0</v>
      </c>
      <c r="AF385" s="180">
        <v>0</v>
      </c>
      <c r="AG385" s="181">
        <v>0</v>
      </c>
      <c r="AH385" s="182">
        <v>0</v>
      </c>
      <c r="AI385" s="168" t="s">
        <v>391</v>
      </c>
      <c r="AJ385" s="169" t="s">
        <v>2639</v>
      </c>
      <c r="AK385" s="170" t="s">
        <v>2556</v>
      </c>
      <c r="AL385" s="169" t="s">
        <v>15</v>
      </c>
      <c r="AM385" s="183">
        <v>1210</v>
      </c>
    </row>
    <row r="386" spans="1:39" s="2" customFormat="1">
      <c r="A386" s="179" t="s">
        <v>380</v>
      </c>
      <c r="B386" s="238" t="s">
        <v>163</v>
      </c>
      <c r="C386" s="164" t="s">
        <v>390</v>
      </c>
      <c r="D386" s="236" t="s">
        <v>395</v>
      </c>
      <c r="E386" s="180">
        <v>200</v>
      </c>
      <c r="F386" s="181">
        <v>200</v>
      </c>
      <c r="G386" s="182">
        <v>195</v>
      </c>
      <c r="H386" s="180">
        <v>200</v>
      </c>
      <c r="I386" s="181">
        <v>200</v>
      </c>
      <c r="J386" s="182">
        <v>195</v>
      </c>
      <c r="K386" s="180">
        <v>200</v>
      </c>
      <c r="L386" s="181">
        <v>200</v>
      </c>
      <c r="M386" s="182">
        <v>195</v>
      </c>
      <c r="N386" s="180">
        <v>0</v>
      </c>
      <c r="O386" s="181">
        <v>0</v>
      </c>
      <c r="P386" s="182">
        <v>0</v>
      </c>
      <c r="Q386" s="180">
        <v>0</v>
      </c>
      <c r="R386" s="181">
        <v>0</v>
      </c>
      <c r="S386" s="182">
        <v>0</v>
      </c>
      <c r="T386" s="180">
        <v>0</v>
      </c>
      <c r="U386" s="181">
        <v>0</v>
      </c>
      <c r="V386" s="182">
        <v>0</v>
      </c>
      <c r="W386" s="180">
        <v>0</v>
      </c>
      <c r="X386" s="181">
        <v>0</v>
      </c>
      <c r="Y386" s="182">
        <v>0</v>
      </c>
      <c r="Z386" s="180">
        <v>0</v>
      </c>
      <c r="AA386" s="181">
        <v>0</v>
      </c>
      <c r="AB386" s="182">
        <v>0</v>
      </c>
      <c r="AC386" s="180">
        <v>0</v>
      </c>
      <c r="AD386" s="181">
        <v>0</v>
      </c>
      <c r="AE386" s="182">
        <v>0</v>
      </c>
      <c r="AF386" s="180">
        <v>0</v>
      </c>
      <c r="AG386" s="181">
        <v>0</v>
      </c>
      <c r="AH386" s="182">
        <v>0</v>
      </c>
      <c r="AI386" s="168" t="s">
        <v>391</v>
      </c>
      <c r="AJ386" s="169" t="s">
        <v>2639</v>
      </c>
      <c r="AK386" s="170" t="s">
        <v>2556</v>
      </c>
      <c r="AL386" s="169" t="s">
        <v>15</v>
      </c>
      <c r="AM386" s="183">
        <v>1210</v>
      </c>
    </row>
    <row r="387" spans="1:39" s="2" customFormat="1">
      <c r="A387" s="179" t="s">
        <v>380</v>
      </c>
      <c r="B387" s="238" t="s">
        <v>163</v>
      </c>
      <c r="C387" s="164" t="s">
        <v>1130</v>
      </c>
      <c r="D387" s="236" t="s">
        <v>4806</v>
      </c>
      <c r="E387" s="180">
        <v>250.7</v>
      </c>
      <c r="F387" s="181">
        <v>250.7</v>
      </c>
      <c r="G387" s="182">
        <v>250.7</v>
      </c>
      <c r="H387" s="180">
        <v>250.7</v>
      </c>
      <c r="I387" s="181">
        <v>250.7</v>
      </c>
      <c r="J387" s="182">
        <v>250.7</v>
      </c>
      <c r="K387" s="180">
        <v>250.7</v>
      </c>
      <c r="L387" s="181">
        <v>250.7</v>
      </c>
      <c r="M387" s="182">
        <v>250.7</v>
      </c>
      <c r="N387" s="180">
        <v>250.7</v>
      </c>
      <c r="O387" s="181">
        <v>250.7</v>
      </c>
      <c r="P387" s="182">
        <v>250.7</v>
      </c>
      <c r="Q387" s="180">
        <v>250.7</v>
      </c>
      <c r="R387" s="181">
        <v>250.7</v>
      </c>
      <c r="S387" s="182">
        <v>250.7</v>
      </c>
      <c r="T387" s="180">
        <v>250.7</v>
      </c>
      <c r="U387" s="181">
        <v>250.7</v>
      </c>
      <c r="V387" s="182">
        <v>250.7</v>
      </c>
      <c r="W387" s="180">
        <v>250.7</v>
      </c>
      <c r="X387" s="181">
        <v>250.7</v>
      </c>
      <c r="Y387" s="182">
        <v>250.7</v>
      </c>
      <c r="Z387" s="180">
        <v>250.7</v>
      </c>
      <c r="AA387" s="181">
        <v>250.7</v>
      </c>
      <c r="AB387" s="182">
        <v>250.7</v>
      </c>
      <c r="AC387" s="180">
        <v>250.7</v>
      </c>
      <c r="AD387" s="181">
        <v>250.7</v>
      </c>
      <c r="AE387" s="182">
        <v>250.7</v>
      </c>
      <c r="AF387" s="180">
        <v>250.7</v>
      </c>
      <c r="AG387" s="181">
        <v>250.7</v>
      </c>
      <c r="AH387" s="182">
        <v>250.7</v>
      </c>
      <c r="AI387" s="168" t="s">
        <v>1131</v>
      </c>
      <c r="AJ387" s="169" t="s">
        <v>2466</v>
      </c>
      <c r="AK387" s="170" t="s">
        <v>2467</v>
      </c>
      <c r="AL387" s="169" t="s">
        <v>20</v>
      </c>
      <c r="AM387" s="183">
        <v>1866</v>
      </c>
    </row>
    <row r="388" spans="1:39" s="2" customFormat="1">
      <c r="A388" s="179" t="s">
        <v>309</v>
      </c>
      <c r="B388" s="238" t="s">
        <v>163</v>
      </c>
      <c r="C388" s="164" t="s">
        <v>4811</v>
      </c>
      <c r="D388" s="236" t="s">
        <v>4813</v>
      </c>
      <c r="E388" s="180">
        <v>165</v>
      </c>
      <c r="F388" s="181">
        <v>155</v>
      </c>
      <c r="G388" s="182">
        <v>150</v>
      </c>
      <c r="H388" s="180">
        <v>165</v>
      </c>
      <c r="I388" s="181">
        <v>155</v>
      </c>
      <c r="J388" s="182">
        <v>150</v>
      </c>
      <c r="K388" s="180">
        <v>165</v>
      </c>
      <c r="L388" s="181">
        <v>155</v>
      </c>
      <c r="M388" s="182">
        <v>150</v>
      </c>
      <c r="N388" s="180">
        <v>165</v>
      </c>
      <c r="O388" s="181">
        <v>155</v>
      </c>
      <c r="P388" s="182">
        <v>150</v>
      </c>
      <c r="Q388" s="180">
        <v>165</v>
      </c>
      <c r="R388" s="181">
        <v>155</v>
      </c>
      <c r="S388" s="182">
        <v>150</v>
      </c>
      <c r="T388" s="180">
        <v>165</v>
      </c>
      <c r="U388" s="181">
        <v>155</v>
      </c>
      <c r="V388" s="182">
        <v>150</v>
      </c>
      <c r="W388" s="180">
        <v>165</v>
      </c>
      <c r="X388" s="181">
        <v>155</v>
      </c>
      <c r="Y388" s="182">
        <v>150</v>
      </c>
      <c r="Z388" s="180">
        <v>165</v>
      </c>
      <c r="AA388" s="181">
        <v>155</v>
      </c>
      <c r="AB388" s="182">
        <v>150</v>
      </c>
      <c r="AC388" s="180">
        <v>165</v>
      </c>
      <c r="AD388" s="181">
        <v>155</v>
      </c>
      <c r="AE388" s="182">
        <v>150</v>
      </c>
      <c r="AF388" s="180">
        <v>165</v>
      </c>
      <c r="AG388" s="181">
        <v>155</v>
      </c>
      <c r="AH388" s="182">
        <v>150</v>
      </c>
      <c r="AI388" s="168" t="s">
        <v>4812</v>
      </c>
      <c r="AJ388" s="169" t="s">
        <v>3100</v>
      </c>
      <c r="AK388" s="170" t="s">
        <v>2556</v>
      </c>
      <c r="AL388" s="169" t="s">
        <v>13</v>
      </c>
      <c r="AM388" s="183">
        <v>1724</v>
      </c>
    </row>
    <row r="389" spans="1:39" s="2" customFormat="1">
      <c r="A389" s="179" t="s">
        <v>309</v>
      </c>
      <c r="B389" s="238" t="s">
        <v>163</v>
      </c>
      <c r="C389" s="164" t="s">
        <v>4811</v>
      </c>
      <c r="D389" s="236" t="s">
        <v>4814</v>
      </c>
      <c r="E389" s="180">
        <v>0</v>
      </c>
      <c r="F389" s="181">
        <v>0</v>
      </c>
      <c r="G389" s="182">
        <v>0</v>
      </c>
      <c r="H389" s="180">
        <v>81</v>
      </c>
      <c r="I389" s="181">
        <v>77</v>
      </c>
      <c r="J389" s="182">
        <v>77</v>
      </c>
      <c r="K389" s="180">
        <v>81</v>
      </c>
      <c r="L389" s="181">
        <v>77</v>
      </c>
      <c r="M389" s="182">
        <v>77</v>
      </c>
      <c r="N389" s="180">
        <v>81</v>
      </c>
      <c r="O389" s="181">
        <v>77</v>
      </c>
      <c r="P389" s="182">
        <v>77</v>
      </c>
      <c r="Q389" s="180">
        <v>81</v>
      </c>
      <c r="R389" s="181">
        <v>77</v>
      </c>
      <c r="S389" s="182">
        <v>77</v>
      </c>
      <c r="T389" s="180">
        <v>81</v>
      </c>
      <c r="U389" s="181">
        <v>77</v>
      </c>
      <c r="V389" s="182">
        <v>77</v>
      </c>
      <c r="W389" s="180">
        <v>81</v>
      </c>
      <c r="X389" s="181">
        <v>77</v>
      </c>
      <c r="Y389" s="182">
        <v>77</v>
      </c>
      <c r="Z389" s="180">
        <v>81</v>
      </c>
      <c r="AA389" s="181">
        <v>77</v>
      </c>
      <c r="AB389" s="182">
        <v>77</v>
      </c>
      <c r="AC389" s="180">
        <v>81</v>
      </c>
      <c r="AD389" s="181">
        <v>77</v>
      </c>
      <c r="AE389" s="182">
        <v>77</v>
      </c>
      <c r="AF389" s="180">
        <v>81</v>
      </c>
      <c r="AG389" s="181">
        <v>77</v>
      </c>
      <c r="AH389" s="182">
        <v>77</v>
      </c>
      <c r="AI389" s="168" t="s">
        <v>4812</v>
      </c>
      <c r="AJ389" s="169" t="s">
        <v>3100</v>
      </c>
      <c r="AK389" s="170" t="s">
        <v>2556</v>
      </c>
      <c r="AL389" s="169" t="s">
        <v>13</v>
      </c>
      <c r="AM389" s="183">
        <v>1724</v>
      </c>
    </row>
    <row r="390" spans="1:39" s="2" customFormat="1">
      <c r="A390" s="179" t="s">
        <v>565</v>
      </c>
      <c r="B390" s="238" t="s">
        <v>163</v>
      </c>
      <c r="C390" s="164" t="s">
        <v>4821</v>
      </c>
      <c r="D390" s="236" t="s">
        <v>4822</v>
      </c>
      <c r="E390" s="180">
        <v>100</v>
      </c>
      <c r="F390" s="181">
        <v>100</v>
      </c>
      <c r="G390" s="182">
        <v>100</v>
      </c>
      <c r="H390" s="180">
        <v>100</v>
      </c>
      <c r="I390" s="181">
        <v>70</v>
      </c>
      <c r="J390" s="182">
        <v>70</v>
      </c>
      <c r="K390" s="180">
        <v>100</v>
      </c>
      <c r="L390" s="181">
        <v>70</v>
      </c>
      <c r="M390" s="182">
        <v>70</v>
      </c>
      <c r="N390" s="180">
        <v>100</v>
      </c>
      <c r="O390" s="181">
        <v>70</v>
      </c>
      <c r="P390" s="182">
        <v>70</v>
      </c>
      <c r="Q390" s="180">
        <v>100</v>
      </c>
      <c r="R390" s="181">
        <v>70</v>
      </c>
      <c r="S390" s="182">
        <v>70</v>
      </c>
      <c r="T390" s="180">
        <v>100</v>
      </c>
      <c r="U390" s="181">
        <v>100</v>
      </c>
      <c r="V390" s="182">
        <v>100</v>
      </c>
      <c r="W390" s="180">
        <v>100</v>
      </c>
      <c r="X390" s="181">
        <v>100</v>
      </c>
      <c r="Y390" s="182">
        <v>100</v>
      </c>
      <c r="Z390" s="180">
        <v>100</v>
      </c>
      <c r="AA390" s="181">
        <v>100</v>
      </c>
      <c r="AB390" s="182">
        <v>100</v>
      </c>
      <c r="AC390" s="180">
        <v>100</v>
      </c>
      <c r="AD390" s="181">
        <v>100</v>
      </c>
      <c r="AE390" s="182">
        <v>100</v>
      </c>
      <c r="AF390" s="180">
        <v>100</v>
      </c>
      <c r="AG390" s="181">
        <v>80</v>
      </c>
      <c r="AH390" s="182">
        <v>80</v>
      </c>
      <c r="AI390" s="168" t="s">
        <v>1137</v>
      </c>
      <c r="AJ390" s="169" t="s">
        <v>2593</v>
      </c>
      <c r="AK390" s="170" t="s">
        <v>2482</v>
      </c>
      <c r="AL390" s="169" t="s">
        <v>18</v>
      </c>
      <c r="AM390" s="183">
        <v>1213</v>
      </c>
    </row>
    <row r="391" spans="1:39" s="2" customFormat="1">
      <c r="A391" s="179" t="s">
        <v>565</v>
      </c>
      <c r="B391" s="238" t="s">
        <v>163</v>
      </c>
      <c r="C391" s="164" t="s">
        <v>4827</v>
      </c>
      <c r="D391" s="236" t="s">
        <v>4828</v>
      </c>
      <c r="E391" s="180">
        <v>88</v>
      </c>
      <c r="F391" s="181">
        <v>88</v>
      </c>
      <c r="G391" s="182">
        <v>88</v>
      </c>
      <c r="H391" s="180">
        <v>88</v>
      </c>
      <c r="I391" s="181">
        <v>88</v>
      </c>
      <c r="J391" s="182">
        <v>88</v>
      </c>
      <c r="K391" s="180">
        <v>88</v>
      </c>
      <c r="L391" s="181">
        <v>88</v>
      </c>
      <c r="M391" s="182">
        <v>88</v>
      </c>
      <c r="N391" s="180">
        <v>88</v>
      </c>
      <c r="O391" s="181">
        <v>88</v>
      </c>
      <c r="P391" s="182">
        <v>88</v>
      </c>
      <c r="Q391" s="180">
        <v>88</v>
      </c>
      <c r="R391" s="181">
        <v>88</v>
      </c>
      <c r="S391" s="182">
        <v>88</v>
      </c>
      <c r="T391" s="180">
        <v>88</v>
      </c>
      <c r="U391" s="181">
        <v>88</v>
      </c>
      <c r="V391" s="182">
        <v>88</v>
      </c>
      <c r="W391" s="180">
        <v>88</v>
      </c>
      <c r="X391" s="181">
        <v>88</v>
      </c>
      <c r="Y391" s="182">
        <v>88</v>
      </c>
      <c r="Z391" s="180">
        <v>88</v>
      </c>
      <c r="AA391" s="181">
        <v>88</v>
      </c>
      <c r="AB391" s="182">
        <v>88</v>
      </c>
      <c r="AC391" s="180">
        <v>88</v>
      </c>
      <c r="AD391" s="181">
        <v>0</v>
      </c>
      <c r="AE391" s="182">
        <v>0</v>
      </c>
      <c r="AF391" s="180">
        <v>88</v>
      </c>
      <c r="AG391" s="181">
        <v>88</v>
      </c>
      <c r="AH391" s="182">
        <v>88</v>
      </c>
      <c r="AI391" s="168" t="s">
        <v>1137</v>
      </c>
      <c r="AJ391" s="169" t="s">
        <v>2593</v>
      </c>
      <c r="AK391" s="170" t="s">
        <v>2482</v>
      </c>
      <c r="AL391" s="169" t="s">
        <v>18</v>
      </c>
      <c r="AM391" s="183">
        <v>1214</v>
      </c>
    </row>
    <row r="392" spans="1:39" s="2" customFormat="1">
      <c r="A392" s="179" t="s">
        <v>7</v>
      </c>
      <c r="B392" s="238" t="s">
        <v>163</v>
      </c>
      <c r="C392" s="164" t="s">
        <v>4842</v>
      </c>
      <c r="D392" s="236" t="s">
        <v>4843</v>
      </c>
      <c r="E392" s="180">
        <v>1800</v>
      </c>
      <c r="F392" s="181">
        <v>1800</v>
      </c>
      <c r="G392" s="182">
        <v>1800</v>
      </c>
      <c r="H392" s="180">
        <v>1800</v>
      </c>
      <c r="I392" s="181">
        <v>1800</v>
      </c>
      <c r="J392" s="182">
        <v>1800</v>
      </c>
      <c r="K392" s="180">
        <v>1800</v>
      </c>
      <c r="L392" s="181">
        <v>1800</v>
      </c>
      <c r="M392" s="182">
        <v>1800</v>
      </c>
      <c r="N392" s="180">
        <v>1800</v>
      </c>
      <c r="O392" s="181">
        <v>1800</v>
      </c>
      <c r="P392" s="182">
        <v>1800</v>
      </c>
      <c r="Q392" s="180">
        <v>1800</v>
      </c>
      <c r="R392" s="181">
        <v>1800</v>
      </c>
      <c r="S392" s="182">
        <v>1800</v>
      </c>
      <c r="T392" s="180">
        <v>1800</v>
      </c>
      <c r="U392" s="181">
        <v>1800</v>
      </c>
      <c r="V392" s="182">
        <v>1800</v>
      </c>
      <c r="W392" s="180">
        <v>1800</v>
      </c>
      <c r="X392" s="181">
        <v>1800</v>
      </c>
      <c r="Y392" s="182">
        <v>1800</v>
      </c>
      <c r="Z392" s="180">
        <v>1800</v>
      </c>
      <c r="AA392" s="181">
        <v>1800</v>
      </c>
      <c r="AB392" s="182">
        <v>1800</v>
      </c>
      <c r="AC392" s="180">
        <v>1800</v>
      </c>
      <c r="AD392" s="181">
        <v>1800</v>
      </c>
      <c r="AE392" s="182">
        <v>1800</v>
      </c>
      <c r="AF392" s="180">
        <v>1800</v>
      </c>
      <c r="AG392" s="181">
        <v>1800</v>
      </c>
      <c r="AH392" s="182">
        <v>1800</v>
      </c>
      <c r="AI392" s="168" t="s">
        <v>218</v>
      </c>
      <c r="AJ392" s="169" t="s">
        <v>2593</v>
      </c>
      <c r="AK392" s="170" t="s">
        <v>2482</v>
      </c>
      <c r="AL392" s="169" t="s">
        <v>18</v>
      </c>
      <c r="AM392" s="183">
        <v>1215</v>
      </c>
    </row>
    <row r="393" spans="1:39" s="2" customFormat="1">
      <c r="A393" s="179" t="s">
        <v>565</v>
      </c>
      <c r="B393" s="238" t="s">
        <v>163</v>
      </c>
      <c r="C393" s="164" t="s">
        <v>4844</v>
      </c>
      <c r="D393" s="236" t="s">
        <v>4845</v>
      </c>
      <c r="E393" s="180">
        <v>104</v>
      </c>
      <c r="F393" s="181">
        <v>104</v>
      </c>
      <c r="G393" s="182">
        <v>104</v>
      </c>
      <c r="H393" s="180">
        <v>104</v>
      </c>
      <c r="I393" s="181">
        <v>130</v>
      </c>
      <c r="J393" s="182">
        <v>130</v>
      </c>
      <c r="K393" s="180">
        <v>130</v>
      </c>
      <c r="L393" s="181">
        <v>130</v>
      </c>
      <c r="M393" s="182">
        <v>130</v>
      </c>
      <c r="N393" s="180">
        <v>130</v>
      </c>
      <c r="O393" s="181">
        <v>130</v>
      </c>
      <c r="P393" s="182">
        <v>130</v>
      </c>
      <c r="Q393" s="180">
        <v>130</v>
      </c>
      <c r="R393" s="181">
        <v>130</v>
      </c>
      <c r="S393" s="182">
        <v>130</v>
      </c>
      <c r="T393" s="180">
        <v>130</v>
      </c>
      <c r="U393" s="181">
        <v>130</v>
      </c>
      <c r="V393" s="182">
        <v>130</v>
      </c>
      <c r="W393" s="180">
        <v>130</v>
      </c>
      <c r="X393" s="181">
        <v>130</v>
      </c>
      <c r="Y393" s="182">
        <v>130</v>
      </c>
      <c r="Z393" s="180">
        <v>130</v>
      </c>
      <c r="AA393" s="181">
        <v>130</v>
      </c>
      <c r="AB393" s="182">
        <v>130</v>
      </c>
      <c r="AC393" s="180">
        <v>130</v>
      </c>
      <c r="AD393" s="181">
        <v>104</v>
      </c>
      <c r="AE393" s="182">
        <v>104</v>
      </c>
      <c r="AF393" s="180">
        <v>130</v>
      </c>
      <c r="AG393" s="181">
        <v>130</v>
      </c>
      <c r="AH393" s="182">
        <v>130</v>
      </c>
      <c r="AI393" s="168" t="s">
        <v>1137</v>
      </c>
      <c r="AJ393" s="169" t="s">
        <v>2593</v>
      </c>
      <c r="AK393" s="170" t="s">
        <v>2482</v>
      </c>
      <c r="AL393" s="169" t="s">
        <v>18</v>
      </c>
      <c r="AM393" s="183">
        <v>1216</v>
      </c>
    </row>
    <row r="394" spans="1:39" s="2" customFormat="1">
      <c r="A394" s="179" t="s">
        <v>309</v>
      </c>
      <c r="B394" s="238" t="s">
        <v>2463</v>
      </c>
      <c r="C394" s="164" t="s">
        <v>865</v>
      </c>
      <c r="D394" s="236" t="s">
        <v>4851</v>
      </c>
      <c r="E394" s="180">
        <v>0</v>
      </c>
      <c r="F394" s="181">
        <v>154.96</v>
      </c>
      <c r="G394" s="182">
        <v>139.36000000000001</v>
      </c>
      <c r="H394" s="180">
        <v>154.96</v>
      </c>
      <c r="I394" s="181">
        <v>154.96</v>
      </c>
      <c r="J394" s="182">
        <v>139.36000000000001</v>
      </c>
      <c r="K394" s="180">
        <v>154.96</v>
      </c>
      <c r="L394" s="181">
        <v>154.96</v>
      </c>
      <c r="M394" s="182">
        <v>139.36000000000001</v>
      </c>
      <c r="N394" s="180">
        <v>154.96</v>
      </c>
      <c r="O394" s="181">
        <v>154.96</v>
      </c>
      <c r="P394" s="182">
        <v>139.36000000000001</v>
      </c>
      <c r="Q394" s="180">
        <v>154.96</v>
      </c>
      <c r="R394" s="181">
        <v>154.96</v>
      </c>
      <c r="S394" s="182">
        <v>139.36000000000001</v>
      </c>
      <c r="T394" s="180">
        <v>154.96</v>
      </c>
      <c r="U394" s="181">
        <v>154.96</v>
      </c>
      <c r="V394" s="182">
        <v>139.36000000000001</v>
      </c>
      <c r="W394" s="180">
        <v>154.96</v>
      </c>
      <c r="X394" s="181">
        <v>154.96</v>
      </c>
      <c r="Y394" s="182">
        <v>139.36000000000001</v>
      </c>
      <c r="Z394" s="180">
        <v>154.96</v>
      </c>
      <c r="AA394" s="181">
        <v>154.96</v>
      </c>
      <c r="AB394" s="182">
        <v>139.36000000000001</v>
      </c>
      <c r="AC394" s="180">
        <v>154.96</v>
      </c>
      <c r="AD394" s="181">
        <v>154.96</v>
      </c>
      <c r="AE394" s="182">
        <v>139.36000000000001</v>
      </c>
      <c r="AF394" s="180">
        <v>154.96</v>
      </c>
      <c r="AG394" s="181">
        <v>154.96</v>
      </c>
      <c r="AH394" s="182">
        <v>139.36000000000001</v>
      </c>
      <c r="AI394" s="168" t="s">
        <v>866</v>
      </c>
      <c r="AJ394" s="169" t="s">
        <v>2466</v>
      </c>
      <c r="AK394" s="170" t="s">
        <v>2467</v>
      </c>
      <c r="AL394" s="169" t="s">
        <v>20</v>
      </c>
      <c r="AM394" s="183">
        <v>2016</v>
      </c>
    </row>
    <row r="395" spans="1:39" s="2" customFormat="1">
      <c r="A395" s="179" t="s">
        <v>7</v>
      </c>
      <c r="B395" s="238" t="s">
        <v>163</v>
      </c>
      <c r="C395" s="164" t="s">
        <v>4864</v>
      </c>
      <c r="D395" s="236" t="s">
        <v>4865</v>
      </c>
      <c r="E395" s="180">
        <v>664</v>
      </c>
      <c r="F395" s="181">
        <v>664</v>
      </c>
      <c r="G395" s="182">
        <v>664</v>
      </c>
      <c r="H395" s="180">
        <v>664</v>
      </c>
      <c r="I395" s="181">
        <v>591</v>
      </c>
      <c r="J395" s="182">
        <v>591</v>
      </c>
      <c r="K395" s="180">
        <v>664</v>
      </c>
      <c r="L395" s="181">
        <v>571</v>
      </c>
      <c r="M395" s="182">
        <v>571</v>
      </c>
      <c r="N395" s="180">
        <v>581</v>
      </c>
      <c r="O395" s="181">
        <v>581</v>
      </c>
      <c r="P395" s="182">
        <v>581</v>
      </c>
      <c r="Q395" s="180">
        <v>684</v>
      </c>
      <c r="R395" s="181">
        <v>591</v>
      </c>
      <c r="S395" s="182">
        <v>591</v>
      </c>
      <c r="T395" s="180">
        <v>694</v>
      </c>
      <c r="U395" s="181">
        <v>704</v>
      </c>
      <c r="V395" s="182">
        <v>704</v>
      </c>
      <c r="W395" s="180">
        <v>631</v>
      </c>
      <c r="X395" s="181">
        <v>709</v>
      </c>
      <c r="Y395" s="182">
        <v>709</v>
      </c>
      <c r="Z395" s="180">
        <v>636</v>
      </c>
      <c r="AA395" s="181">
        <v>714</v>
      </c>
      <c r="AB395" s="182">
        <v>714</v>
      </c>
      <c r="AC395" s="180">
        <v>641</v>
      </c>
      <c r="AD395" s="181">
        <v>719</v>
      </c>
      <c r="AE395" s="182">
        <v>719</v>
      </c>
      <c r="AF395" s="180">
        <v>646</v>
      </c>
      <c r="AG395" s="181">
        <v>724</v>
      </c>
      <c r="AH395" s="182">
        <v>724</v>
      </c>
      <c r="AI395" s="168" t="s">
        <v>218</v>
      </c>
      <c r="AJ395" s="169" t="s">
        <v>2593</v>
      </c>
      <c r="AK395" s="170" t="s">
        <v>2482</v>
      </c>
      <c r="AL395" s="169" t="s">
        <v>18</v>
      </c>
      <c r="AM395" s="183">
        <v>1217</v>
      </c>
    </row>
    <row r="396" spans="1:39" s="2" customFormat="1">
      <c r="A396" s="179" t="s">
        <v>7</v>
      </c>
      <c r="B396" s="238" t="s">
        <v>163</v>
      </c>
      <c r="C396" s="164" t="s">
        <v>4866</v>
      </c>
      <c r="D396" s="236" t="s">
        <v>4868</v>
      </c>
      <c r="E396" s="180">
        <v>173</v>
      </c>
      <c r="F396" s="181">
        <v>164</v>
      </c>
      <c r="G396" s="182">
        <v>160</v>
      </c>
      <c r="H396" s="180">
        <v>173</v>
      </c>
      <c r="I396" s="181">
        <v>164</v>
      </c>
      <c r="J396" s="182">
        <v>160</v>
      </c>
      <c r="K396" s="180">
        <v>173</v>
      </c>
      <c r="L396" s="181">
        <v>164</v>
      </c>
      <c r="M396" s="182">
        <v>160</v>
      </c>
      <c r="N396" s="180">
        <v>173</v>
      </c>
      <c r="O396" s="181">
        <v>164</v>
      </c>
      <c r="P396" s="182">
        <v>160</v>
      </c>
      <c r="Q396" s="180">
        <v>173</v>
      </c>
      <c r="R396" s="181">
        <v>164</v>
      </c>
      <c r="S396" s="182">
        <v>160</v>
      </c>
      <c r="T396" s="180">
        <v>173</v>
      </c>
      <c r="U396" s="181">
        <v>164</v>
      </c>
      <c r="V396" s="182">
        <v>160</v>
      </c>
      <c r="W396" s="180">
        <v>173</v>
      </c>
      <c r="X396" s="181">
        <v>164</v>
      </c>
      <c r="Y396" s="182">
        <v>160</v>
      </c>
      <c r="Z396" s="180">
        <v>173</v>
      </c>
      <c r="AA396" s="181">
        <v>164</v>
      </c>
      <c r="AB396" s="182">
        <v>160</v>
      </c>
      <c r="AC396" s="180">
        <v>173</v>
      </c>
      <c r="AD396" s="181">
        <v>164</v>
      </c>
      <c r="AE396" s="182">
        <v>160</v>
      </c>
      <c r="AF396" s="180">
        <v>173</v>
      </c>
      <c r="AG396" s="181">
        <v>164</v>
      </c>
      <c r="AH396" s="182">
        <v>160</v>
      </c>
      <c r="AI396" s="168" t="s">
        <v>4867</v>
      </c>
      <c r="AJ396" s="169" t="s">
        <v>2555</v>
      </c>
      <c r="AK396" s="170" t="s">
        <v>2556</v>
      </c>
      <c r="AL396" s="169" t="s">
        <v>14</v>
      </c>
      <c r="AM396" s="183">
        <v>1218</v>
      </c>
    </row>
    <row r="397" spans="1:39" s="2" customFormat="1">
      <c r="A397" s="179" t="s">
        <v>7</v>
      </c>
      <c r="B397" s="238" t="s">
        <v>163</v>
      </c>
      <c r="C397" s="164" t="s">
        <v>4866</v>
      </c>
      <c r="D397" s="236" t="s">
        <v>4869</v>
      </c>
      <c r="E397" s="180">
        <v>173</v>
      </c>
      <c r="F397" s="181">
        <v>164</v>
      </c>
      <c r="G397" s="182">
        <v>160</v>
      </c>
      <c r="H397" s="180">
        <v>173</v>
      </c>
      <c r="I397" s="181">
        <v>164</v>
      </c>
      <c r="J397" s="182">
        <v>160</v>
      </c>
      <c r="K397" s="180">
        <v>173</v>
      </c>
      <c r="L397" s="181">
        <v>164</v>
      </c>
      <c r="M397" s="182">
        <v>160</v>
      </c>
      <c r="N397" s="180">
        <v>173</v>
      </c>
      <c r="O397" s="181">
        <v>164</v>
      </c>
      <c r="P397" s="182">
        <v>160</v>
      </c>
      <c r="Q397" s="180">
        <v>173</v>
      </c>
      <c r="R397" s="181">
        <v>164</v>
      </c>
      <c r="S397" s="182">
        <v>160</v>
      </c>
      <c r="T397" s="180">
        <v>173</v>
      </c>
      <c r="U397" s="181">
        <v>164</v>
      </c>
      <c r="V397" s="182">
        <v>160</v>
      </c>
      <c r="W397" s="180">
        <v>173</v>
      </c>
      <c r="X397" s="181">
        <v>164</v>
      </c>
      <c r="Y397" s="182">
        <v>160</v>
      </c>
      <c r="Z397" s="180">
        <v>173</v>
      </c>
      <c r="AA397" s="181">
        <v>164</v>
      </c>
      <c r="AB397" s="182">
        <v>160</v>
      </c>
      <c r="AC397" s="180">
        <v>173</v>
      </c>
      <c r="AD397" s="181">
        <v>164</v>
      </c>
      <c r="AE397" s="182">
        <v>160</v>
      </c>
      <c r="AF397" s="180">
        <v>173</v>
      </c>
      <c r="AG397" s="181">
        <v>164</v>
      </c>
      <c r="AH397" s="182">
        <v>160</v>
      </c>
      <c r="AI397" s="168" t="s">
        <v>4867</v>
      </c>
      <c r="AJ397" s="169" t="s">
        <v>2555</v>
      </c>
      <c r="AK397" s="170" t="s">
        <v>2556</v>
      </c>
      <c r="AL397" s="169" t="s">
        <v>14</v>
      </c>
      <c r="AM397" s="183">
        <v>1218</v>
      </c>
    </row>
    <row r="398" spans="1:39" s="2" customFormat="1">
      <c r="A398" s="179" t="s">
        <v>7</v>
      </c>
      <c r="B398" s="238" t="s">
        <v>163</v>
      </c>
      <c r="C398" s="164" t="s">
        <v>4866</v>
      </c>
      <c r="D398" s="236" t="s">
        <v>4870</v>
      </c>
      <c r="E398" s="180">
        <v>173</v>
      </c>
      <c r="F398" s="181">
        <v>164</v>
      </c>
      <c r="G398" s="182">
        <v>160</v>
      </c>
      <c r="H398" s="180">
        <v>173</v>
      </c>
      <c r="I398" s="181">
        <v>164</v>
      </c>
      <c r="J398" s="182">
        <v>160</v>
      </c>
      <c r="K398" s="180">
        <v>173</v>
      </c>
      <c r="L398" s="181">
        <v>164</v>
      </c>
      <c r="M398" s="182">
        <v>160</v>
      </c>
      <c r="N398" s="180">
        <v>173</v>
      </c>
      <c r="O398" s="181">
        <v>164</v>
      </c>
      <c r="P398" s="182">
        <v>160</v>
      </c>
      <c r="Q398" s="180">
        <v>173</v>
      </c>
      <c r="R398" s="181">
        <v>164</v>
      </c>
      <c r="S398" s="182">
        <v>160</v>
      </c>
      <c r="T398" s="180">
        <v>173</v>
      </c>
      <c r="U398" s="181">
        <v>164</v>
      </c>
      <c r="V398" s="182">
        <v>160</v>
      </c>
      <c r="W398" s="180">
        <v>173</v>
      </c>
      <c r="X398" s="181">
        <v>164</v>
      </c>
      <c r="Y398" s="182">
        <v>160</v>
      </c>
      <c r="Z398" s="180">
        <v>173</v>
      </c>
      <c r="AA398" s="181">
        <v>164</v>
      </c>
      <c r="AB398" s="182">
        <v>160</v>
      </c>
      <c r="AC398" s="180">
        <v>173</v>
      </c>
      <c r="AD398" s="181">
        <v>164</v>
      </c>
      <c r="AE398" s="182">
        <v>160</v>
      </c>
      <c r="AF398" s="180">
        <v>173</v>
      </c>
      <c r="AG398" s="181">
        <v>164</v>
      </c>
      <c r="AH398" s="182">
        <v>160</v>
      </c>
      <c r="AI398" s="168" t="s">
        <v>4867</v>
      </c>
      <c r="AJ398" s="169" t="s">
        <v>2555</v>
      </c>
      <c r="AK398" s="170" t="s">
        <v>2556</v>
      </c>
      <c r="AL398" s="169" t="s">
        <v>14</v>
      </c>
      <c r="AM398" s="183">
        <v>1218</v>
      </c>
    </row>
    <row r="399" spans="1:39" s="2" customFormat="1">
      <c r="A399" s="179" t="s">
        <v>7</v>
      </c>
      <c r="B399" s="238" t="s">
        <v>163</v>
      </c>
      <c r="C399" s="164" t="s">
        <v>4866</v>
      </c>
      <c r="D399" s="236" t="s">
        <v>4871</v>
      </c>
      <c r="E399" s="180">
        <v>173</v>
      </c>
      <c r="F399" s="181">
        <v>164</v>
      </c>
      <c r="G399" s="182">
        <v>160</v>
      </c>
      <c r="H399" s="180">
        <v>173</v>
      </c>
      <c r="I399" s="181">
        <v>164</v>
      </c>
      <c r="J399" s="182">
        <v>160</v>
      </c>
      <c r="K399" s="180">
        <v>173</v>
      </c>
      <c r="L399" s="181">
        <v>164</v>
      </c>
      <c r="M399" s="182">
        <v>160</v>
      </c>
      <c r="N399" s="180">
        <v>173</v>
      </c>
      <c r="O399" s="181">
        <v>164</v>
      </c>
      <c r="P399" s="182">
        <v>160</v>
      </c>
      <c r="Q399" s="180">
        <v>173</v>
      </c>
      <c r="R399" s="181">
        <v>164</v>
      </c>
      <c r="S399" s="182">
        <v>160</v>
      </c>
      <c r="T399" s="180">
        <v>173</v>
      </c>
      <c r="U399" s="181">
        <v>164</v>
      </c>
      <c r="V399" s="182">
        <v>160</v>
      </c>
      <c r="W399" s="180">
        <v>173</v>
      </c>
      <c r="X399" s="181">
        <v>164</v>
      </c>
      <c r="Y399" s="182">
        <v>160</v>
      </c>
      <c r="Z399" s="180">
        <v>173</v>
      </c>
      <c r="AA399" s="181">
        <v>164</v>
      </c>
      <c r="AB399" s="182">
        <v>160</v>
      </c>
      <c r="AC399" s="180">
        <v>173</v>
      </c>
      <c r="AD399" s="181">
        <v>164</v>
      </c>
      <c r="AE399" s="182">
        <v>160</v>
      </c>
      <c r="AF399" s="180">
        <v>173</v>
      </c>
      <c r="AG399" s="181">
        <v>164</v>
      </c>
      <c r="AH399" s="182">
        <v>160</v>
      </c>
      <c r="AI399" s="168" t="s">
        <v>4867</v>
      </c>
      <c r="AJ399" s="169" t="s">
        <v>2555</v>
      </c>
      <c r="AK399" s="170" t="s">
        <v>2556</v>
      </c>
      <c r="AL399" s="169" t="s">
        <v>14</v>
      </c>
      <c r="AM399" s="183">
        <v>1218</v>
      </c>
    </row>
    <row r="400" spans="1:39" s="2" customFormat="1">
      <c r="A400" s="179" t="s">
        <v>7</v>
      </c>
      <c r="B400" s="238" t="s">
        <v>2463</v>
      </c>
      <c r="C400" s="164" t="s">
        <v>851</v>
      </c>
      <c r="D400" s="236" t="s">
        <v>5182</v>
      </c>
      <c r="E400" s="180">
        <v>0</v>
      </c>
      <c r="F400" s="181">
        <v>0</v>
      </c>
      <c r="G400" s="182">
        <v>0</v>
      </c>
      <c r="H400" s="180">
        <v>0</v>
      </c>
      <c r="I400" s="181">
        <v>0</v>
      </c>
      <c r="J400" s="182">
        <v>0</v>
      </c>
      <c r="K400" s="180">
        <v>138</v>
      </c>
      <c r="L400" s="181">
        <v>207</v>
      </c>
      <c r="M400" s="182">
        <v>207</v>
      </c>
      <c r="N400" s="180">
        <v>414</v>
      </c>
      <c r="O400" s="181">
        <v>414</v>
      </c>
      <c r="P400" s="182">
        <v>414</v>
      </c>
      <c r="Q400" s="180">
        <v>414</v>
      </c>
      <c r="R400" s="181">
        <v>414</v>
      </c>
      <c r="S400" s="182">
        <v>414</v>
      </c>
      <c r="T400" s="180">
        <v>414</v>
      </c>
      <c r="U400" s="181">
        <v>414</v>
      </c>
      <c r="V400" s="182">
        <v>414</v>
      </c>
      <c r="W400" s="180">
        <v>414</v>
      </c>
      <c r="X400" s="181">
        <v>414</v>
      </c>
      <c r="Y400" s="182">
        <v>414</v>
      </c>
      <c r="Z400" s="180">
        <v>414</v>
      </c>
      <c r="AA400" s="181">
        <v>414</v>
      </c>
      <c r="AB400" s="182">
        <v>414</v>
      </c>
      <c r="AC400" s="180">
        <v>414</v>
      </c>
      <c r="AD400" s="181">
        <v>414</v>
      </c>
      <c r="AE400" s="182">
        <v>414</v>
      </c>
      <c r="AF400" s="180">
        <v>414</v>
      </c>
      <c r="AG400" s="181">
        <v>414</v>
      </c>
      <c r="AH400" s="182">
        <v>414</v>
      </c>
      <c r="AI400" s="168" t="s">
        <v>852</v>
      </c>
      <c r="AJ400" s="169" t="s">
        <v>2485</v>
      </c>
      <c r="AK400" s="170" t="s">
        <v>2486</v>
      </c>
      <c r="AL400" s="169" t="s">
        <v>17</v>
      </c>
      <c r="AM400" s="183">
        <v>1283</v>
      </c>
    </row>
    <row r="401" spans="1:39" s="2" customFormat="1">
      <c r="A401" s="179" t="s">
        <v>7</v>
      </c>
      <c r="B401" s="238" t="s">
        <v>163</v>
      </c>
      <c r="C401" s="164" t="s">
        <v>1306</v>
      </c>
      <c r="D401" s="236" t="s">
        <v>4875</v>
      </c>
      <c r="E401" s="180">
        <v>660</v>
      </c>
      <c r="F401" s="181">
        <v>660</v>
      </c>
      <c r="G401" s="182">
        <v>660</v>
      </c>
      <c r="H401" s="180">
        <v>660</v>
      </c>
      <c r="I401" s="181">
        <v>660</v>
      </c>
      <c r="J401" s="182">
        <v>660</v>
      </c>
      <c r="K401" s="180">
        <v>660</v>
      </c>
      <c r="L401" s="181">
        <v>660</v>
      </c>
      <c r="M401" s="182">
        <v>660</v>
      </c>
      <c r="N401" s="180">
        <v>660</v>
      </c>
      <c r="O401" s="181">
        <v>660</v>
      </c>
      <c r="P401" s="182">
        <v>660</v>
      </c>
      <c r="Q401" s="180">
        <v>660</v>
      </c>
      <c r="R401" s="181">
        <v>660</v>
      </c>
      <c r="S401" s="182">
        <v>660</v>
      </c>
      <c r="T401" s="180">
        <v>660</v>
      </c>
      <c r="U401" s="181">
        <v>660</v>
      </c>
      <c r="V401" s="182">
        <v>660</v>
      </c>
      <c r="W401" s="180">
        <v>660</v>
      </c>
      <c r="X401" s="181">
        <v>660</v>
      </c>
      <c r="Y401" s="182">
        <v>660</v>
      </c>
      <c r="Z401" s="180">
        <v>660</v>
      </c>
      <c r="AA401" s="181">
        <v>660</v>
      </c>
      <c r="AB401" s="182">
        <v>660</v>
      </c>
      <c r="AC401" s="180">
        <v>660</v>
      </c>
      <c r="AD401" s="181">
        <v>660</v>
      </c>
      <c r="AE401" s="182">
        <v>660</v>
      </c>
      <c r="AF401" s="180">
        <v>0</v>
      </c>
      <c r="AG401" s="181">
        <v>0</v>
      </c>
      <c r="AH401" s="182">
        <v>0</v>
      </c>
      <c r="AI401" s="168" t="s">
        <v>1307</v>
      </c>
      <c r="AJ401" s="169" t="s">
        <v>2639</v>
      </c>
      <c r="AK401" s="170" t="s">
        <v>2640</v>
      </c>
      <c r="AL401" s="169" t="s">
        <v>12</v>
      </c>
      <c r="AM401" s="183">
        <v>1219</v>
      </c>
    </row>
    <row r="402" spans="1:39" s="2" customFormat="1">
      <c r="A402" s="179" t="s">
        <v>7</v>
      </c>
      <c r="B402" s="238" t="s">
        <v>163</v>
      </c>
      <c r="C402" s="164" t="s">
        <v>1306</v>
      </c>
      <c r="D402" s="236" t="s">
        <v>4876</v>
      </c>
      <c r="E402" s="180">
        <v>660</v>
      </c>
      <c r="F402" s="181">
        <v>660</v>
      </c>
      <c r="G402" s="182">
        <v>660</v>
      </c>
      <c r="H402" s="180">
        <v>660</v>
      </c>
      <c r="I402" s="181">
        <v>660</v>
      </c>
      <c r="J402" s="182">
        <v>660</v>
      </c>
      <c r="K402" s="180">
        <v>660</v>
      </c>
      <c r="L402" s="181">
        <v>660</v>
      </c>
      <c r="M402" s="182">
        <v>660</v>
      </c>
      <c r="N402" s="180">
        <v>660</v>
      </c>
      <c r="O402" s="181">
        <v>660</v>
      </c>
      <c r="P402" s="182">
        <v>660</v>
      </c>
      <c r="Q402" s="180">
        <v>660</v>
      </c>
      <c r="R402" s="181">
        <v>660</v>
      </c>
      <c r="S402" s="182">
        <v>660</v>
      </c>
      <c r="T402" s="180">
        <v>660</v>
      </c>
      <c r="U402" s="181">
        <v>660</v>
      </c>
      <c r="V402" s="182">
        <v>660</v>
      </c>
      <c r="W402" s="180">
        <v>660</v>
      </c>
      <c r="X402" s="181">
        <v>660</v>
      </c>
      <c r="Y402" s="182">
        <v>660</v>
      </c>
      <c r="Z402" s="180">
        <v>660</v>
      </c>
      <c r="AA402" s="181">
        <v>660</v>
      </c>
      <c r="AB402" s="182">
        <v>660</v>
      </c>
      <c r="AC402" s="180">
        <v>660</v>
      </c>
      <c r="AD402" s="181">
        <v>660</v>
      </c>
      <c r="AE402" s="182">
        <v>660</v>
      </c>
      <c r="AF402" s="180">
        <v>0</v>
      </c>
      <c r="AG402" s="181">
        <v>0</v>
      </c>
      <c r="AH402" s="182">
        <v>0</v>
      </c>
      <c r="AI402" s="168" t="s">
        <v>1307</v>
      </c>
      <c r="AJ402" s="169" t="s">
        <v>2639</v>
      </c>
      <c r="AK402" s="170" t="s">
        <v>2640</v>
      </c>
      <c r="AL402" s="169" t="s">
        <v>12</v>
      </c>
      <c r="AM402" s="183">
        <v>1219</v>
      </c>
    </row>
    <row r="403" spans="1:39" s="2" customFormat="1">
      <c r="A403" s="179" t="s">
        <v>423</v>
      </c>
      <c r="B403" s="238" t="s">
        <v>163</v>
      </c>
      <c r="C403" s="164" t="s">
        <v>4881</v>
      </c>
      <c r="D403" s="236" t="s">
        <v>4882</v>
      </c>
      <c r="E403" s="180">
        <v>56</v>
      </c>
      <c r="F403" s="181">
        <v>50</v>
      </c>
      <c r="G403" s="182">
        <v>47.5</v>
      </c>
      <c r="H403" s="180">
        <v>56</v>
      </c>
      <c r="I403" s="181">
        <v>50</v>
      </c>
      <c r="J403" s="182">
        <v>47.5</v>
      </c>
      <c r="K403" s="180">
        <v>56</v>
      </c>
      <c r="L403" s="181">
        <v>50</v>
      </c>
      <c r="M403" s="182">
        <v>47.5</v>
      </c>
      <c r="N403" s="180">
        <v>56</v>
      </c>
      <c r="O403" s="181">
        <v>50</v>
      </c>
      <c r="P403" s="182">
        <v>47.5</v>
      </c>
      <c r="Q403" s="180">
        <v>56</v>
      </c>
      <c r="R403" s="181">
        <v>50</v>
      </c>
      <c r="S403" s="182">
        <v>47.5</v>
      </c>
      <c r="T403" s="180">
        <v>56</v>
      </c>
      <c r="U403" s="181">
        <v>50</v>
      </c>
      <c r="V403" s="182">
        <v>47.5</v>
      </c>
      <c r="W403" s="180">
        <v>56</v>
      </c>
      <c r="X403" s="181">
        <v>50</v>
      </c>
      <c r="Y403" s="182">
        <v>47.5</v>
      </c>
      <c r="Z403" s="180">
        <v>56</v>
      </c>
      <c r="AA403" s="181">
        <v>50</v>
      </c>
      <c r="AB403" s="182">
        <v>47.5</v>
      </c>
      <c r="AC403" s="180">
        <v>56</v>
      </c>
      <c r="AD403" s="181">
        <v>50</v>
      </c>
      <c r="AE403" s="182">
        <v>47.5</v>
      </c>
      <c r="AF403" s="180">
        <v>56</v>
      </c>
      <c r="AG403" s="181">
        <v>50</v>
      </c>
      <c r="AH403" s="182">
        <v>47.5</v>
      </c>
      <c r="AI403" s="168" t="s">
        <v>218</v>
      </c>
      <c r="AJ403" s="169" t="s">
        <v>2555</v>
      </c>
      <c r="AK403" s="170" t="s">
        <v>2556</v>
      </c>
      <c r="AL403" s="169" t="s">
        <v>14</v>
      </c>
      <c r="AM403" s="183">
        <v>1220</v>
      </c>
    </row>
    <row r="404" spans="1:39" s="2" customFormat="1">
      <c r="A404" s="179" t="s">
        <v>423</v>
      </c>
      <c r="B404" s="238" t="s">
        <v>163</v>
      </c>
      <c r="C404" s="164" t="s">
        <v>4881</v>
      </c>
      <c r="D404" s="236" t="s">
        <v>4883</v>
      </c>
      <c r="E404" s="180">
        <v>56</v>
      </c>
      <c r="F404" s="181">
        <v>50</v>
      </c>
      <c r="G404" s="182">
        <v>47.5</v>
      </c>
      <c r="H404" s="180">
        <v>56</v>
      </c>
      <c r="I404" s="181">
        <v>50</v>
      </c>
      <c r="J404" s="182">
        <v>47.5</v>
      </c>
      <c r="K404" s="180">
        <v>56</v>
      </c>
      <c r="L404" s="181">
        <v>50</v>
      </c>
      <c r="M404" s="182">
        <v>47.5</v>
      </c>
      <c r="N404" s="180">
        <v>56</v>
      </c>
      <c r="O404" s="181">
        <v>50</v>
      </c>
      <c r="P404" s="182">
        <v>47.5</v>
      </c>
      <c r="Q404" s="180">
        <v>56</v>
      </c>
      <c r="R404" s="181">
        <v>50</v>
      </c>
      <c r="S404" s="182">
        <v>47.5</v>
      </c>
      <c r="T404" s="180">
        <v>56</v>
      </c>
      <c r="U404" s="181">
        <v>50</v>
      </c>
      <c r="V404" s="182">
        <v>47.5</v>
      </c>
      <c r="W404" s="180">
        <v>56</v>
      </c>
      <c r="X404" s="181">
        <v>50</v>
      </c>
      <c r="Y404" s="182">
        <v>47.5</v>
      </c>
      <c r="Z404" s="180">
        <v>56</v>
      </c>
      <c r="AA404" s="181">
        <v>50</v>
      </c>
      <c r="AB404" s="182">
        <v>47.5</v>
      </c>
      <c r="AC404" s="180">
        <v>56</v>
      </c>
      <c r="AD404" s="181">
        <v>50</v>
      </c>
      <c r="AE404" s="182">
        <v>47.5</v>
      </c>
      <c r="AF404" s="180">
        <v>56</v>
      </c>
      <c r="AG404" s="181">
        <v>50</v>
      </c>
      <c r="AH404" s="182">
        <v>47.5</v>
      </c>
      <c r="AI404" s="168" t="s">
        <v>218</v>
      </c>
      <c r="AJ404" s="169" t="s">
        <v>2555</v>
      </c>
      <c r="AK404" s="170" t="s">
        <v>2556</v>
      </c>
      <c r="AL404" s="169" t="s">
        <v>14</v>
      </c>
      <c r="AM404" s="183">
        <v>1220</v>
      </c>
    </row>
    <row r="405" spans="1:39" s="2" customFormat="1">
      <c r="A405" s="179" t="s">
        <v>423</v>
      </c>
      <c r="B405" s="238" t="s">
        <v>163</v>
      </c>
      <c r="C405" s="164" t="s">
        <v>4881</v>
      </c>
      <c r="D405" s="236" t="s">
        <v>4884</v>
      </c>
      <c r="E405" s="180">
        <v>56</v>
      </c>
      <c r="F405" s="181">
        <v>50</v>
      </c>
      <c r="G405" s="182">
        <v>47.5</v>
      </c>
      <c r="H405" s="180">
        <v>56</v>
      </c>
      <c r="I405" s="181">
        <v>50</v>
      </c>
      <c r="J405" s="182">
        <v>47.5</v>
      </c>
      <c r="K405" s="180">
        <v>56</v>
      </c>
      <c r="L405" s="181">
        <v>50</v>
      </c>
      <c r="M405" s="182">
        <v>47.5</v>
      </c>
      <c r="N405" s="180">
        <v>56</v>
      </c>
      <c r="O405" s="181">
        <v>50</v>
      </c>
      <c r="P405" s="182">
        <v>47.5</v>
      </c>
      <c r="Q405" s="180">
        <v>56</v>
      </c>
      <c r="R405" s="181">
        <v>50</v>
      </c>
      <c r="S405" s="182">
        <v>47.5</v>
      </c>
      <c r="T405" s="180">
        <v>56</v>
      </c>
      <c r="U405" s="181">
        <v>50</v>
      </c>
      <c r="V405" s="182">
        <v>47.5</v>
      </c>
      <c r="W405" s="180">
        <v>56</v>
      </c>
      <c r="X405" s="181">
        <v>50</v>
      </c>
      <c r="Y405" s="182">
        <v>47.5</v>
      </c>
      <c r="Z405" s="180">
        <v>56</v>
      </c>
      <c r="AA405" s="181">
        <v>50</v>
      </c>
      <c r="AB405" s="182">
        <v>47.5</v>
      </c>
      <c r="AC405" s="180">
        <v>56</v>
      </c>
      <c r="AD405" s="181">
        <v>50</v>
      </c>
      <c r="AE405" s="182">
        <v>47.5</v>
      </c>
      <c r="AF405" s="180">
        <v>56</v>
      </c>
      <c r="AG405" s="181">
        <v>50</v>
      </c>
      <c r="AH405" s="182">
        <v>47.5</v>
      </c>
      <c r="AI405" s="168" t="s">
        <v>218</v>
      </c>
      <c r="AJ405" s="169" t="s">
        <v>2555</v>
      </c>
      <c r="AK405" s="170" t="s">
        <v>2556</v>
      </c>
      <c r="AL405" s="169" t="s">
        <v>14</v>
      </c>
      <c r="AM405" s="183">
        <v>1220</v>
      </c>
    </row>
    <row r="406" spans="1:39" s="2" customFormat="1">
      <c r="A406" s="179" t="s">
        <v>423</v>
      </c>
      <c r="B406" s="238" t="s">
        <v>163</v>
      </c>
      <c r="C406" s="164" t="s">
        <v>4881</v>
      </c>
      <c r="D406" s="236" t="s">
        <v>4885</v>
      </c>
      <c r="E406" s="180">
        <v>56</v>
      </c>
      <c r="F406" s="181">
        <v>50</v>
      </c>
      <c r="G406" s="182">
        <v>47.5</v>
      </c>
      <c r="H406" s="180">
        <v>56</v>
      </c>
      <c r="I406" s="181">
        <v>50</v>
      </c>
      <c r="J406" s="182">
        <v>47.5</v>
      </c>
      <c r="K406" s="180">
        <v>56</v>
      </c>
      <c r="L406" s="181">
        <v>50</v>
      </c>
      <c r="M406" s="182">
        <v>47.5</v>
      </c>
      <c r="N406" s="180">
        <v>56</v>
      </c>
      <c r="O406" s="181">
        <v>50</v>
      </c>
      <c r="P406" s="182">
        <v>47.5</v>
      </c>
      <c r="Q406" s="180">
        <v>56</v>
      </c>
      <c r="R406" s="181">
        <v>50</v>
      </c>
      <c r="S406" s="182">
        <v>47.5</v>
      </c>
      <c r="T406" s="180">
        <v>56</v>
      </c>
      <c r="U406" s="181">
        <v>50</v>
      </c>
      <c r="V406" s="182">
        <v>47.5</v>
      </c>
      <c r="W406" s="180">
        <v>56</v>
      </c>
      <c r="X406" s="181">
        <v>50</v>
      </c>
      <c r="Y406" s="182">
        <v>47.5</v>
      </c>
      <c r="Z406" s="180">
        <v>56</v>
      </c>
      <c r="AA406" s="181">
        <v>50</v>
      </c>
      <c r="AB406" s="182">
        <v>47.5</v>
      </c>
      <c r="AC406" s="180">
        <v>56</v>
      </c>
      <c r="AD406" s="181">
        <v>50</v>
      </c>
      <c r="AE406" s="182">
        <v>47.5</v>
      </c>
      <c r="AF406" s="180">
        <v>56</v>
      </c>
      <c r="AG406" s="181">
        <v>50</v>
      </c>
      <c r="AH406" s="182">
        <v>47.5</v>
      </c>
      <c r="AI406" s="168" t="s">
        <v>218</v>
      </c>
      <c r="AJ406" s="169" t="s">
        <v>2555</v>
      </c>
      <c r="AK406" s="170" t="s">
        <v>2556</v>
      </c>
      <c r="AL406" s="169" t="s">
        <v>14</v>
      </c>
      <c r="AM406" s="183">
        <v>1220</v>
      </c>
    </row>
    <row r="407" spans="1:39" s="2" customFormat="1">
      <c r="A407" s="179" t="s">
        <v>423</v>
      </c>
      <c r="B407" s="238" t="s">
        <v>163</v>
      </c>
      <c r="C407" s="164" t="s">
        <v>4881</v>
      </c>
      <c r="D407" s="236" t="s">
        <v>4886</v>
      </c>
      <c r="E407" s="180">
        <v>56</v>
      </c>
      <c r="F407" s="181">
        <v>50</v>
      </c>
      <c r="G407" s="182">
        <v>47.5</v>
      </c>
      <c r="H407" s="180">
        <v>56</v>
      </c>
      <c r="I407" s="181">
        <v>50</v>
      </c>
      <c r="J407" s="182">
        <v>47.5</v>
      </c>
      <c r="K407" s="180">
        <v>56</v>
      </c>
      <c r="L407" s="181">
        <v>50</v>
      </c>
      <c r="M407" s="182">
        <v>47.5</v>
      </c>
      <c r="N407" s="180">
        <v>56</v>
      </c>
      <c r="O407" s="181">
        <v>50</v>
      </c>
      <c r="P407" s="182">
        <v>47.5</v>
      </c>
      <c r="Q407" s="180">
        <v>56</v>
      </c>
      <c r="R407" s="181">
        <v>50</v>
      </c>
      <c r="S407" s="182">
        <v>47.5</v>
      </c>
      <c r="T407" s="180">
        <v>56</v>
      </c>
      <c r="U407" s="181">
        <v>50</v>
      </c>
      <c r="V407" s="182">
        <v>47.5</v>
      </c>
      <c r="W407" s="180">
        <v>56</v>
      </c>
      <c r="X407" s="181">
        <v>50</v>
      </c>
      <c r="Y407" s="182">
        <v>47.5</v>
      </c>
      <c r="Z407" s="180">
        <v>56</v>
      </c>
      <c r="AA407" s="181">
        <v>50</v>
      </c>
      <c r="AB407" s="182">
        <v>47.5</v>
      </c>
      <c r="AC407" s="180">
        <v>56</v>
      </c>
      <c r="AD407" s="181">
        <v>50</v>
      </c>
      <c r="AE407" s="182">
        <v>47.5</v>
      </c>
      <c r="AF407" s="180">
        <v>56</v>
      </c>
      <c r="AG407" s="181">
        <v>50</v>
      </c>
      <c r="AH407" s="182">
        <v>47.5</v>
      </c>
      <c r="AI407" s="168" t="s">
        <v>218</v>
      </c>
      <c r="AJ407" s="169" t="s">
        <v>2555</v>
      </c>
      <c r="AK407" s="170" t="s">
        <v>2556</v>
      </c>
      <c r="AL407" s="169" t="s">
        <v>14</v>
      </c>
      <c r="AM407" s="183">
        <v>1220</v>
      </c>
    </row>
    <row r="408" spans="1:39" s="2" customFormat="1">
      <c r="A408" s="179" t="s">
        <v>423</v>
      </c>
      <c r="B408" s="238" t="s">
        <v>163</v>
      </c>
      <c r="C408" s="164" t="s">
        <v>4881</v>
      </c>
      <c r="D408" s="236" t="s">
        <v>4887</v>
      </c>
      <c r="E408" s="180">
        <v>56</v>
      </c>
      <c r="F408" s="181">
        <v>50</v>
      </c>
      <c r="G408" s="182">
        <v>47.5</v>
      </c>
      <c r="H408" s="180">
        <v>56</v>
      </c>
      <c r="I408" s="181">
        <v>50</v>
      </c>
      <c r="J408" s="182">
        <v>47.5</v>
      </c>
      <c r="K408" s="180">
        <v>56</v>
      </c>
      <c r="L408" s="181">
        <v>50</v>
      </c>
      <c r="M408" s="182">
        <v>47.5</v>
      </c>
      <c r="N408" s="180">
        <v>56</v>
      </c>
      <c r="O408" s="181">
        <v>50</v>
      </c>
      <c r="P408" s="182">
        <v>47.5</v>
      </c>
      <c r="Q408" s="180">
        <v>56</v>
      </c>
      <c r="R408" s="181">
        <v>50</v>
      </c>
      <c r="S408" s="182">
        <v>47.5</v>
      </c>
      <c r="T408" s="180">
        <v>56</v>
      </c>
      <c r="U408" s="181">
        <v>50</v>
      </c>
      <c r="V408" s="182">
        <v>47.5</v>
      </c>
      <c r="W408" s="180">
        <v>56</v>
      </c>
      <c r="X408" s="181">
        <v>50</v>
      </c>
      <c r="Y408" s="182">
        <v>47.5</v>
      </c>
      <c r="Z408" s="180">
        <v>56</v>
      </c>
      <c r="AA408" s="181">
        <v>50</v>
      </c>
      <c r="AB408" s="182">
        <v>47.5</v>
      </c>
      <c r="AC408" s="180">
        <v>56</v>
      </c>
      <c r="AD408" s="181">
        <v>50</v>
      </c>
      <c r="AE408" s="182">
        <v>47.5</v>
      </c>
      <c r="AF408" s="180">
        <v>56</v>
      </c>
      <c r="AG408" s="181">
        <v>50</v>
      </c>
      <c r="AH408" s="182">
        <v>47.5</v>
      </c>
      <c r="AI408" s="168" t="s">
        <v>218</v>
      </c>
      <c r="AJ408" s="169" t="s">
        <v>2555</v>
      </c>
      <c r="AK408" s="170" t="s">
        <v>2556</v>
      </c>
      <c r="AL408" s="169" t="s">
        <v>14</v>
      </c>
      <c r="AM408" s="183">
        <v>1220</v>
      </c>
    </row>
    <row r="409" spans="1:39" s="2" customFormat="1">
      <c r="A409" s="179" t="s">
        <v>423</v>
      </c>
      <c r="B409" s="238" t="s">
        <v>163</v>
      </c>
      <c r="C409" s="164" t="s">
        <v>1581</v>
      </c>
      <c r="D409" s="236" t="s">
        <v>4894</v>
      </c>
      <c r="E409" s="180">
        <v>240</v>
      </c>
      <c r="F409" s="181">
        <v>50</v>
      </c>
      <c r="G409" s="182">
        <v>50</v>
      </c>
      <c r="H409" s="180">
        <v>240</v>
      </c>
      <c r="I409" s="181">
        <v>50</v>
      </c>
      <c r="J409" s="182">
        <v>50</v>
      </c>
      <c r="K409" s="180">
        <v>240</v>
      </c>
      <c r="L409" s="181">
        <v>50</v>
      </c>
      <c r="M409" s="182">
        <v>50</v>
      </c>
      <c r="N409" s="180">
        <v>240</v>
      </c>
      <c r="O409" s="181">
        <v>50</v>
      </c>
      <c r="P409" s="182">
        <v>50</v>
      </c>
      <c r="Q409" s="180">
        <v>240</v>
      </c>
      <c r="R409" s="181">
        <v>50</v>
      </c>
      <c r="S409" s="182">
        <v>50</v>
      </c>
      <c r="T409" s="180">
        <v>240</v>
      </c>
      <c r="U409" s="181">
        <v>50</v>
      </c>
      <c r="V409" s="182">
        <v>50</v>
      </c>
      <c r="W409" s="180">
        <v>240</v>
      </c>
      <c r="X409" s="181">
        <v>50</v>
      </c>
      <c r="Y409" s="182">
        <v>50</v>
      </c>
      <c r="Z409" s="180">
        <v>240</v>
      </c>
      <c r="AA409" s="181">
        <v>50</v>
      </c>
      <c r="AB409" s="182">
        <v>50</v>
      </c>
      <c r="AC409" s="180">
        <v>240</v>
      </c>
      <c r="AD409" s="181">
        <v>50</v>
      </c>
      <c r="AE409" s="182">
        <v>50</v>
      </c>
      <c r="AF409" s="180">
        <v>240</v>
      </c>
      <c r="AG409" s="181">
        <v>50</v>
      </c>
      <c r="AH409" s="182">
        <v>50</v>
      </c>
      <c r="AI409" s="168" t="s">
        <v>1582</v>
      </c>
      <c r="AJ409" s="169" t="s">
        <v>2466</v>
      </c>
      <c r="AK409" s="170" t="s">
        <v>2467</v>
      </c>
      <c r="AL409" s="169" t="s">
        <v>20</v>
      </c>
      <c r="AM409" s="183">
        <v>1864</v>
      </c>
    </row>
    <row r="410" spans="1:39" s="2" customFormat="1" ht="20.6">
      <c r="A410" s="179" t="s">
        <v>7</v>
      </c>
      <c r="B410" s="238" t="s">
        <v>163</v>
      </c>
      <c r="C410" s="164" t="s">
        <v>930</v>
      </c>
      <c r="D410" s="236" t="s">
        <v>932</v>
      </c>
      <c r="E410" s="180">
        <v>16.367999999999999</v>
      </c>
      <c r="F410" s="181">
        <v>16.367999999999999</v>
      </c>
      <c r="G410" s="182">
        <v>16.367999999999999</v>
      </c>
      <c r="H410" s="180">
        <v>16.367999999999999</v>
      </c>
      <c r="I410" s="181">
        <v>16.367999999999999</v>
      </c>
      <c r="J410" s="182">
        <v>16.367999999999999</v>
      </c>
      <c r="K410" s="180">
        <v>16.367999999999999</v>
      </c>
      <c r="L410" s="181">
        <v>16.367999999999999</v>
      </c>
      <c r="M410" s="182">
        <v>16.367999999999999</v>
      </c>
      <c r="N410" s="180">
        <v>16.367999999999999</v>
      </c>
      <c r="O410" s="181">
        <v>16.367999999999999</v>
      </c>
      <c r="P410" s="182">
        <v>16.367999999999999</v>
      </c>
      <c r="Q410" s="180">
        <v>16.367999999999999</v>
      </c>
      <c r="R410" s="181">
        <v>16.367999999999999</v>
      </c>
      <c r="S410" s="182">
        <v>16.367999999999999</v>
      </c>
      <c r="T410" s="180">
        <v>16.367999999999999</v>
      </c>
      <c r="U410" s="181">
        <v>16.367999999999999</v>
      </c>
      <c r="V410" s="182">
        <v>16.367999999999999</v>
      </c>
      <c r="W410" s="180">
        <v>16.367999999999999</v>
      </c>
      <c r="X410" s="181">
        <v>16.367999999999999</v>
      </c>
      <c r="Y410" s="182">
        <v>16.367999999999999</v>
      </c>
      <c r="Z410" s="180">
        <v>16.367999999999999</v>
      </c>
      <c r="AA410" s="181">
        <v>16.367999999999999</v>
      </c>
      <c r="AB410" s="182">
        <v>16.367999999999999</v>
      </c>
      <c r="AC410" s="180">
        <v>16.367999999999999</v>
      </c>
      <c r="AD410" s="181">
        <v>16.367999999999999</v>
      </c>
      <c r="AE410" s="182">
        <v>16.367999999999999</v>
      </c>
      <c r="AF410" s="180">
        <v>16.367999999999999</v>
      </c>
      <c r="AG410" s="181">
        <v>16.367999999999999</v>
      </c>
      <c r="AH410" s="182">
        <v>16.367999999999999</v>
      </c>
      <c r="AI410" s="168" t="s">
        <v>931</v>
      </c>
      <c r="AJ410" s="169" t="s">
        <v>2491</v>
      </c>
      <c r="AK410" s="170" t="s">
        <v>2477</v>
      </c>
      <c r="AL410" s="169" t="s">
        <v>2479</v>
      </c>
      <c r="AM410" s="183">
        <v>1514</v>
      </c>
    </row>
    <row r="411" spans="1:39" s="2" customFormat="1" ht="20.6">
      <c r="A411" s="179" t="s">
        <v>7</v>
      </c>
      <c r="B411" s="238" t="s">
        <v>163</v>
      </c>
      <c r="C411" s="164" t="s">
        <v>930</v>
      </c>
      <c r="D411" s="236" t="s">
        <v>932</v>
      </c>
      <c r="E411" s="180">
        <v>30.007999999999999</v>
      </c>
      <c r="F411" s="181">
        <v>30.007999999999999</v>
      </c>
      <c r="G411" s="182">
        <v>30.007999999999999</v>
      </c>
      <c r="H411" s="180">
        <v>30.007999999999999</v>
      </c>
      <c r="I411" s="181">
        <v>30.007999999999999</v>
      </c>
      <c r="J411" s="182">
        <v>30.007999999999999</v>
      </c>
      <c r="K411" s="180">
        <v>30.007999999999999</v>
      </c>
      <c r="L411" s="181">
        <v>30.007999999999999</v>
      </c>
      <c r="M411" s="182">
        <v>30.007999999999999</v>
      </c>
      <c r="N411" s="180">
        <v>30.007999999999999</v>
      </c>
      <c r="O411" s="181">
        <v>30.007999999999999</v>
      </c>
      <c r="P411" s="182">
        <v>30.007999999999999</v>
      </c>
      <c r="Q411" s="180">
        <v>30.007999999999999</v>
      </c>
      <c r="R411" s="181">
        <v>30.007999999999999</v>
      </c>
      <c r="S411" s="182">
        <v>30.007999999999999</v>
      </c>
      <c r="T411" s="180">
        <v>30.007999999999999</v>
      </c>
      <c r="U411" s="181">
        <v>30.007999999999999</v>
      </c>
      <c r="V411" s="182">
        <v>30.007999999999999</v>
      </c>
      <c r="W411" s="180">
        <v>30.007999999999999</v>
      </c>
      <c r="X411" s="181">
        <v>30.007999999999999</v>
      </c>
      <c r="Y411" s="182">
        <v>30.007999999999999</v>
      </c>
      <c r="Z411" s="180">
        <v>30.007999999999999</v>
      </c>
      <c r="AA411" s="181">
        <v>30.007999999999999</v>
      </c>
      <c r="AB411" s="182">
        <v>30.007999999999999</v>
      </c>
      <c r="AC411" s="180">
        <v>30.007999999999999</v>
      </c>
      <c r="AD411" s="181">
        <v>30.007999999999999</v>
      </c>
      <c r="AE411" s="182">
        <v>30.007999999999999</v>
      </c>
      <c r="AF411" s="180">
        <v>30.007999999999999</v>
      </c>
      <c r="AG411" s="181">
        <v>30.007999999999999</v>
      </c>
      <c r="AH411" s="182">
        <v>30.007999999999999</v>
      </c>
      <c r="AI411" s="168" t="s">
        <v>931</v>
      </c>
      <c r="AJ411" s="169" t="s">
        <v>2491</v>
      </c>
      <c r="AK411" s="170" t="s">
        <v>2477</v>
      </c>
      <c r="AL411" s="169" t="s">
        <v>2479</v>
      </c>
      <c r="AM411" s="183">
        <v>1514</v>
      </c>
    </row>
    <row r="412" spans="1:39" s="2" customFormat="1" ht="20.6">
      <c r="A412" s="179" t="s">
        <v>7</v>
      </c>
      <c r="B412" s="238" t="s">
        <v>163</v>
      </c>
      <c r="C412" s="164" t="s">
        <v>297</v>
      </c>
      <c r="D412" s="236" t="s">
        <v>299</v>
      </c>
      <c r="E412" s="180">
        <v>149.76</v>
      </c>
      <c r="F412" s="181">
        <v>149.76</v>
      </c>
      <c r="G412" s="182">
        <v>149.76</v>
      </c>
      <c r="H412" s="180">
        <v>149.76</v>
      </c>
      <c r="I412" s="181">
        <v>149.76</v>
      </c>
      <c r="J412" s="182">
        <v>149.76</v>
      </c>
      <c r="K412" s="180">
        <v>149.76</v>
      </c>
      <c r="L412" s="181">
        <v>149.76</v>
      </c>
      <c r="M412" s="182">
        <v>149.76</v>
      </c>
      <c r="N412" s="180">
        <v>149.76</v>
      </c>
      <c r="O412" s="181">
        <v>149.76</v>
      </c>
      <c r="P412" s="182">
        <v>149.76</v>
      </c>
      <c r="Q412" s="180">
        <v>149.76</v>
      </c>
      <c r="R412" s="181">
        <v>149.76</v>
      </c>
      <c r="S412" s="182">
        <v>149.76</v>
      </c>
      <c r="T412" s="180">
        <v>149.76</v>
      </c>
      <c r="U412" s="181">
        <v>149.76</v>
      </c>
      <c r="V412" s="182">
        <v>149.76</v>
      </c>
      <c r="W412" s="180">
        <v>149.76</v>
      </c>
      <c r="X412" s="181">
        <v>149.76</v>
      </c>
      <c r="Y412" s="182">
        <v>149.76</v>
      </c>
      <c r="Z412" s="180">
        <v>149.76</v>
      </c>
      <c r="AA412" s="181">
        <v>149.76</v>
      </c>
      <c r="AB412" s="182">
        <v>149.76</v>
      </c>
      <c r="AC412" s="180">
        <v>149.76</v>
      </c>
      <c r="AD412" s="181">
        <v>149.76</v>
      </c>
      <c r="AE412" s="182">
        <v>149.76</v>
      </c>
      <c r="AF412" s="180">
        <v>149.76</v>
      </c>
      <c r="AG412" s="181">
        <v>149.76</v>
      </c>
      <c r="AH412" s="182">
        <v>149.76</v>
      </c>
      <c r="AI412" s="168" t="s">
        <v>298</v>
      </c>
      <c r="AJ412" s="169" t="s">
        <v>2491</v>
      </c>
      <c r="AK412" s="170" t="s">
        <v>2477</v>
      </c>
      <c r="AL412" s="169" t="s">
        <v>2479</v>
      </c>
      <c r="AM412" s="183">
        <v>1712</v>
      </c>
    </row>
    <row r="413" spans="1:39" s="2" customFormat="1" ht="20.6">
      <c r="A413" s="179" t="s">
        <v>7</v>
      </c>
      <c r="B413" s="238" t="s">
        <v>163</v>
      </c>
      <c r="C413" s="164" t="s">
        <v>297</v>
      </c>
      <c r="D413" s="236" t="s">
        <v>300</v>
      </c>
      <c r="E413" s="180">
        <v>149.76</v>
      </c>
      <c r="F413" s="181">
        <v>149.76</v>
      </c>
      <c r="G413" s="182">
        <v>149.76</v>
      </c>
      <c r="H413" s="180">
        <v>149.76</v>
      </c>
      <c r="I413" s="181">
        <v>149.76</v>
      </c>
      <c r="J413" s="182">
        <v>149.76</v>
      </c>
      <c r="K413" s="180">
        <v>149.76</v>
      </c>
      <c r="L413" s="181">
        <v>149.76</v>
      </c>
      <c r="M413" s="182">
        <v>149.76</v>
      </c>
      <c r="N413" s="180">
        <v>149.76</v>
      </c>
      <c r="O413" s="181">
        <v>149.76</v>
      </c>
      <c r="P413" s="182">
        <v>149.76</v>
      </c>
      <c r="Q413" s="180">
        <v>149.76</v>
      </c>
      <c r="R413" s="181">
        <v>149.76</v>
      </c>
      <c r="S413" s="182">
        <v>149.76</v>
      </c>
      <c r="T413" s="180">
        <v>149.76</v>
      </c>
      <c r="U413" s="181">
        <v>149.76</v>
      </c>
      <c r="V413" s="182">
        <v>149.76</v>
      </c>
      <c r="W413" s="180">
        <v>149.76</v>
      </c>
      <c r="X413" s="181">
        <v>149.76</v>
      </c>
      <c r="Y413" s="182">
        <v>149.76</v>
      </c>
      <c r="Z413" s="180">
        <v>149.76</v>
      </c>
      <c r="AA413" s="181">
        <v>149.76</v>
      </c>
      <c r="AB413" s="182">
        <v>149.76</v>
      </c>
      <c r="AC413" s="180">
        <v>149.76</v>
      </c>
      <c r="AD413" s="181">
        <v>149.76</v>
      </c>
      <c r="AE413" s="182">
        <v>149.76</v>
      </c>
      <c r="AF413" s="180">
        <v>149.76</v>
      </c>
      <c r="AG413" s="181">
        <v>149.76</v>
      </c>
      <c r="AH413" s="182">
        <v>149.76</v>
      </c>
      <c r="AI413" s="168" t="s">
        <v>298</v>
      </c>
      <c r="AJ413" s="169" t="s">
        <v>2491</v>
      </c>
      <c r="AK413" s="170" t="s">
        <v>2477</v>
      </c>
      <c r="AL413" s="169" t="s">
        <v>2479</v>
      </c>
      <c r="AM413" s="183">
        <v>1712</v>
      </c>
    </row>
    <row r="414" spans="1:39" s="2" customFormat="1">
      <c r="A414" s="179" t="s">
        <v>7</v>
      </c>
      <c r="B414" s="238" t="s">
        <v>163</v>
      </c>
      <c r="C414" s="164" t="s">
        <v>1423</v>
      </c>
      <c r="D414" s="236" t="s">
        <v>4915</v>
      </c>
      <c r="E414" s="180">
        <v>50</v>
      </c>
      <c r="F414" s="181">
        <v>50</v>
      </c>
      <c r="G414" s="182">
        <v>50</v>
      </c>
      <c r="H414" s="180">
        <v>50</v>
      </c>
      <c r="I414" s="181">
        <v>50</v>
      </c>
      <c r="J414" s="182">
        <v>50</v>
      </c>
      <c r="K414" s="180">
        <v>50</v>
      </c>
      <c r="L414" s="181">
        <v>50</v>
      </c>
      <c r="M414" s="182">
        <v>50</v>
      </c>
      <c r="N414" s="180">
        <v>50</v>
      </c>
      <c r="O414" s="181">
        <v>50</v>
      </c>
      <c r="P414" s="182">
        <v>50</v>
      </c>
      <c r="Q414" s="180">
        <v>50</v>
      </c>
      <c r="R414" s="181">
        <v>50</v>
      </c>
      <c r="S414" s="182">
        <v>50</v>
      </c>
      <c r="T414" s="180">
        <v>50</v>
      </c>
      <c r="U414" s="181">
        <v>50</v>
      </c>
      <c r="V414" s="182">
        <v>50</v>
      </c>
      <c r="W414" s="180">
        <v>50</v>
      </c>
      <c r="X414" s="181">
        <v>50</v>
      </c>
      <c r="Y414" s="182">
        <v>50</v>
      </c>
      <c r="Z414" s="180">
        <v>50</v>
      </c>
      <c r="AA414" s="181">
        <v>50</v>
      </c>
      <c r="AB414" s="182">
        <v>50</v>
      </c>
      <c r="AC414" s="180">
        <v>50</v>
      </c>
      <c r="AD414" s="181">
        <v>50</v>
      </c>
      <c r="AE414" s="182">
        <v>50</v>
      </c>
      <c r="AF414" s="180">
        <v>50</v>
      </c>
      <c r="AG414" s="181">
        <v>50</v>
      </c>
      <c r="AH414" s="182">
        <v>50</v>
      </c>
      <c r="AI414" s="168" t="s">
        <v>1424</v>
      </c>
      <c r="AJ414" s="169" t="s">
        <v>2466</v>
      </c>
      <c r="AK414" s="170" t="s">
        <v>2467</v>
      </c>
      <c r="AL414" s="169" t="s">
        <v>20</v>
      </c>
      <c r="AM414" s="183">
        <v>1874</v>
      </c>
    </row>
    <row r="415" spans="1:39" s="2" customFormat="1">
      <c r="A415" s="179" t="s">
        <v>309</v>
      </c>
      <c r="B415" s="238" t="s">
        <v>2463</v>
      </c>
      <c r="C415" s="164" t="s">
        <v>1319</v>
      </c>
      <c r="D415" s="236" t="s">
        <v>4917</v>
      </c>
      <c r="E415" s="180">
        <v>252</v>
      </c>
      <c r="F415" s="181">
        <v>252</v>
      </c>
      <c r="G415" s="182">
        <v>252</v>
      </c>
      <c r="H415" s="180">
        <v>252</v>
      </c>
      <c r="I415" s="181">
        <v>252</v>
      </c>
      <c r="J415" s="182">
        <v>252</v>
      </c>
      <c r="K415" s="180">
        <v>252</v>
      </c>
      <c r="L415" s="181">
        <v>252</v>
      </c>
      <c r="M415" s="182">
        <v>252</v>
      </c>
      <c r="N415" s="180">
        <v>252</v>
      </c>
      <c r="O415" s="181">
        <v>252</v>
      </c>
      <c r="P415" s="182">
        <v>252</v>
      </c>
      <c r="Q415" s="180">
        <v>252</v>
      </c>
      <c r="R415" s="181">
        <v>252</v>
      </c>
      <c r="S415" s="182">
        <v>252</v>
      </c>
      <c r="T415" s="180">
        <v>252</v>
      </c>
      <c r="U415" s="181">
        <v>252</v>
      </c>
      <c r="V415" s="182">
        <v>252</v>
      </c>
      <c r="W415" s="180">
        <v>252</v>
      </c>
      <c r="X415" s="181">
        <v>252</v>
      </c>
      <c r="Y415" s="182">
        <v>252</v>
      </c>
      <c r="Z415" s="180">
        <v>252</v>
      </c>
      <c r="AA415" s="181">
        <v>252</v>
      </c>
      <c r="AB415" s="182">
        <v>252</v>
      </c>
      <c r="AC415" s="180"/>
      <c r="AD415" s="181"/>
      <c r="AE415" s="182"/>
      <c r="AF415" s="180"/>
      <c r="AG415" s="181"/>
      <c r="AH415" s="182"/>
      <c r="AI415" s="168" t="s">
        <v>1320</v>
      </c>
      <c r="AJ415" s="169" t="s">
        <v>2485</v>
      </c>
      <c r="AK415" s="170" t="s">
        <v>2486</v>
      </c>
      <c r="AL415" s="169" t="s">
        <v>17</v>
      </c>
      <c r="AM415" s="183">
        <v>2287</v>
      </c>
    </row>
    <row r="416" spans="1:39" s="2" customFormat="1">
      <c r="A416" s="179" t="s">
        <v>309</v>
      </c>
      <c r="B416" s="238" t="s">
        <v>163</v>
      </c>
      <c r="C416" s="164" t="s">
        <v>1440</v>
      </c>
      <c r="D416" s="236" t="s">
        <v>4921</v>
      </c>
      <c r="E416" s="180">
        <v>100</v>
      </c>
      <c r="F416" s="181">
        <v>100</v>
      </c>
      <c r="G416" s="182">
        <v>100</v>
      </c>
      <c r="H416" s="180">
        <v>100</v>
      </c>
      <c r="I416" s="181">
        <v>100</v>
      </c>
      <c r="J416" s="182">
        <v>100</v>
      </c>
      <c r="K416" s="180">
        <v>100</v>
      </c>
      <c r="L416" s="181">
        <v>100</v>
      </c>
      <c r="M416" s="182">
        <v>100</v>
      </c>
      <c r="N416" s="180">
        <v>100</v>
      </c>
      <c r="O416" s="181">
        <v>100</v>
      </c>
      <c r="P416" s="182">
        <v>100</v>
      </c>
      <c r="Q416" s="180">
        <v>100</v>
      </c>
      <c r="R416" s="181">
        <v>100</v>
      </c>
      <c r="S416" s="182">
        <v>100</v>
      </c>
      <c r="T416" s="180">
        <v>100</v>
      </c>
      <c r="U416" s="181">
        <v>100</v>
      </c>
      <c r="V416" s="182">
        <v>100</v>
      </c>
      <c r="W416" s="180">
        <v>100</v>
      </c>
      <c r="X416" s="181">
        <v>100</v>
      </c>
      <c r="Y416" s="182">
        <v>100</v>
      </c>
      <c r="Z416" s="180">
        <v>100</v>
      </c>
      <c r="AA416" s="181">
        <v>100</v>
      </c>
      <c r="AB416" s="182">
        <v>100</v>
      </c>
      <c r="AC416" s="180">
        <v>100</v>
      </c>
      <c r="AD416" s="181">
        <v>100</v>
      </c>
      <c r="AE416" s="182">
        <v>100</v>
      </c>
      <c r="AF416" s="180">
        <v>100</v>
      </c>
      <c r="AG416" s="181">
        <v>100</v>
      </c>
      <c r="AH416" s="182">
        <v>100</v>
      </c>
      <c r="AI416" s="168" t="s">
        <v>979</v>
      </c>
      <c r="AJ416" s="169" t="s">
        <v>2466</v>
      </c>
      <c r="AK416" s="170" t="s">
        <v>2467</v>
      </c>
      <c r="AL416" s="169" t="s">
        <v>20</v>
      </c>
      <c r="AM416" s="183">
        <v>1762</v>
      </c>
    </row>
    <row r="417" spans="1:39" s="2" customFormat="1">
      <c r="A417" s="179" t="s">
        <v>309</v>
      </c>
      <c r="B417" s="238" t="s">
        <v>163</v>
      </c>
      <c r="C417" s="164" t="s">
        <v>978</v>
      </c>
      <c r="D417" s="236" t="s">
        <v>980</v>
      </c>
      <c r="E417" s="180">
        <v>125</v>
      </c>
      <c r="F417" s="181">
        <v>125</v>
      </c>
      <c r="G417" s="182">
        <v>125</v>
      </c>
      <c r="H417" s="180">
        <v>125</v>
      </c>
      <c r="I417" s="181">
        <v>125</v>
      </c>
      <c r="J417" s="182">
        <v>125</v>
      </c>
      <c r="K417" s="180">
        <v>125</v>
      </c>
      <c r="L417" s="181">
        <v>125</v>
      </c>
      <c r="M417" s="182">
        <v>125</v>
      </c>
      <c r="N417" s="180">
        <v>125</v>
      </c>
      <c r="O417" s="181">
        <v>125</v>
      </c>
      <c r="P417" s="182">
        <v>125</v>
      </c>
      <c r="Q417" s="180">
        <v>125</v>
      </c>
      <c r="R417" s="181">
        <v>125</v>
      </c>
      <c r="S417" s="182">
        <v>125</v>
      </c>
      <c r="T417" s="180">
        <v>125</v>
      </c>
      <c r="U417" s="181">
        <v>125</v>
      </c>
      <c r="V417" s="182">
        <v>125</v>
      </c>
      <c r="W417" s="180">
        <v>125</v>
      </c>
      <c r="X417" s="181">
        <v>125</v>
      </c>
      <c r="Y417" s="182">
        <v>125</v>
      </c>
      <c r="Z417" s="180">
        <v>125</v>
      </c>
      <c r="AA417" s="181">
        <v>125</v>
      </c>
      <c r="AB417" s="182">
        <v>125</v>
      </c>
      <c r="AC417" s="180">
        <v>125</v>
      </c>
      <c r="AD417" s="181">
        <v>125</v>
      </c>
      <c r="AE417" s="182">
        <v>125</v>
      </c>
      <c r="AF417" s="180">
        <v>125</v>
      </c>
      <c r="AG417" s="181">
        <v>125</v>
      </c>
      <c r="AH417" s="182">
        <v>125</v>
      </c>
      <c r="AI417" s="168" t="s">
        <v>979</v>
      </c>
      <c r="AJ417" s="169" t="s">
        <v>2491</v>
      </c>
      <c r="AK417" s="170" t="s">
        <v>2477</v>
      </c>
      <c r="AL417" s="169" t="s">
        <v>2479</v>
      </c>
      <c r="AM417" s="183">
        <v>1455</v>
      </c>
    </row>
    <row r="418" spans="1:39" s="2" customFormat="1">
      <c r="A418" s="179" t="s">
        <v>7</v>
      </c>
      <c r="B418" s="238" t="s">
        <v>2463</v>
      </c>
      <c r="C418" s="164" t="s">
        <v>260</v>
      </c>
      <c r="D418" s="236" t="s">
        <v>262</v>
      </c>
      <c r="E418" s="180">
        <v>0</v>
      </c>
      <c r="F418" s="181">
        <v>150.048</v>
      </c>
      <c r="G418" s="182">
        <v>150.048</v>
      </c>
      <c r="H418" s="180">
        <v>150.048</v>
      </c>
      <c r="I418" s="181">
        <v>150.048</v>
      </c>
      <c r="J418" s="182">
        <v>150.048</v>
      </c>
      <c r="K418" s="180">
        <v>150.048</v>
      </c>
      <c r="L418" s="181">
        <v>150.048</v>
      </c>
      <c r="M418" s="182">
        <v>150.048</v>
      </c>
      <c r="N418" s="180">
        <v>150.048</v>
      </c>
      <c r="O418" s="181">
        <v>150.048</v>
      </c>
      <c r="P418" s="182">
        <v>150.048</v>
      </c>
      <c r="Q418" s="180">
        <v>150.048</v>
      </c>
      <c r="R418" s="181">
        <v>150.048</v>
      </c>
      <c r="S418" s="182">
        <v>150.048</v>
      </c>
      <c r="T418" s="180">
        <v>850.17600000000004</v>
      </c>
      <c r="U418" s="181">
        <v>850.17600000000004</v>
      </c>
      <c r="V418" s="182">
        <v>850.17600000000004</v>
      </c>
      <c r="W418" s="180">
        <v>850.17600000000004</v>
      </c>
      <c r="X418" s="181">
        <v>850.17600000000004</v>
      </c>
      <c r="Y418" s="182">
        <v>850.17600000000004</v>
      </c>
      <c r="Z418" s="180">
        <v>850.17600000000004</v>
      </c>
      <c r="AA418" s="181">
        <v>850.17600000000004</v>
      </c>
      <c r="AB418" s="182">
        <v>850.17600000000004</v>
      </c>
      <c r="AC418" s="180">
        <v>850.17600000000004</v>
      </c>
      <c r="AD418" s="181">
        <v>850.17600000000004</v>
      </c>
      <c r="AE418" s="182">
        <v>850.17600000000004</v>
      </c>
      <c r="AF418" s="180">
        <v>850.17600000000004</v>
      </c>
      <c r="AG418" s="181">
        <v>850.17600000000004</v>
      </c>
      <c r="AH418" s="182">
        <v>850.17600000000004</v>
      </c>
      <c r="AI418" s="168" t="s">
        <v>261</v>
      </c>
      <c r="AJ418" s="169" t="s">
        <v>2466</v>
      </c>
      <c r="AK418" s="170" t="s">
        <v>2467</v>
      </c>
      <c r="AL418" s="169" t="s">
        <v>20</v>
      </c>
      <c r="AM418" s="183">
        <v>2220</v>
      </c>
    </row>
    <row r="419" spans="1:39" s="2" customFormat="1">
      <c r="A419" s="179" t="s">
        <v>309</v>
      </c>
      <c r="B419" s="238" t="s">
        <v>163</v>
      </c>
      <c r="C419" s="164" t="s">
        <v>1322</v>
      </c>
      <c r="D419" s="236" t="s">
        <v>1376</v>
      </c>
      <c r="E419" s="180">
        <v>32.103999999999999</v>
      </c>
      <c r="F419" s="181">
        <v>32.103999999999999</v>
      </c>
      <c r="G419" s="182">
        <v>32.103999999999999</v>
      </c>
      <c r="H419" s="180">
        <v>32.103999999999999</v>
      </c>
      <c r="I419" s="181">
        <v>32.103999999999999</v>
      </c>
      <c r="J419" s="182">
        <v>32.103999999999999</v>
      </c>
      <c r="K419" s="180">
        <v>32.103999999999999</v>
      </c>
      <c r="L419" s="181">
        <v>32.103999999999999</v>
      </c>
      <c r="M419" s="182">
        <v>32.103999999999999</v>
      </c>
      <c r="N419" s="180">
        <v>32.103999999999999</v>
      </c>
      <c r="O419" s="181">
        <v>32.103999999999999</v>
      </c>
      <c r="P419" s="182">
        <v>32.103999999999999</v>
      </c>
      <c r="Q419" s="180">
        <v>32.103999999999999</v>
      </c>
      <c r="R419" s="181">
        <v>32.103999999999999</v>
      </c>
      <c r="S419" s="182">
        <v>32.103999999999999</v>
      </c>
      <c r="T419" s="180">
        <v>32.103999999999999</v>
      </c>
      <c r="U419" s="181">
        <v>32.103999999999999</v>
      </c>
      <c r="V419" s="182">
        <v>32.103999999999999</v>
      </c>
      <c r="W419" s="180">
        <v>32.103999999999999</v>
      </c>
      <c r="X419" s="181">
        <v>32.103999999999999</v>
      </c>
      <c r="Y419" s="182">
        <v>32.103999999999999</v>
      </c>
      <c r="Z419" s="180">
        <v>32.103999999999999</v>
      </c>
      <c r="AA419" s="181">
        <v>32.103999999999999</v>
      </c>
      <c r="AB419" s="182">
        <v>32.103999999999999</v>
      </c>
      <c r="AC419" s="180">
        <v>32.103999999999999</v>
      </c>
      <c r="AD419" s="181">
        <v>32.103999999999999</v>
      </c>
      <c r="AE419" s="182">
        <v>32.103999999999999</v>
      </c>
      <c r="AF419" s="180">
        <v>32.103999999999999</v>
      </c>
      <c r="AG419" s="181">
        <v>32.103999999999999</v>
      </c>
      <c r="AH419" s="182">
        <v>32.103999999999999</v>
      </c>
      <c r="AI419" s="168" t="s">
        <v>1323</v>
      </c>
      <c r="AJ419" s="169" t="s">
        <v>2491</v>
      </c>
      <c r="AK419" s="170" t="s">
        <v>2477</v>
      </c>
      <c r="AL419" s="169" t="s">
        <v>2479</v>
      </c>
      <c r="AM419" s="183">
        <v>1530</v>
      </c>
    </row>
    <row r="420" spans="1:39" s="2" customFormat="1">
      <c r="A420" s="179" t="s">
        <v>309</v>
      </c>
      <c r="B420" s="238" t="s">
        <v>163</v>
      </c>
      <c r="C420" s="164" t="s">
        <v>1322</v>
      </c>
      <c r="D420" s="236" t="s">
        <v>1377</v>
      </c>
      <c r="E420" s="180">
        <v>32.103999999999999</v>
      </c>
      <c r="F420" s="181">
        <v>32.103999999999999</v>
      </c>
      <c r="G420" s="182">
        <v>32.103999999999999</v>
      </c>
      <c r="H420" s="180">
        <v>32.103999999999999</v>
      </c>
      <c r="I420" s="181">
        <v>32.103999999999999</v>
      </c>
      <c r="J420" s="182">
        <v>32.103999999999999</v>
      </c>
      <c r="K420" s="180">
        <v>32.103999999999999</v>
      </c>
      <c r="L420" s="181">
        <v>32.103999999999999</v>
      </c>
      <c r="M420" s="182">
        <v>32.103999999999999</v>
      </c>
      <c r="N420" s="180">
        <v>32.103999999999999</v>
      </c>
      <c r="O420" s="181">
        <v>32.103999999999999</v>
      </c>
      <c r="P420" s="182">
        <v>32.103999999999999</v>
      </c>
      <c r="Q420" s="180">
        <v>32.103999999999999</v>
      </c>
      <c r="R420" s="181">
        <v>32.103999999999999</v>
      </c>
      <c r="S420" s="182">
        <v>32.103999999999999</v>
      </c>
      <c r="T420" s="180">
        <v>32.103999999999999</v>
      </c>
      <c r="U420" s="181">
        <v>32.103999999999999</v>
      </c>
      <c r="V420" s="182">
        <v>32.103999999999999</v>
      </c>
      <c r="W420" s="180">
        <v>32.103999999999999</v>
      </c>
      <c r="X420" s="181">
        <v>32.103999999999999</v>
      </c>
      <c r="Y420" s="182">
        <v>32.103999999999999</v>
      </c>
      <c r="Z420" s="180">
        <v>32.103999999999999</v>
      </c>
      <c r="AA420" s="181">
        <v>32.103999999999999</v>
      </c>
      <c r="AB420" s="182">
        <v>32.103999999999999</v>
      </c>
      <c r="AC420" s="180">
        <v>32.103999999999999</v>
      </c>
      <c r="AD420" s="181">
        <v>32.103999999999999</v>
      </c>
      <c r="AE420" s="182">
        <v>32.103999999999999</v>
      </c>
      <c r="AF420" s="180">
        <v>32.103999999999999</v>
      </c>
      <c r="AG420" s="181">
        <v>32.103999999999999</v>
      </c>
      <c r="AH420" s="182">
        <v>32.103999999999999</v>
      </c>
      <c r="AI420" s="168" t="s">
        <v>1323</v>
      </c>
      <c r="AJ420" s="169" t="s">
        <v>2491</v>
      </c>
      <c r="AK420" s="170" t="s">
        <v>2477</v>
      </c>
      <c r="AL420" s="169" t="s">
        <v>2479</v>
      </c>
      <c r="AM420" s="183">
        <v>1530</v>
      </c>
    </row>
    <row r="421" spans="1:39" s="2" customFormat="1">
      <c r="A421" s="179" t="s">
        <v>380</v>
      </c>
      <c r="B421" s="238" t="s">
        <v>163</v>
      </c>
      <c r="C421" s="164" t="s">
        <v>4932</v>
      </c>
      <c r="D421" s="236" t="s">
        <v>4934</v>
      </c>
      <c r="E421" s="180">
        <v>111</v>
      </c>
      <c r="F421" s="181">
        <v>111</v>
      </c>
      <c r="G421" s="182">
        <v>0</v>
      </c>
      <c r="H421" s="180">
        <v>111</v>
      </c>
      <c r="I421" s="181">
        <v>111</v>
      </c>
      <c r="J421" s="182">
        <v>0</v>
      </c>
      <c r="K421" s="180">
        <v>111</v>
      </c>
      <c r="L421" s="181">
        <v>111</v>
      </c>
      <c r="M421" s="182">
        <v>0</v>
      </c>
      <c r="N421" s="180">
        <v>111</v>
      </c>
      <c r="O421" s="181">
        <v>111</v>
      </c>
      <c r="P421" s="182">
        <v>0</v>
      </c>
      <c r="Q421" s="180">
        <v>111</v>
      </c>
      <c r="R421" s="181">
        <v>111</v>
      </c>
      <c r="S421" s="182">
        <v>0</v>
      </c>
      <c r="T421" s="180">
        <v>111</v>
      </c>
      <c r="U421" s="181">
        <v>111</v>
      </c>
      <c r="V421" s="182">
        <v>0</v>
      </c>
      <c r="W421" s="180">
        <v>111</v>
      </c>
      <c r="X421" s="181">
        <v>111</v>
      </c>
      <c r="Y421" s="182">
        <v>0</v>
      </c>
      <c r="Z421" s="180">
        <v>111</v>
      </c>
      <c r="AA421" s="181">
        <v>111</v>
      </c>
      <c r="AB421" s="182">
        <v>0</v>
      </c>
      <c r="AC421" s="180">
        <v>111</v>
      </c>
      <c r="AD421" s="181">
        <v>111</v>
      </c>
      <c r="AE421" s="182">
        <v>0</v>
      </c>
      <c r="AF421" s="180">
        <v>111</v>
      </c>
      <c r="AG421" s="181">
        <v>111</v>
      </c>
      <c r="AH421" s="182">
        <v>0</v>
      </c>
      <c r="AI421" s="168" t="s">
        <v>4933</v>
      </c>
      <c r="AJ421" s="169" t="s">
        <v>2485</v>
      </c>
      <c r="AK421" s="170" t="s">
        <v>2486</v>
      </c>
      <c r="AL421" s="169" t="s">
        <v>17</v>
      </c>
      <c r="AM421" s="183">
        <v>1223</v>
      </c>
    </row>
    <row r="422" spans="1:39" s="2" customFormat="1">
      <c r="A422" s="179" t="s">
        <v>380</v>
      </c>
      <c r="B422" s="238" t="s">
        <v>163</v>
      </c>
      <c r="C422" s="164" t="s">
        <v>4932</v>
      </c>
      <c r="D422" s="236" t="s">
        <v>4934</v>
      </c>
      <c r="E422" s="180">
        <v>19.8</v>
      </c>
      <c r="F422" s="181">
        <v>18.899999999999999</v>
      </c>
      <c r="G422" s="182">
        <v>9</v>
      </c>
      <c r="H422" s="180">
        <v>19.8</v>
      </c>
      <c r="I422" s="181">
        <v>18.899999999999999</v>
      </c>
      <c r="J422" s="182">
        <v>9</v>
      </c>
      <c r="K422" s="180">
        <v>19.8</v>
      </c>
      <c r="L422" s="181">
        <v>18.899999999999999</v>
      </c>
      <c r="M422" s="182">
        <v>9</v>
      </c>
      <c r="N422" s="180">
        <v>19.8</v>
      </c>
      <c r="O422" s="181">
        <v>18.899999999999999</v>
      </c>
      <c r="P422" s="182">
        <v>9</v>
      </c>
      <c r="Q422" s="180">
        <v>19.8</v>
      </c>
      <c r="R422" s="181">
        <v>18.899999999999999</v>
      </c>
      <c r="S422" s="182">
        <v>9</v>
      </c>
      <c r="T422" s="180">
        <v>19.8</v>
      </c>
      <c r="U422" s="181">
        <v>18.899999999999999</v>
      </c>
      <c r="V422" s="182">
        <v>9</v>
      </c>
      <c r="W422" s="180">
        <v>19.8</v>
      </c>
      <c r="X422" s="181">
        <v>18.899999999999999</v>
      </c>
      <c r="Y422" s="182">
        <v>9</v>
      </c>
      <c r="Z422" s="180">
        <v>19.8</v>
      </c>
      <c r="AA422" s="181">
        <v>18.899999999999999</v>
      </c>
      <c r="AB422" s="182">
        <v>9</v>
      </c>
      <c r="AC422" s="180">
        <v>19.8</v>
      </c>
      <c r="AD422" s="181">
        <v>18.899999999999999</v>
      </c>
      <c r="AE422" s="182">
        <v>9</v>
      </c>
      <c r="AF422" s="180">
        <v>19.8</v>
      </c>
      <c r="AG422" s="181">
        <v>18.899999999999999</v>
      </c>
      <c r="AH422" s="182">
        <v>9</v>
      </c>
      <c r="AI422" s="168" t="s">
        <v>4933</v>
      </c>
      <c r="AJ422" s="169" t="s">
        <v>2485</v>
      </c>
      <c r="AK422" s="170" t="s">
        <v>2486</v>
      </c>
      <c r="AL422" s="169" t="s">
        <v>17</v>
      </c>
      <c r="AM422" s="183">
        <v>1223</v>
      </c>
    </row>
    <row r="423" spans="1:39" s="2" customFormat="1">
      <c r="A423" s="179" t="s">
        <v>7</v>
      </c>
      <c r="B423" s="238" t="s">
        <v>163</v>
      </c>
      <c r="C423" s="164" t="s">
        <v>826</v>
      </c>
      <c r="D423" s="236" t="s">
        <v>828</v>
      </c>
      <c r="E423" s="180">
        <v>329.99200000000002</v>
      </c>
      <c r="F423" s="181">
        <v>329.99200000000002</v>
      </c>
      <c r="G423" s="182">
        <v>328.952</v>
      </c>
      <c r="H423" s="180">
        <v>329.99200000000002</v>
      </c>
      <c r="I423" s="181">
        <v>329.99200000000002</v>
      </c>
      <c r="J423" s="182">
        <v>328.952</v>
      </c>
      <c r="K423" s="180">
        <v>329.99200000000002</v>
      </c>
      <c r="L423" s="181">
        <v>329.99200000000002</v>
      </c>
      <c r="M423" s="182">
        <v>328.952</v>
      </c>
      <c r="N423" s="180">
        <v>329.99200000000002</v>
      </c>
      <c r="O423" s="181">
        <v>329.99200000000002</v>
      </c>
      <c r="P423" s="182">
        <v>328.952</v>
      </c>
      <c r="Q423" s="180">
        <v>329.99200000000002</v>
      </c>
      <c r="R423" s="181">
        <v>329.99200000000002</v>
      </c>
      <c r="S423" s="182">
        <v>328.952</v>
      </c>
      <c r="T423" s="180">
        <v>329.99200000000002</v>
      </c>
      <c r="U423" s="181">
        <v>329.99200000000002</v>
      </c>
      <c r="V423" s="182">
        <v>328.952</v>
      </c>
      <c r="W423" s="180">
        <v>329.99200000000002</v>
      </c>
      <c r="X423" s="181">
        <v>329.99200000000002</v>
      </c>
      <c r="Y423" s="182">
        <v>328.952</v>
      </c>
      <c r="Z423" s="180">
        <v>329.99200000000002</v>
      </c>
      <c r="AA423" s="181">
        <v>329.99200000000002</v>
      </c>
      <c r="AB423" s="182">
        <v>328.952</v>
      </c>
      <c r="AC423" s="180">
        <v>329.99200000000002</v>
      </c>
      <c r="AD423" s="181">
        <v>329.99200000000002</v>
      </c>
      <c r="AE423" s="182">
        <v>328.952</v>
      </c>
      <c r="AF423" s="180">
        <v>329.99200000000002</v>
      </c>
      <c r="AG423" s="181">
        <v>329.99200000000002</v>
      </c>
      <c r="AH423" s="182">
        <v>328.952</v>
      </c>
      <c r="AI423" s="168" t="s">
        <v>827</v>
      </c>
      <c r="AJ423" s="169" t="s">
        <v>2491</v>
      </c>
      <c r="AK423" s="170" t="s">
        <v>2477</v>
      </c>
      <c r="AL423" s="169" t="s">
        <v>2479</v>
      </c>
      <c r="AM423" s="183">
        <v>1960</v>
      </c>
    </row>
    <row r="424" spans="1:39" s="2" customFormat="1">
      <c r="A424" s="179" t="s">
        <v>7</v>
      </c>
      <c r="B424" s="238" t="s">
        <v>163</v>
      </c>
      <c r="C424" s="164" t="s">
        <v>1426</v>
      </c>
      <c r="D424" s="236" t="s">
        <v>1428</v>
      </c>
      <c r="E424" s="180">
        <v>169.88399999999999</v>
      </c>
      <c r="F424" s="181">
        <v>168.3</v>
      </c>
      <c r="G424" s="182">
        <v>160.38</v>
      </c>
      <c r="H424" s="180">
        <v>169.88399999999999</v>
      </c>
      <c r="I424" s="181">
        <v>168.3</v>
      </c>
      <c r="J424" s="182">
        <v>160.38</v>
      </c>
      <c r="K424" s="180">
        <v>169.88399999999999</v>
      </c>
      <c r="L424" s="181">
        <v>168.3</v>
      </c>
      <c r="M424" s="182">
        <v>160.38</v>
      </c>
      <c r="N424" s="180">
        <v>169.88399999999999</v>
      </c>
      <c r="O424" s="181">
        <v>168.3</v>
      </c>
      <c r="P424" s="182">
        <v>160.38</v>
      </c>
      <c r="Q424" s="180">
        <v>169.88399999999999</v>
      </c>
      <c r="R424" s="181">
        <v>168.3</v>
      </c>
      <c r="S424" s="182">
        <v>160.38</v>
      </c>
      <c r="T424" s="180">
        <v>169.88399999999999</v>
      </c>
      <c r="U424" s="181">
        <v>168.3</v>
      </c>
      <c r="V424" s="182">
        <v>160.38</v>
      </c>
      <c r="W424" s="180">
        <v>169.88399999999999</v>
      </c>
      <c r="X424" s="181">
        <v>168.3</v>
      </c>
      <c r="Y424" s="182">
        <v>160.38</v>
      </c>
      <c r="Z424" s="180">
        <v>169.88399999999999</v>
      </c>
      <c r="AA424" s="181">
        <v>168.3</v>
      </c>
      <c r="AB424" s="182">
        <v>160.38</v>
      </c>
      <c r="AC424" s="180">
        <v>169.88399999999999</v>
      </c>
      <c r="AD424" s="181">
        <v>168.3</v>
      </c>
      <c r="AE424" s="182">
        <v>160.38</v>
      </c>
      <c r="AF424" s="180">
        <v>169.88399999999999</v>
      </c>
      <c r="AG424" s="181">
        <v>168.3</v>
      </c>
      <c r="AH424" s="182">
        <v>160.38</v>
      </c>
      <c r="AI424" s="168" t="s">
        <v>1427</v>
      </c>
      <c r="AJ424" s="169" t="s">
        <v>2491</v>
      </c>
      <c r="AK424" s="170" t="s">
        <v>2477</v>
      </c>
      <c r="AL424" s="169" t="s">
        <v>2479</v>
      </c>
      <c r="AM424" s="183">
        <v>1515</v>
      </c>
    </row>
    <row r="425" spans="1:39" s="2" customFormat="1" ht="20.6">
      <c r="A425" s="179" t="s">
        <v>423</v>
      </c>
      <c r="B425" s="238" t="s">
        <v>163</v>
      </c>
      <c r="C425" s="164" t="s">
        <v>1908</v>
      </c>
      <c r="D425" s="236" t="s">
        <v>1910</v>
      </c>
      <c r="E425" s="180">
        <v>87.983999999999995</v>
      </c>
      <c r="F425" s="181">
        <v>85.527000000000001</v>
      </c>
      <c r="G425" s="182">
        <v>82.367999999999995</v>
      </c>
      <c r="H425" s="180">
        <v>87.983999999999995</v>
      </c>
      <c r="I425" s="181">
        <v>85.527000000000001</v>
      </c>
      <c r="J425" s="182">
        <v>82.367999999999995</v>
      </c>
      <c r="K425" s="180">
        <v>87.983999999999995</v>
      </c>
      <c r="L425" s="181">
        <v>85.527000000000001</v>
      </c>
      <c r="M425" s="182">
        <v>82.367999999999995</v>
      </c>
      <c r="N425" s="180">
        <v>87.983999999999995</v>
      </c>
      <c r="O425" s="181">
        <v>85.527000000000001</v>
      </c>
      <c r="P425" s="182">
        <v>82.367999999999995</v>
      </c>
      <c r="Q425" s="180">
        <v>87.983999999999995</v>
      </c>
      <c r="R425" s="181">
        <v>85.527000000000001</v>
      </c>
      <c r="S425" s="182">
        <v>82.367999999999995</v>
      </c>
      <c r="T425" s="180">
        <v>87.983999999999995</v>
      </c>
      <c r="U425" s="181">
        <v>85.527000000000001</v>
      </c>
      <c r="V425" s="182">
        <v>82.367999999999995</v>
      </c>
      <c r="W425" s="180">
        <v>87.983999999999995</v>
      </c>
      <c r="X425" s="181">
        <v>85.527000000000001</v>
      </c>
      <c r="Y425" s="182">
        <v>82.367999999999995</v>
      </c>
      <c r="Z425" s="180">
        <v>87.983999999999995</v>
      </c>
      <c r="AA425" s="181">
        <v>85.527000000000001</v>
      </c>
      <c r="AB425" s="182">
        <v>82.367999999999995</v>
      </c>
      <c r="AC425" s="180">
        <v>87.983999999999995</v>
      </c>
      <c r="AD425" s="181">
        <v>85.527000000000001</v>
      </c>
      <c r="AE425" s="182">
        <v>82.367999999999995</v>
      </c>
      <c r="AF425" s="180">
        <v>87.983999999999995</v>
      </c>
      <c r="AG425" s="181">
        <v>85.527000000000001</v>
      </c>
      <c r="AH425" s="182">
        <v>82.367999999999995</v>
      </c>
      <c r="AI425" s="168" t="s">
        <v>1909</v>
      </c>
      <c r="AJ425" s="169" t="s">
        <v>2491</v>
      </c>
      <c r="AK425" s="170" t="s">
        <v>2477</v>
      </c>
      <c r="AL425" s="169" t="s">
        <v>2479</v>
      </c>
      <c r="AM425" s="183">
        <v>1563</v>
      </c>
    </row>
    <row r="426" spans="1:39">
      <c r="A426" s="179" t="s">
        <v>423</v>
      </c>
      <c r="B426" s="238" t="s">
        <v>163</v>
      </c>
      <c r="C426" s="164" t="s">
        <v>1923</v>
      </c>
      <c r="D426" s="236" t="s">
        <v>4962</v>
      </c>
      <c r="E426" s="180">
        <v>34</v>
      </c>
      <c r="F426" s="181">
        <v>34</v>
      </c>
      <c r="G426" s="182">
        <v>34</v>
      </c>
      <c r="H426" s="180">
        <v>34</v>
      </c>
      <c r="I426" s="181">
        <v>34</v>
      </c>
      <c r="J426" s="182">
        <v>34</v>
      </c>
      <c r="K426" s="180">
        <v>34</v>
      </c>
      <c r="L426" s="181">
        <v>34</v>
      </c>
      <c r="M426" s="182">
        <v>34</v>
      </c>
      <c r="N426" s="180">
        <v>34</v>
      </c>
      <c r="O426" s="181">
        <v>34</v>
      </c>
      <c r="P426" s="182">
        <v>34</v>
      </c>
      <c r="Q426" s="180">
        <v>34</v>
      </c>
      <c r="R426" s="181">
        <v>34</v>
      </c>
      <c r="S426" s="182">
        <v>34</v>
      </c>
      <c r="T426" s="180">
        <v>34</v>
      </c>
      <c r="U426" s="181">
        <v>34</v>
      </c>
      <c r="V426" s="182">
        <v>34</v>
      </c>
      <c r="W426" s="180">
        <v>34</v>
      </c>
      <c r="X426" s="181">
        <v>34</v>
      </c>
      <c r="Y426" s="182">
        <v>34</v>
      </c>
      <c r="Z426" s="180">
        <v>34</v>
      </c>
      <c r="AA426" s="181">
        <v>34</v>
      </c>
      <c r="AB426" s="182">
        <v>34</v>
      </c>
      <c r="AC426" s="180">
        <v>34</v>
      </c>
      <c r="AD426" s="181">
        <v>34</v>
      </c>
      <c r="AE426" s="182">
        <v>34</v>
      </c>
      <c r="AF426" s="180">
        <v>34</v>
      </c>
      <c r="AG426" s="181">
        <v>34</v>
      </c>
      <c r="AH426" s="182">
        <v>34</v>
      </c>
      <c r="AI426" s="168" t="s">
        <v>1511</v>
      </c>
      <c r="AJ426" s="169" t="s">
        <v>2593</v>
      </c>
      <c r="AK426" s="170" t="s">
        <v>2482</v>
      </c>
      <c r="AL426" s="169" t="s">
        <v>18</v>
      </c>
      <c r="AM426" s="183">
        <v>1227</v>
      </c>
    </row>
    <row r="427" spans="1:39">
      <c r="A427" s="179" t="s">
        <v>423</v>
      </c>
      <c r="B427" s="238" t="s">
        <v>163</v>
      </c>
      <c r="C427" s="164" t="s">
        <v>1923</v>
      </c>
      <c r="D427" s="236" t="s">
        <v>4963</v>
      </c>
      <c r="E427" s="180">
        <v>34</v>
      </c>
      <c r="F427" s="181">
        <v>34</v>
      </c>
      <c r="G427" s="182">
        <v>34</v>
      </c>
      <c r="H427" s="180">
        <v>34</v>
      </c>
      <c r="I427" s="181">
        <v>34</v>
      </c>
      <c r="J427" s="182">
        <v>34</v>
      </c>
      <c r="K427" s="180">
        <v>34</v>
      </c>
      <c r="L427" s="181">
        <v>34</v>
      </c>
      <c r="M427" s="182">
        <v>34</v>
      </c>
      <c r="N427" s="180">
        <v>34</v>
      </c>
      <c r="O427" s="181">
        <v>34</v>
      </c>
      <c r="P427" s="182">
        <v>34</v>
      </c>
      <c r="Q427" s="180">
        <v>34</v>
      </c>
      <c r="R427" s="181">
        <v>34</v>
      </c>
      <c r="S427" s="182">
        <v>34</v>
      </c>
      <c r="T427" s="180">
        <v>34</v>
      </c>
      <c r="U427" s="181">
        <v>34</v>
      </c>
      <c r="V427" s="182">
        <v>34</v>
      </c>
      <c r="W427" s="180">
        <v>34</v>
      </c>
      <c r="X427" s="181">
        <v>34</v>
      </c>
      <c r="Y427" s="182">
        <v>34</v>
      </c>
      <c r="Z427" s="180">
        <v>34</v>
      </c>
      <c r="AA427" s="181">
        <v>34</v>
      </c>
      <c r="AB427" s="182">
        <v>34</v>
      </c>
      <c r="AC427" s="180">
        <v>34</v>
      </c>
      <c r="AD427" s="181">
        <v>34</v>
      </c>
      <c r="AE427" s="182">
        <v>34</v>
      </c>
      <c r="AF427" s="180">
        <v>34</v>
      </c>
      <c r="AG427" s="181">
        <v>34</v>
      </c>
      <c r="AH427" s="182">
        <v>34</v>
      </c>
      <c r="AI427" s="168" t="s">
        <v>1511</v>
      </c>
      <c r="AJ427" s="169" t="s">
        <v>2593</v>
      </c>
      <c r="AK427" s="170" t="s">
        <v>2482</v>
      </c>
      <c r="AL427" s="169" t="s">
        <v>18</v>
      </c>
      <c r="AM427" s="183">
        <v>1227</v>
      </c>
    </row>
    <row r="428" spans="1:39">
      <c r="A428" s="179" t="s">
        <v>7</v>
      </c>
      <c r="B428" s="238" t="s">
        <v>163</v>
      </c>
      <c r="C428" s="164" t="s">
        <v>1315</v>
      </c>
      <c r="D428" s="236" t="s">
        <v>4970</v>
      </c>
      <c r="E428" s="180">
        <v>90.016000000000005</v>
      </c>
      <c r="F428" s="181">
        <v>90.016000000000005</v>
      </c>
      <c r="G428" s="182">
        <v>90.016000000000005</v>
      </c>
      <c r="H428" s="180">
        <v>90.016000000000005</v>
      </c>
      <c r="I428" s="181">
        <v>90.016000000000005</v>
      </c>
      <c r="J428" s="182">
        <v>90.016000000000005</v>
      </c>
      <c r="K428" s="180">
        <v>90.016000000000005</v>
      </c>
      <c r="L428" s="181">
        <v>90.016000000000005</v>
      </c>
      <c r="M428" s="182">
        <v>90.016000000000005</v>
      </c>
      <c r="N428" s="180">
        <v>90.016000000000005</v>
      </c>
      <c r="O428" s="181">
        <v>90.016000000000005</v>
      </c>
      <c r="P428" s="182">
        <v>90.016000000000005</v>
      </c>
      <c r="Q428" s="180">
        <v>90.016000000000005</v>
      </c>
      <c r="R428" s="181">
        <v>90.016000000000005</v>
      </c>
      <c r="S428" s="182">
        <v>90.016000000000005</v>
      </c>
      <c r="T428" s="180">
        <v>90.016000000000005</v>
      </c>
      <c r="U428" s="181">
        <v>90.016000000000005</v>
      </c>
      <c r="V428" s="182">
        <v>90.016000000000005</v>
      </c>
      <c r="W428" s="180">
        <v>90.016000000000005</v>
      </c>
      <c r="X428" s="181">
        <v>90.016000000000005</v>
      </c>
      <c r="Y428" s="182">
        <v>90.016000000000005</v>
      </c>
      <c r="Z428" s="180">
        <v>90.016000000000005</v>
      </c>
      <c r="AA428" s="181">
        <v>90.016000000000005</v>
      </c>
      <c r="AB428" s="182">
        <v>90.016000000000005</v>
      </c>
      <c r="AC428" s="180">
        <v>90.016000000000005</v>
      </c>
      <c r="AD428" s="181">
        <v>90.016000000000005</v>
      </c>
      <c r="AE428" s="182">
        <v>90.016000000000005</v>
      </c>
      <c r="AF428" s="180">
        <v>90.016000000000005</v>
      </c>
      <c r="AG428" s="181">
        <v>90.016000000000005</v>
      </c>
      <c r="AH428" s="182">
        <v>90.016000000000005</v>
      </c>
      <c r="AI428" s="168" t="s">
        <v>4969</v>
      </c>
      <c r="AJ428" s="169" t="s">
        <v>2491</v>
      </c>
      <c r="AK428" s="170" t="s">
        <v>2477</v>
      </c>
      <c r="AL428" s="169" t="s">
        <v>2479</v>
      </c>
      <c r="AM428" s="183">
        <v>1904</v>
      </c>
    </row>
    <row r="429" spans="1:39" ht="20.6">
      <c r="A429" s="179" t="s">
        <v>309</v>
      </c>
      <c r="B429" s="238" t="s">
        <v>163</v>
      </c>
      <c r="C429" s="164" t="s">
        <v>360</v>
      </c>
      <c r="D429" s="236" t="s">
        <v>4971</v>
      </c>
      <c r="E429" s="180">
        <v>254.8</v>
      </c>
      <c r="F429" s="181">
        <v>254.8</v>
      </c>
      <c r="G429" s="182">
        <v>254.8</v>
      </c>
      <c r="H429" s="180">
        <v>254.8</v>
      </c>
      <c r="I429" s="181">
        <v>254.8</v>
      </c>
      <c r="J429" s="182">
        <v>254.8</v>
      </c>
      <c r="K429" s="180">
        <v>254.8</v>
      </c>
      <c r="L429" s="181">
        <v>254.8</v>
      </c>
      <c r="M429" s="182">
        <v>254.8</v>
      </c>
      <c r="N429" s="180">
        <v>254.8</v>
      </c>
      <c r="O429" s="181">
        <v>254.8</v>
      </c>
      <c r="P429" s="182">
        <v>254.8</v>
      </c>
      <c r="Q429" s="180">
        <v>254.8</v>
      </c>
      <c r="R429" s="181">
        <v>254.8</v>
      </c>
      <c r="S429" s="182">
        <v>254.8</v>
      </c>
      <c r="T429" s="180">
        <v>254.8</v>
      </c>
      <c r="U429" s="181">
        <v>254.8</v>
      </c>
      <c r="V429" s="182">
        <v>254.8</v>
      </c>
      <c r="W429" s="180">
        <v>254.8</v>
      </c>
      <c r="X429" s="181">
        <v>254.8</v>
      </c>
      <c r="Y429" s="182">
        <v>254.8</v>
      </c>
      <c r="Z429" s="180">
        <v>254.8</v>
      </c>
      <c r="AA429" s="181">
        <v>254.8</v>
      </c>
      <c r="AB429" s="182">
        <v>254.8</v>
      </c>
      <c r="AC429" s="180">
        <v>254.8</v>
      </c>
      <c r="AD429" s="181">
        <v>254.8</v>
      </c>
      <c r="AE429" s="182">
        <v>254.8</v>
      </c>
      <c r="AF429" s="180">
        <v>254.8</v>
      </c>
      <c r="AG429" s="181">
        <v>254.8</v>
      </c>
      <c r="AH429" s="182">
        <v>254.8</v>
      </c>
      <c r="AI429" s="168" t="s">
        <v>361</v>
      </c>
      <c r="AJ429" s="169" t="s">
        <v>2466</v>
      </c>
      <c r="AK429" s="170" t="s">
        <v>2467</v>
      </c>
      <c r="AL429" s="169" t="s">
        <v>20</v>
      </c>
      <c r="AM429" s="183">
        <v>1966</v>
      </c>
    </row>
    <row r="430" spans="1:39" ht="20.6">
      <c r="A430" s="179" t="s">
        <v>309</v>
      </c>
      <c r="B430" s="238" t="s">
        <v>163</v>
      </c>
      <c r="C430" s="164" t="s">
        <v>360</v>
      </c>
      <c r="D430" s="236" t="s">
        <v>362</v>
      </c>
      <c r="E430" s="180">
        <v>0</v>
      </c>
      <c r="F430" s="181">
        <v>112</v>
      </c>
      <c r="G430" s="182">
        <v>112</v>
      </c>
      <c r="H430" s="180">
        <v>254.8</v>
      </c>
      <c r="I430" s="181">
        <v>254.8</v>
      </c>
      <c r="J430" s="182">
        <v>254.8</v>
      </c>
      <c r="K430" s="180">
        <v>254.8</v>
      </c>
      <c r="L430" s="181">
        <v>254.8</v>
      </c>
      <c r="M430" s="182">
        <v>254.8</v>
      </c>
      <c r="N430" s="180">
        <v>254.8</v>
      </c>
      <c r="O430" s="181">
        <v>254.8</v>
      </c>
      <c r="P430" s="182">
        <v>254.8</v>
      </c>
      <c r="Q430" s="180">
        <v>254.8</v>
      </c>
      <c r="R430" s="181">
        <v>254.8</v>
      </c>
      <c r="S430" s="182">
        <v>254.8</v>
      </c>
      <c r="T430" s="180">
        <v>254.8</v>
      </c>
      <c r="U430" s="181">
        <v>254.8</v>
      </c>
      <c r="V430" s="182">
        <v>254.8</v>
      </c>
      <c r="W430" s="180">
        <v>254.8</v>
      </c>
      <c r="X430" s="181">
        <v>254.8</v>
      </c>
      <c r="Y430" s="182">
        <v>254.8</v>
      </c>
      <c r="Z430" s="180">
        <v>254.8</v>
      </c>
      <c r="AA430" s="181">
        <v>254.8</v>
      </c>
      <c r="AB430" s="182">
        <v>254.8</v>
      </c>
      <c r="AC430" s="180">
        <v>254.8</v>
      </c>
      <c r="AD430" s="181">
        <v>254.8</v>
      </c>
      <c r="AE430" s="182">
        <v>254.8</v>
      </c>
      <c r="AF430" s="180">
        <v>254.8</v>
      </c>
      <c r="AG430" s="181">
        <v>254.8</v>
      </c>
      <c r="AH430" s="182">
        <v>254.8</v>
      </c>
      <c r="AI430" s="168" t="s">
        <v>361</v>
      </c>
      <c r="AJ430" s="169" t="s">
        <v>2466</v>
      </c>
      <c r="AK430" s="170" t="s">
        <v>2467</v>
      </c>
      <c r="AL430" s="169" t="s">
        <v>20</v>
      </c>
      <c r="AM430" s="183">
        <v>1966</v>
      </c>
    </row>
    <row r="431" spans="1:39">
      <c r="A431" s="179" t="s">
        <v>309</v>
      </c>
      <c r="B431" s="238" t="s">
        <v>163</v>
      </c>
      <c r="C431" s="164" t="s">
        <v>1391</v>
      </c>
      <c r="D431" s="236" t="s">
        <v>1393</v>
      </c>
      <c r="E431" s="180">
        <v>399.96499999999997</v>
      </c>
      <c r="F431" s="181">
        <v>399.96499999999997</v>
      </c>
      <c r="G431" s="182">
        <v>394.95499999999998</v>
      </c>
      <c r="H431" s="180">
        <v>399.96499999999997</v>
      </c>
      <c r="I431" s="181">
        <v>399.96499999999997</v>
      </c>
      <c r="J431" s="182">
        <v>394.95499999999998</v>
      </c>
      <c r="K431" s="180">
        <v>399.96499999999997</v>
      </c>
      <c r="L431" s="181">
        <v>399.96499999999997</v>
      </c>
      <c r="M431" s="182">
        <v>394.95499999999998</v>
      </c>
      <c r="N431" s="180">
        <v>399.96499999999997</v>
      </c>
      <c r="O431" s="181">
        <v>399.96499999999997</v>
      </c>
      <c r="P431" s="182">
        <v>394.95499999999998</v>
      </c>
      <c r="Q431" s="180">
        <v>399.96499999999997</v>
      </c>
      <c r="R431" s="181">
        <v>399.96499999999997</v>
      </c>
      <c r="S431" s="182">
        <v>394.95499999999998</v>
      </c>
      <c r="T431" s="180">
        <v>399.96499999999997</v>
      </c>
      <c r="U431" s="181">
        <v>399.96499999999997</v>
      </c>
      <c r="V431" s="182">
        <v>394.95499999999998</v>
      </c>
      <c r="W431" s="180">
        <v>399.96499999999997</v>
      </c>
      <c r="X431" s="181">
        <v>399.96499999999997</v>
      </c>
      <c r="Y431" s="182">
        <v>394.95499999999998</v>
      </c>
      <c r="Z431" s="180">
        <v>399.96499999999997</v>
      </c>
      <c r="AA431" s="181">
        <v>399.96499999999997</v>
      </c>
      <c r="AB431" s="182">
        <v>394.95499999999998</v>
      </c>
      <c r="AC431" s="180">
        <v>399.96499999999997</v>
      </c>
      <c r="AD431" s="181">
        <v>399.96499999999997</v>
      </c>
      <c r="AE431" s="182">
        <v>394.95499999999998</v>
      </c>
      <c r="AF431" s="180">
        <v>399.96499999999997</v>
      </c>
      <c r="AG431" s="181">
        <v>399.96499999999997</v>
      </c>
      <c r="AH431" s="182">
        <v>394.95499999999998</v>
      </c>
      <c r="AI431" s="168" t="s">
        <v>1392</v>
      </c>
      <c r="AJ431" s="169" t="s">
        <v>2491</v>
      </c>
      <c r="AK431" s="170" t="s">
        <v>2477</v>
      </c>
      <c r="AL431" s="169" t="s">
        <v>2479</v>
      </c>
      <c r="AM431" s="183">
        <v>2011</v>
      </c>
    </row>
    <row r="432" spans="1:39">
      <c r="A432" s="179" t="s">
        <v>7</v>
      </c>
      <c r="B432" s="238" t="s">
        <v>163</v>
      </c>
      <c r="C432" s="164" t="s">
        <v>2065</v>
      </c>
      <c r="D432" s="236" t="s">
        <v>4986</v>
      </c>
      <c r="E432" s="180">
        <v>20</v>
      </c>
      <c r="F432" s="181">
        <v>20</v>
      </c>
      <c r="G432" s="182">
        <v>20</v>
      </c>
      <c r="H432" s="180">
        <v>20</v>
      </c>
      <c r="I432" s="181">
        <v>20</v>
      </c>
      <c r="J432" s="182">
        <v>20</v>
      </c>
      <c r="K432" s="180">
        <v>20</v>
      </c>
      <c r="L432" s="181">
        <v>20</v>
      </c>
      <c r="M432" s="182">
        <v>20</v>
      </c>
      <c r="N432" s="180">
        <v>20</v>
      </c>
      <c r="O432" s="181">
        <v>20</v>
      </c>
      <c r="P432" s="182">
        <v>20</v>
      </c>
      <c r="Q432" s="180">
        <v>20</v>
      </c>
      <c r="R432" s="181">
        <v>20</v>
      </c>
      <c r="S432" s="182">
        <v>20</v>
      </c>
      <c r="T432" s="180">
        <v>20</v>
      </c>
      <c r="U432" s="181">
        <v>20</v>
      </c>
      <c r="V432" s="182">
        <v>20</v>
      </c>
      <c r="W432" s="180">
        <v>20</v>
      </c>
      <c r="X432" s="181">
        <v>20</v>
      </c>
      <c r="Y432" s="182">
        <v>20</v>
      </c>
      <c r="Z432" s="180">
        <v>20</v>
      </c>
      <c r="AA432" s="181">
        <v>20</v>
      </c>
      <c r="AB432" s="182">
        <v>20</v>
      </c>
      <c r="AC432" s="180">
        <v>20</v>
      </c>
      <c r="AD432" s="181">
        <v>20</v>
      </c>
      <c r="AE432" s="182">
        <v>20</v>
      </c>
      <c r="AF432" s="180">
        <v>20</v>
      </c>
      <c r="AG432" s="181">
        <v>20</v>
      </c>
      <c r="AH432" s="182">
        <v>20</v>
      </c>
      <c r="AI432" s="168" t="s">
        <v>4985</v>
      </c>
      <c r="AJ432" s="169" t="s">
        <v>2476</v>
      </c>
      <c r="AK432" s="170" t="s">
        <v>2477</v>
      </c>
      <c r="AL432" s="169" t="s">
        <v>2479</v>
      </c>
      <c r="AM432" s="183">
        <v>1662</v>
      </c>
    </row>
    <row r="433" spans="1:39">
      <c r="A433" s="179" t="s">
        <v>7</v>
      </c>
      <c r="B433" s="238" t="s">
        <v>163</v>
      </c>
      <c r="C433" s="164" t="s">
        <v>4988</v>
      </c>
      <c r="D433" s="236" t="s">
        <v>4990</v>
      </c>
      <c r="E433" s="180">
        <v>172.48</v>
      </c>
      <c r="F433" s="181">
        <v>172.48</v>
      </c>
      <c r="G433" s="182">
        <v>172.48</v>
      </c>
      <c r="H433" s="180">
        <v>172.48</v>
      </c>
      <c r="I433" s="181">
        <v>172.48</v>
      </c>
      <c r="J433" s="182">
        <v>172.48</v>
      </c>
      <c r="K433" s="180">
        <v>172.48</v>
      </c>
      <c r="L433" s="181">
        <v>172.48</v>
      </c>
      <c r="M433" s="182">
        <v>172.48</v>
      </c>
      <c r="N433" s="180">
        <v>172.48</v>
      </c>
      <c r="O433" s="181">
        <v>172.48</v>
      </c>
      <c r="P433" s="182">
        <v>172.48</v>
      </c>
      <c r="Q433" s="180">
        <v>172.48</v>
      </c>
      <c r="R433" s="181">
        <v>172.48</v>
      </c>
      <c r="S433" s="182">
        <v>172.48</v>
      </c>
      <c r="T433" s="180">
        <v>172.48</v>
      </c>
      <c r="U433" s="181">
        <v>172.48</v>
      </c>
      <c r="V433" s="182">
        <v>172.48</v>
      </c>
      <c r="W433" s="180">
        <v>172.48</v>
      </c>
      <c r="X433" s="181">
        <v>172.48</v>
      </c>
      <c r="Y433" s="182">
        <v>172.48</v>
      </c>
      <c r="Z433" s="180">
        <v>172.48</v>
      </c>
      <c r="AA433" s="181">
        <v>172.48</v>
      </c>
      <c r="AB433" s="182">
        <v>172.48</v>
      </c>
      <c r="AC433" s="180">
        <v>172.48</v>
      </c>
      <c r="AD433" s="181">
        <v>172.48</v>
      </c>
      <c r="AE433" s="182">
        <v>172.48</v>
      </c>
      <c r="AF433" s="180">
        <v>172.48</v>
      </c>
      <c r="AG433" s="181">
        <v>172.48</v>
      </c>
      <c r="AH433" s="182">
        <v>172.48</v>
      </c>
      <c r="AI433" s="168" t="s">
        <v>4989</v>
      </c>
      <c r="AJ433" s="169" t="s">
        <v>2485</v>
      </c>
      <c r="AK433" s="170" t="s">
        <v>2486</v>
      </c>
      <c r="AL433" s="169" t="s">
        <v>17</v>
      </c>
      <c r="AM433" s="183">
        <v>1277</v>
      </c>
    </row>
    <row r="434" spans="1:39">
      <c r="A434" s="179" t="s">
        <v>309</v>
      </c>
      <c r="B434" s="238" t="s">
        <v>163</v>
      </c>
      <c r="C434" s="164" t="s">
        <v>2141</v>
      </c>
      <c r="D434" s="236" t="s">
        <v>4996</v>
      </c>
      <c r="E434" s="180">
        <v>56.005000000000003</v>
      </c>
      <c r="F434" s="181">
        <v>54.901000000000003</v>
      </c>
      <c r="G434" s="182">
        <v>54.119</v>
      </c>
      <c r="H434" s="180">
        <v>56.005000000000003</v>
      </c>
      <c r="I434" s="181">
        <v>54.901000000000003</v>
      </c>
      <c r="J434" s="182">
        <v>54.119</v>
      </c>
      <c r="K434" s="180">
        <v>56.005000000000003</v>
      </c>
      <c r="L434" s="181">
        <v>54.901000000000003</v>
      </c>
      <c r="M434" s="182">
        <v>54.119</v>
      </c>
      <c r="N434" s="180">
        <v>56.005000000000003</v>
      </c>
      <c r="O434" s="181">
        <v>54.901000000000003</v>
      </c>
      <c r="P434" s="182">
        <v>54.119</v>
      </c>
      <c r="Q434" s="180">
        <v>56.005000000000003</v>
      </c>
      <c r="R434" s="181">
        <v>54.901000000000003</v>
      </c>
      <c r="S434" s="182">
        <v>54.119</v>
      </c>
      <c r="T434" s="180">
        <v>56.005000000000003</v>
      </c>
      <c r="U434" s="181">
        <v>54.901000000000003</v>
      </c>
      <c r="V434" s="182">
        <v>54.119</v>
      </c>
      <c r="W434" s="180">
        <v>56.005000000000003</v>
      </c>
      <c r="X434" s="181">
        <v>54.901000000000003</v>
      </c>
      <c r="Y434" s="182">
        <v>54.119</v>
      </c>
      <c r="Z434" s="180">
        <v>56.005000000000003</v>
      </c>
      <c r="AA434" s="181">
        <v>54.901000000000003</v>
      </c>
      <c r="AB434" s="182">
        <v>54.119</v>
      </c>
      <c r="AC434" s="180">
        <v>56.005000000000003</v>
      </c>
      <c r="AD434" s="181">
        <v>54.901000000000003</v>
      </c>
      <c r="AE434" s="182">
        <v>54.119</v>
      </c>
      <c r="AF434" s="180">
        <v>56.005000000000003</v>
      </c>
      <c r="AG434" s="181">
        <v>54.901000000000003</v>
      </c>
      <c r="AH434" s="182">
        <v>54.119</v>
      </c>
      <c r="AI434" s="168" t="s">
        <v>4995</v>
      </c>
      <c r="AJ434" s="169" t="s">
        <v>2491</v>
      </c>
      <c r="AK434" s="170" t="s">
        <v>2477</v>
      </c>
      <c r="AL434" s="169" t="s">
        <v>2479</v>
      </c>
      <c r="AM434" s="183">
        <v>1407</v>
      </c>
    </row>
    <row r="435" spans="1:39">
      <c r="A435" s="179" t="s">
        <v>7</v>
      </c>
      <c r="B435" s="238" t="s">
        <v>2463</v>
      </c>
      <c r="C435" s="164" t="s">
        <v>301</v>
      </c>
      <c r="D435" s="236" t="s">
        <v>5182</v>
      </c>
      <c r="E435" s="180">
        <v>0</v>
      </c>
      <c r="F435" s="181">
        <v>0</v>
      </c>
      <c r="G435" s="182">
        <v>0</v>
      </c>
      <c r="H435" s="180">
        <v>0</v>
      </c>
      <c r="I435" s="181">
        <v>250</v>
      </c>
      <c r="J435" s="182">
        <v>250</v>
      </c>
      <c r="K435" s="180">
        <v>250</v>
      </c>
      <c r="L435" s="181">
        <v>250</v>
      </c>
      <c r="M435" s="182">
        <v>250</v>
      </c>
      <c r="N435" s="180">
        <v>250</v>
      </c>
      <c r="O435" s="181">
        <v>250</v>
      </c>
      <c r="P435" s="182">
        <v>250</v>
      </c>
      <c r="Q435" s="180">
        <v>250</v>
      </c>
      <c r="R435" s="181">
        <v>250</v>
      </c>
      <c r="S435" s="182">
        <v>250</v>
      </c>
      <c r="T435" s="180">
        <v>250</v>
      </c>
      <c r="U435" s="181">
        <v>250</v>
      </c>
      <c r="V435" s="182">
        <v>250</v>
      </c>
      <c r="W435" s="180">
        <v>250</v>
      </c>
      <c r="X435" s="181">
        <v>250</v>
      </c>
      <c r="Y435" s="182">
        <v>250</v>
      </c>
      <c r="Z435" s="180">
        <v>250</v>
      </c>
      <c r="AA435" s="181">
        <v>250</v>
      </c>
      <c r="AB435" s="182">
        <v>250</v>
      </c>
      <c r="AC435" s="180">
        <v>250</v>
      </c>
      <c r="AD435" s="181">
        <v>250</v>
      </c>
      <c r="AE435" s="182">
        <v>250</v>
      </c>
      <c r="AF435" s="180">
        <v>250</v>
      </c>
      <c r="AG435" s="181">
        <v>250</v>
      </c>
      <c r="AH435" s="182">
        <v>250</v>
      </c>
      <c r="AI435" s="168" t="s">
        <v>302</v>
      </c>
      <c r="AJ435" s="169" t="s">
        <v>2466</v>
      </c>
      <c r="AK435" s="170" t="s">
        <v>2467</v>
      </c>
      <c r="AL435" s="169" t="s">
        <v>20</v>
      </c>
      <c r="AM435" s="183">
        <v>2525</v>
      </c>
    </row>
    <row r="436" spans="1:39">
      <c r="A436" s="179" t="s">
        <v>380</v>
      </c>
      <c r="B436" s="238" t="s">
        <v>163</v>
      </c>
      <c r="C436" s="164" t="s">
        <v>1802</v>
      </c>
      <c r="D436" s="236" t="s">
        <v>1804</v>
      </c>
      <c r="E436" s="180">
        <v>119.76</v>
      </c>
      <c r="F436" s="181">
        <v>119.76</v>
      </c>
      <c r="G436" s="182">
        <v>0</v>
      </c>
      <c r="H436" s="180">
        <v>119.76</v>
      </c>
      <c r="I436" s="181">
        <v>119.76</v>
      </c>
      <c r="J436" s="182">
        <v>0</v>
      </c>
      <c r="K436" s="180">
        <v>119.76</v>
      </c>
      <c r="L436" s="181">
        <v>119.76</v>
      </c>
      <c r="M436" s="182">
        <v>0</v>
      </c>
      <c r="N436" s="180">
        <v>119.76</v>
      </c>
      <c r="O436" s="181">
        <v>119.76</v>
      </c>
      <c r="P436" s="182">
        <v>0</v>
      </c>
      <c r="Q436" s="180">
        <v>119.76</v>
      </c>
      <c r="R436" s="181">
        <v>119.76</v>
      </c>
      <c r="S436" s="182">
        <v>0</v>
      </c>
      <c r="T436" s="180">
        <v>119.76</v>
      </c>
      <c r="U436" s="181">
        <v>119.76</v>
      </c>
      <c r="V436" s="182">
        <v>0</v>
      </c>
      <c r="W436" s="180">
        <v>119.76</v>
      </c>
      <c r="X436" s="181">
        <v>119.76</v>
      </c>
      <c r="Y436" s="182">
        <v>0</v>
      </c>
      <c r="Z436" s="180">
        <v>119.76</v>
      </c>
      <c r="AA436" s="181">
        <v>119.76</v>
      </c>
      <c r="AB436" s="182">
        <v>0</v>
      </c>
      <c r="AC436" s="180">
        <v>119.76</v>
      </c>
      <c r="AD436" s="181">
        <v>119.76</v>
      </c>
      <c r="AE436" s="182">
        <v>0</v>
      </c>
      <c r="AF436" s="180">
        <v>119.76</v>
      </c>
      <c r="AG436" s="181">
        <v>119.76</v>
      </c>
      <c r="AH436" s="182">
        <v>0</v>
      </c>
      <c r="AI436" s="168" t="s">
        <v>1803</v>
      </c>
      <c r="AJ436" s="169" t="s">
        <v>2485</v>
      </c>
      <c r="AK436" s="170" t="s">
        <v>2486</v>
      </c>
      <c r="AL436" s="169" t="s">
        <v>17</v>
      </c>
      <c r="AM436" s="183">
        <v>1231</v>
      </c>
    </row>
    <row r="437" spans="1:39" ht="20.6">
      <c r="A437" s="179" t="s">
        <v>423</v>
      </c>
      <c r="B437" s="238" t="s">
        <v>163</v>
      </c>
      <c r="C437" s="164" t="s">
        <v>1557</v>
      </c>
      <c r="D437" s="236" t="s">
        <v>1559</v>
      </c>
      <c r="E437" s="180">
        <v>85</v>
      </c>
      <c r="F437" s="181">
        <v>85</v>
      </c>
      <c r="G437" s="182">
        <v>84.99</v>
      </c>
      <c r="H437" s="180">
        <v>85</v>
      </c>
      <c r="I437" s="181">
        <v>85</v>
      </c>
      <c r="J437" s="182">
        <v>84.99</v>
      </c>
      <c r="K437" s="180">
        <v>85</v>
      </c>
      <c r="L437" s="181">
        <v>85</v>
      </c>
      <c r="M437" s="182">
        <v>84.99</v>
      </c>
      <c r="N437" s="180">
        <v>85</v>
      </c>
      <c r="O437" s="181">
        <v>85</v>
      </c>
      <c r="P437" s="182">
        <v>84.99</v>
      </c>
      <c r="Q437" s="180">
        <v>85</v>
      </c>
      <c r="R437" s="181">
        <v>85</v>
      </c>
      <c r="S437" s="182">
        <v>84.99</v>
      </c>
      <c r="T437" s="180">
        <v>85</v>
      </c>
      <c r="U437" s="181">
        <v>85</v>
      </c>
      <c r="V437" s="182">
        <v>84.99</v>
      </c>
      <c r="W437" s="180">
        <v>85</v>
      </c>
      <c r="X437" s="181">
        <v>85</v>
      </c>
      <c r="Y437" s="182">
        <v>84.99</v>
      </c>
      <c r="Z437" s="180">
        <v>85</v>
      </c>
      <c r="AA437" s="181">
        <v>85</v>
      </c>
      <c r="AB437" s="182">
        <v>84.99</v>
      </c>
      <c r="AC437" s="180">
        <v>85</v>
      </c>
      <c r="AD437" s="181">
        <v>85</v>
      </c>
      <c r="AE437" s="182">
        <v>84.99</v>
      </c>
      <c r="AF437" s="180">
        <v>85</v>
      </c>
      <c r="AG437" s="181">
        <v>85</v>
      </c>
      <c r="AH437" s="182">
        <v>84.99</v>
      </c>
      <c r="AI437" s="168" t="s">
        <v>1558</v>
      </c>
      <c r="AJ437" s="169" t="s">
        <v>2491</v>
      </c>
      <c r="AK437" s="170" t="s">
        <v>2477</v>
      </c>
      <c r="AL437" s="169" t="s">
        <v>2479</v>
      </c>
      <c r="AM437" s="183">
        <v>1674</v>
      </c>
    </row>
    <row r="438" spans="1:39">
      <c r="A438" s="179" t="s">
        <v>309</v>
      </c>
      <c r="B438" s="238" t="s">
        <v>163</v>
      </c>
      <c r="C438" s="164" t="s">
        <v>5039</v>
      </c>
      <c r="D438" s="236" t="s">
        <v>5040</v>
      </c>
      <c r="E438" s="180">
        <v>285</v>
      </c>
      <c r="F438" s="181">
        <v>285</v>
      </c>
      <c r="G438" s="182">
        <v>285</v>
      </c>
      <c r="H438" s="180">
        <v>285</v>
      </c>
      <c r="I438" s="181">
        <v>285</v>
      </c>
      <c r="J438" s="182">
        <v>285</v>
      </c>
      <c r="K438" s="180">
        <v>285</v>
      </c>
      <c r="L438" s="181">
        <v>285</v>
      </c>
      <c r="M438" s="182">
        <v>285</v>
      </c>
      <c r="N438" s="180">
        <v>285</v>
      </c>
      <c r="O438" s="181">
        <v>285</v>
      </c>
      <c r="P438" s="182">
        <v>285</v>
      </c>
      <c r="Q438" s="180">
        <v>285</v>
      </c>
      <c r="R438" s="181">
        <v>285</v>
      </c>
      <c r="S438" s="182">
        <v>285</v>
      </c>
      <c r="T438" s="180">
        <v>285</v>
      </c>
      <c r="U438" s="181">
        <v>285</v>
      </c>
      <c r="V438" s="182">
        <v>285</v>
      </c>
      <c r="W438" s="180">
        <v>285</v>
      </c>
      <c r="X438" s="181">
        <v>285</v>
      </c>
      <c r="Y438" s="182">
        <v>285</v>
      </c>
      <c r="Z438" s="180">
        <v>285</v>
      </c>
      <c r="AA438" s="181">
        <v>285</v>
      </c>
      <c r="AB438" s="182">
        <v>285</v>
      </c>
      <c r="AC438" s="180">
        <v>285</v>
      </c>
      <c r="AD438" s="181">
        <v>285</v>
      </c>
      <c r="AE438" s="182">
        <v>285</v>
      </c>
      <c r="AF438" s="180">
        <v>285</v>
      </c>
      <c r="AG438" s="181">
        <v>285</v>
      </c>
      <c r="AH438" s="182">
        <v>285</v>
      </c>
      <c r="AI438" s="168" t="s">
        <v>936</v>
      </c>
      <c r="AJ438" s="169" t="s">
        <v>2636</v>
      </c>
      <c r="AK438" s="170" t="s">
        <v>2482</v>
      </c>
      <c r="AL438" s="169" t="s">
        <v>18</v>
      </c>
      <c r="AM438" s="183">
        <v>1235</v>
      </c>
    </row>
    <row r="439" spans="1:39">
      <c r="A439" s="179" t="s">
        <v>309</v>
      </c>
      <c r="B439" s="238" t="s">
        <v>163</v>
      </c>
      <c r="C439" s="164" t="s">
        <v>5039</v>
      </c>
      <c r="D439" s="236" t="s">
        <v>5041</v>
      </c>
      <c r="E439" s="180">
        <v>285</v>
      </c>
      <c r="F439" s="181">
        <v>285</v>
      </c>
      <c r="G439" s="182">
        <v>285</v>
      </c>
      <c r="H439" s="180">
        <v>285</v>
      </c>
      <c r="I439" s="181">
        <v>285</v>
      </c>
      <c r="J439" s="182">
        <v>285</v>
      </c>
      <c r="K439" s="180">
        <v>285</v>
      </c>
      <c r="L439" s="181">
        <v>285</v>
      </c>
      <c r="M439" s="182">
        <v>285</v>
      </c>
      <c r="N439" s="180">
        <v>285</v>
      </c>
      <c r="O439" s="181">
        <v>285</v>
      </c>
      <c r="P439" s="182">
        <v>285</v>
      </c>
      <c r="Q439" s="180">
        <v>285</v>
      </c>
      <c r="R439" s="181">
        <v>285</v>
      </c>
      <c r="S439" s="182">
        <v>285</v>
      </c>
      <c r="T439" s="180">
        <v>285</v>
      </c>
      <c r="U439" s="181">
        <v>285</v>
      </c>
      <c r="V439" s="182">
        <v>285</v>
      </c>
      <c r="W439" s="180">
        <v>285</v>
      </c>
      <c r="X439" s="181">
        <v>285</v>
      </c>
      <c r="Y439" s="182">
        <v>285</v>
      </c>
      <c r="Z439" s="180">
        <v>285</v>
      </c>
      <c r="AA439" s="181">
        <v>285</v>
      </c>
      <c r="AB439" s="182">
        <v>285</v>
      </c>
      <c r="AC439" s="180">
        <v>285</v>
      </c>
      <c r="AD439" s="181">
        <v>285</v>
      </c>
      <c r="AE439" s="182">
        <v>285</v>
      </c>
      <c r="AF439" s="180">
        <v>285</v>
      </c>
      <c r="AG439" s="181">
        <v>285</v>
      </c>
      <c r="AH439" s="182">
        <v>285</v>
      </c>
      <c r="AI439" s="168" t="s">
        <v>936</v>
      </c>
      <c r="AJ439" s="169" t="s">
        <v>2636</v>
      </c>
      <c r="AK439" s="170" t="s">
        <v>2482</v>
      </c>
      <c r="AL439" s="169" t="s">
        <v>18</v>
      </c>
      <c r="AM439" s="183">
        <v>1235</v>
      </c>
    </row>
    <row r="440" spans="1:39">
      <c r="A440" s="179" t="s">
        <v>7</v>
      </c>
      <c r="B440" s="238" t="s">
        <v>163</v>
      </c>
      <c r="C440" s="164" t="s">
        <v>304</v>
      </c>
      <c r="D440" s="236" t="s">
        <v>306</v>
      </c>
      <c r="E440" s="180">
        <v>280</v>
      </c>
      <c r="F440" s="181">
        <v>280</v>
      </c>
      <c r="G440" s="182">
        <v>280</v>
      </c>
      <c r="H440" s="180">
        <v>280</v>
      </c>
      <c r="I440" s="181">
        <v>280</v>
      </c>
      <c r="J440" s="182">
        <v>280</v>
      </c>
      <c r="K440" s="180">
        <v>280</v>
      </c>
      <c r="L440" s="181">
        <v>280</v>
      </c>
      <c r="M440" s="182">
        <v>280</v>
      </c>
      <c r="N440" s="180">
        <v>280</v>
      </c>
      <c r="O440" s="181">
        <v>280</v>
      </c>
      <c r="P440" s="182">
        <v>280</v>
      </c>
      <c r="Q440" s="180">
        <v>280</v>
      </c>
      <c r="R440" s="181">
        <v>280</v>
      </c>
      <c r="S440" s="182">
        <v>280</v>
      </c>
      <c r="T440" s="180">
        <v>280</v>
      </c>
      <c r="U440" s="181">
        <v>280</v>
      </c>
      <c r="V440" s="182">
        <v>280</v>
      </c>
      <c r="W440" s="180">
        <v>280</v>
      </c>
      <c r="X440" s="181">
        <v>280</v>
      </c>
      <c r="Y440" s="182">
        <v>280</v>
      </c>
      <c r="Z440" s="180">
        <v>280</v>
      </c>
      <c r="AA440" s="181">
        <v>280</v>
      </c>
      <c r="AB440" s="182">
        <v>280</v>
      </c>
      <c r="AC440" s="180">
        <v>280</v>
      </c>
      <c r="AD440" s="181">
        <v>280</v>
      </c>
      <c r="AE440" s="182">
        <v>280</v>
      </c>
      <c r="AF440" s="180">
        <v>280</v>
      </c>
      <c r="AG440" s="181">
        <v>280</v>
      </c>
      <c r="AH440" s="182">
        <v>280</v>
      </c>
      <c r="AI440" s="168" t="s">
        <v>305</v>
      </c>
      <c r="AJ440" s="169" t="s">
        <v>2491</v>
      </c>
      <c r="AK440" s="170" t="s">
        <v>2477</v>
      </c>
      <c r="AL440" s="169" t="s">
        <v>2479</v>
      </c>
      <c r="AM440" s="183">
        <v>1716</v>
      </c>
    </row>
    <row r="441" spans="1:39">
      <c r="A441" s="179" t="s">
        <v>7</v>
      </c>
      <c r="B441" s="238" t="s">
        <v>163</v>
      </c>
      <c r="C441" s="164" t="s">
        <v>5069</v>
      </c>
      <c r="D441" s="236" t="s">
        <v>5071</v>
      </c>
      <c r="E441" s="180">
        <v>48.3</v>
      </c>
      <c r="F441" s="181">
        <v>48.3</v>
      </c>
      <c r="G441" s="182">
        <v>48.3</v>
      </c>
      <c r="H441" s="180">
        <v>48.3</v>
      </c>
      <c r="I441" s="181">
        <v>48.3</v>
      </c>
      <c r="J441" s="182">
        <v>48.3</v>
      </c>
      <c r="K441" s="180">
        <v>48.3</v>
      </c>
      <c r="L441" s="181">
        <v>48.3</v>
      </c>
      <c r="M441" s="182">
        <v>48.3</v>
      </c>
      <c r="N441" s="180">
        <v>48.3</v>
      </c>
      <c r="O441" s="181">
        <v>48.3</v>
      </c>
      <c r="P441" s="182">
        <v>48.3</v>
      </c>
      <c r="Q441" s="180">
        <v>48.3</v>
      </c>
      <c r="R441" s="181">
        <v>48.3</v>
      </c>
      <c r="S441" s="182">
        <v>48.3</v>
      </c>
      <c r="T441" s="180">
        <v>48.3</v>
      </c>
      <c r="U441" s="181">
        <v>48.3</v>
      </c>
      <c r="V441" s="182">
        <v>48.3</v>
      </c>
      <c r="W441" s="180">
        <v>48.3</v>
      </c>
      <c r="X441" s="181">
        <v>48.3</v>
      </c>
      <c r="Y441" s="182">
        <v>48.3</v>
      </c>
      <c r="Z441" s="180">
        <v>48.3</v>
      </c>
      <c r="AA441" s="181">
        <v>48.3</v>
      </c>
      <c r="AB441" s="182">
        <v>48.3</v>
      </c>
      <c r="AC441" s="180">
        <v>48.3</v>
      </c>
      <c r="AD441" s="181">
        <v>48.3</v>
      </c>
      <c r="AE441" s="182">
        <v>48.3</v>
      </c>
      <c r="AF441" s="180">
        <v>48.3</v>
      </c>
      <c r="AG441" s="181">
        <v>48.3</v>
      </c>
      <c r="AH441" s="182">
        <v>48.3</v>
      </c>
      <c r="AI441" s="168" t="s">
        <v>5070</v>
      </c>
      <c r="AJ441" s="169" t="s">
        <v>2485</v>
      </c>
      <c r="AK441" s="170" t="s">
        <v>2486</v>
      </c>
      <c r="AL441" s="169" t="s">
        <v>17</v>
      </c>
      <c r="AM441" s="183">
        <v>1240</v>
      </c>
    </row>
    <row r="442" spans="1:39" ht="20.6">
      <c r="A442" s="179" t="s">
        <v>309</v>
      </c>
      <c r="B442" s="238" t="s">
        <v>2463</v>
      </c>
      <c r="C442" s="164" t="s">
        <v>364</v>
      </c>
      <c r="D442" s="236" t="s">
        <v>5182</v>
      </c>
      <c r="E442" s="180">
        <v>0</v>
      </c>
      <c r="F442" s="181">
        <v>0</v>
      </c>
      <c r="G442" s="182">
        <v>0</v>
      </c>
      <c r="H442" s="180">
        <v>0</v>
      </c>
      <c r="I442" s="181">
        <v>222.01599999999999</v>
      </c>
      <c r="J442" s="182">
        <v>222.01599999999999</v>
      </c>
      <c r="K442" s="180">
        <v>222.01599999999999</v>
      </c>
      <c r="L442" s="181">
        <v>222.01599999999999</v>
      </c>
      <c r="M442" s="182">
        <v>222.01599999999999</v>
      </c>
      <c r="N442" s="180">
        <v>222.01599999999999</v>
      </c>
      <c r="O442" s="181">
        <v>222.01599999999999</v>
      </c>
      <c r="P442" s="182">
        <v>222.01599999999999</v>
      </c>
      <c r="Q442" s="180">
        <v>222.01599999999999</v>
      </c>
      <c r="R442" s="181">
        <v>222.01599999999999</v>
      </c>
      <c r="S442" s="182">
        <v>222.01599999999999</v>
      </c>
      <c r="T442" s="180">
        <v>222.01599999999999</v>
      </c>
      <c r="U442" s="181">
        <v>222.01599999999999</v>
      </c>
      <c r="V442" s="182">
        <v>222.01599999999999</v>
      </c>
      <c r="W442" s="180">
        <v>222.01599999999999</v>
      </c>
      <c r="X442" s="181">
        <v>222.01599999999999</v>
      </c>
      <c r="Y442" s="182">
        <v>222.01599999999999</v>
      </c>
      <c r="Z442" s="180">
        <v>222.01599999999999</v>
      </c>
      <c r="AA442" s="181">
        <v>222.01599999999999</v>
      </c>
      <c r="AB442" s="182">
        <v>222.01599999999999</v>
      </c>
      <c r="AC442" s="180">
        <v>222.01599999999999</v>
      </c>
      <c r="AD442" s="181">
        <v>222.01599999999999</v>
      </c>
      <c r="AE442" s="182">
        <v>222.01599999999999</v>
      </c>
      <c r="AF442" s="180">
        <v>222.01599999999999</v>
      </c>
      <c r="AG442" s="181">
        <v>222.01599999999999</v>
      </c>
      <c r="AH442" s="182">
        <v>222.01599999999999</v>
      </c>
      <c r="AI442" s="168" t="s">
        <v>365</v>
      </c>
      <c r="AJ442" s="169" t="s">
        <v>2466</v>
      </c>
      <c r="AK442" s="170" t="s">
        <v>2467</v>
      </c>
      <c r="AL442" s="169" t="s">
        <v>20</v>
      </c>
      <c r="AM442" s="183">
        <v>1961</v>
      </c>
    </row>
    <row r="443" spans="1:39">
      <c r="A443" s="179" t="s">
        <v>309</v>
      </c>
      <c r="B443" s="238" t="s">
        <v>163</v>
      </c>
      <c r="C443" s="164" t="s">
        <v>1111</v>
      </c>
      <c r="D443" s="236" t="s">
        <v>1113</v>
      </c>
      <c r="E443" s="180">
        <v>176.042</v>
      </c>
      <c r="F443" s="181">
        <v>176.042</v>
      </c>
      <c r="G443" s="182">
        <v>175.15199999999999</v>
      </c>
      <c r="H443" s="180">
        <v>176.042</v>
      </c>
      <c r="I443" s="181">
        <v>176.042</v>
      </c>
      <c r="J443" s="182">
        <v>175.15199999999999</v>
      </c>
      <c r="K443" s="180">
        <v>176.042</v>
      </c>
      <c r="L443" s="181">
        <v>176.042</v>
      </c>
      <c r="M443" s="182">
        <v>175.15199999999999</v>
      </c>
      <c r="N443" s="180">
        <v>176.042</v>
      </c>
      <c r="O443" s="181">
        <v>176.042</v>
      </c>
      <c r="P443" s="182">
        <v>175.15199999999999</v>
      </c>
      <c r="Q443" s="180">
        <v>176.042</v>
      </c>
      <c r="R443" s="181">
        <v>176.042</v>
      </c>
      <c r="S443" s="182">
        <v>175.15199999999999</v>
      </c>
      <c r="T443" s="180">
        <v>176.042</v>
      </c>
      <c r="U443" s="181">
        <v>176.042</v>
      </c>
      <c r="V443" s="182">
        <v>175.15199999999999</v>
      </c>
      <c r="W443" s="180">
        <v>176.042</v>
      </c>
      <c r="X443" s="181">
        <v>176.042</v>
      </c>
      <c r="Y443" s="182">
        <v>175.15199999999999</v>
      </c>
      <c r="Z443" s="180">
        <v>176.042</v>
      </c>
      <c r="AA443" s="181">
        <v>176.042</v>
      </c>
      <c r="AB443" s="182">
        <v>175.15199999999999</v>
      </c>
      <c r="AC443" s="180">
        <v>176.042</v>
      </c>
      <c r="AD443" s="181">
        <v>176.042</v>
      </c>
      <c r="AE443" s="182">
        <v>175.15199999999999</v>
      </c>
      <c r="AF443" s="180">
        <v>176.042</v>
      </c>
      <c r="AG443" s="181">
        <v>176.042</v>
      </c>
      <c r="AH443" s="182">
        <v>175.15199999999999</v>
      </c>
      <c r="AI443" s="168" t="s">
        <v>1112</v>
      </c>
      <c r="AJ443" s="169" t="s">
        <v>2491</v>
      </c>
      <c r="AK443" s="170" t="s">
        <v>2477</v>
      </c>
      <c r="AL443" s="169" t="s">
        <v>2479</v>
      </c>
      <c r="AM443" s="183">
        <v>1672</v>
      </c>
    </row>
    <row r="444" spans="1:39">
      <c r="A444" s="200" t="s">
        <v>423</v>
      </c>
      <c r="B444" s="239" t="s">
        <v>2463</v>
      </c>
      <c r="C444" s="201" t="s">
        <v>585</v>
      </c>
      <c r="D444" s="237" t="s">
        <v>5182</v>
      </c>
      <c r="E444" s="203">
        <v>0</v>
      </c>
      <c r="F444" s="204">
        <v>0</v>
      </c>
      <c r="G444" s="205">
        <v>0</v>
      </c>
      <c r="H444" s="203">
        <v>0</v>
      </c>
      <c r="I444" s="204">
        <v>0</v>
      </c>
      <c r="J444" s="205">
        <v>0</v>
      </c>
      <c r="K444" s="203">
        <v>350</v>
      </c>
      <c r="L444" s="204">
        <v>350</v>
      </c>
      <c r="M444" s="205">
        <v>350</v>
      </c>
      <c r="N444" s="203">
        <v>350</v>
      </c>
      <c r="O444" s="204">
        <v>350</v>
      </c>
      <c r="P444" s="205">
        <v>350</v>
      </c>
      <c r="Q444" s="203">
        <v>350</v>
      </c>
      <c r="R444" s="204">
        <v>350</v>
      </c>
      <c r="S444" s="205">
        <v>350</v>
      </c>
      <c r="T444" s="203">
        <v>350</v>
      </c>
      <c r="U444" s="204">
        <v>350</v>
      </c>
      <c r="V444" s="205">
        <v>350</v>
      </c>
      <c r="W444" s="203">
        <v>350</v>
      </c>
      <c r="X444" s="204">
        <v>350</v>
      </c>
      <c r="Y444" s="205">
        <v>350</v>
      </c>
      <c r="Z444" s="203">
        <v>350</v>
      </c>
      <c r="AA444" s="204">
        <v>350</v>
      </c>
      <c r="AB444" s="205">
        <v>350</v>
      </c>
      <c r="AC444" s="203">
        <v>350</v>
      </c>
      <c r="AD444" s="204">
        <v>350</v>
      </c>
      <c r="AE444" s="205">
        <v>350</v>
      </c>
      <c r="AF444" s="203">
        <v>350</v>
      </c>
      <c r="AG444" s="204">
        <v>350</v>
      </c>
      <c r="AH444" s="206">
        <v>350</v>
      </c>
      <c r="AI444" s="207" t="s">
        <v>586</v>
      </c>
      <c r="AJ444" s="202" t="s">
        <v>2466</v>
      </c>
      <c r="AK444" s="208" t="s">
        <v>2467</v>
      </c>
      <c r="AL444" s="202" t="s">
        <v>20</v>
      </c>
      <c r="AM444" s="209">
        <v>1876</v>
      </c>
    </row>
    <row r="445" spans="1:39">
      <c r="A445" s="200" t="s">
        <v>423</v>
      </c>
      <c r="B445" s="238" t="s">
        <v>163</v>
      </c>
      <c r="C445" s="201" t="s">
        <v>813</v>
      </c>
      <c r="D445" s="237" t="s">
        <v>815</v>
      </c>
      <c r="E445" s="203">
        <v>75.004000000000005</v>
      </c>
      <c r="F445" s="204">
        <v>75.004000000000005</v>
      </c>
      <c r="G445" s="205">
        <v>60.281999999999996</v>
      </c>
      <c r="H445" s="203">
        <v>75.004000000000005</v>
      </c>
      <c r="I445" s="204">
        <v>75.004000000000005</v>
      </c>
      <c r="J445" s="205">
        <v>60.281999999999996</v>
      </c>
      <c r="K445" s="203">
        <v>75.004000000000005</v>
      </c>
      <c r="L445" s="204">
        <v>75.004000000000005</v>
      </c>
      <c r="M445" s="205">
        <v>60.281999999999996</v>
      </c>
      <c r="N445" s="203">
        <v>75.004000000000005</v>
      </c>
      <c r="O445" s="204">
        <v>75.004000000000005</v>
      </c>
      <c r="P445" s="205">
        <v>60.281999999999996</v>
      </c>
      <c r="Q445" s="203">
        <v>75.004000000000005</v>
      </c>
      <c r="R445" s="204">
        <v>75.004000000000005</v>
      </c>
      <c r="S445" s="205">
        <v>60.281999999999996</v>
      </c>
      <c r="T445" s="203">
        <v>75.004000000000005</v>
      </c>
      <c r="U445" s="204">
        <v>75.004000000000005</v>
      </c>
      <c r="V445" s="205">
        <v>60.281999999999996</v>
      </c>
      <c r="W445" s="203">
        <v>75.004000000000005</v>
      </c>
      <c r="X445" s="204">
        <v>75.004000000000005</v>
      </c>
      <c r="Y445" s="205">
        <v>60.281999999999996</v>
      </c>
      <c r="Z445" s="203">
        <v>75.004000000000005</v>
      </c>
      <c r="AA445" s="204">
        <v>75.004000000000005</v>
      </c>
      <c r="AB445" s="205">
        <v>60.281999999999996</v>
      </c>
      <c r="AC445" s="203">
        <v>75.004000000000005</v>
      </c>
      <c r="AD445" s="204">
        <v>75.004000000000005</v>
      </c>
      <c r="AE445" s="205">
        <v>60.281999999999996</v>
      </c>
      <c r="AF445" s="203">
        <v>75.004000000000005</v>
      </c>
      <c r="AG445" s="204">
        <v>75.004000000000005</v>
      </c>
      <c r="AH445" s="206">
        <v>60.281999999999996</v>
      </c>
      <c r="AI445" s="207" t="s">
        <v>814</v>
      </c>
      <c r="AJ445" s="202" t="s">
        <v>2491</v>
      </c>
      <c r="AK445" s="208" t="s">
        <v>2477</v>
      </c>
      <c r="AL445" s="202" t="s">
        <v>2479</v>
      </c>
      <c r="AM445" s="209">
        <v>1929</v>
      </c>
    </row>
    <row r="446" spans="1:39" ht="20.6">
      <c r="A446" s="200" t="s">
        <v>7</v>
      </c>
      <c r="B446" s="239" t="s">
        <v>163</v>
      </c>
      <c r="C446" s="201" t="s">
        <v>656</v>
      </c>
      <c r="D446" s="237" t="s">
        <v>658</v>
      </c>
      <c r="E446" s="203">
        <v>53.01</v>
      </c>
      <c r="F446" s="204">
        <v>53.01</v>
      </c>
      <c r="G446" s="205">
        <v>53.01</v>
      </c>
      <c r="H446" s="203">
        <v>53.01</v>
      </c>
      <c r="I446" s="204">
        <v>53.01</v>
      </c>
      <c r="J446" s="205">
        <v>53.01</v>
      </c>
      <c r="K446" s="203">
        <v>53.01</v>
      </c>
      <c r="L446" s="204">
        <v>53.01</v>
      </c>
      <c r="M446" s="205">
        <v>53.01</v>
      </c>
      <c r="N446" s="203">
        <v>53.01</v>
      </c>
      <c r="O446" s="204">
        <v>53.01</v>
      </c>
      <c r="P446" s="205">
        <v>53.01</v>
      </c>
      <c r="Q446" s="203">
        <v>53.01</v>
      </c>
      <c r="R446" s="204">
        <v>53.01</v>
      </c>
      <c r="S446" s="205">
        <v>53.01</v>
      </c>
      <c r="T446" s="203">
        <v>53.01</v>
      </c>
      <c r="U446" s="204">
        <v>53.01</v>
      </c>
      <c r="V446" s="205">
        <v>53.01</v>
      </c>
      <c r="W446" s="203">
        <v>53.01</v>
      </c>
      <c r="X446" s="204">
        <v>53.01</v>
      </c>
      <c r="Y446" s="205">
        <v>53.01</v>
      </c>
      <c r="Z446" s="203">
        <v>53.01</v>
      </c>
      <c r="AA446" s="204">
        <v>53.01</v>
      </c>
      <c r="AB446" s="205">
        <v>53.01</v>
      </c>
      <c r="AC446" s="203">
        <v>53.01</v>
      </c>
      <c r="AD446" s="204">
        <v>53.01</v>
      </c>
      <c r="AE446" s="205">
        <v>53.01</v>
      </c>
      <c r="AF446" s="203">
        <v>53.01</v>
      </c>
      <c r="AG446" s="204">
        <v>53.01</v>
      </c>
      <c r="AH446" s="206">
        <v>53.01</v>
      </c>
      <c r="AI446" s="207" t="s">
        <v>657</v>
      </c>
      <c r="AJ446" s="202" t="s">
        <v>2491</v>
      </c>
      <c r="AK446" s="208" t="s">
        <v>2477</v>
      </c>
      <c r="AL446" s="202" t="s">
        <v>2479</v>
      </c>
      <c r="AM446" s="209">
        <v>1865</v>
      </c>
    </row>
    <row r="447" spans="1:39">
      <c r="A447" s="200" t="s">
        <v>423</v>
      </c>
      <c r="B447" s="239" t="s">
        <v>163</v>
      </c>
      <c r="C447" s="201" t="s">
        <v>881</v>
      </c>
      <c r="D447" s="237" t="s">
        <v>5108</v>
      </c>
      <c r="E447" s="203">
        <v>340</v>
      </c>
      <c r="F447" s="204">
        <v>335</v>
      </c>
      <c r="G447" s="205">
        <v>320</v>
      </c>
      <c r="H447" s="203">
        <v>340</v>
      </c>
      <c r="I447" s="204">
        <v>335</v>
      </c>
      <c r="J447" s="205">
        <v>320</v>
      </c>
      <c r="K447" s="203">
        <v>340</v>
      </c>
      <c r="L447" s="204">
        <v>335</v>
      </c>
      <c r="M447" s="205">
        <v>320</v>
      </c>
      <c r="N447" s="203">
        <v>340</v>
      </c>
      <c r="O447" s="204">
        <v>0</v>
      </c>
      <c r="P447" s="205">
        <v>0</v>
      </c>
      <c r="Q447" s="203">
        <v>0</v>
      </c>
      <c r="R447" s="204">
        <v>0</v>
      </c>
      <c r="S447" s="205">
        <v>0</v>
      </c>
      <c r="T447" s="203">
        <v>0</v>
      </c>
      <c r="U447" s="204">
        <v>0</v>
      </c>
      <c r="V447" s="205">
        <v>0</v>
      </c>
      <c r="W447" s="203">
        <v>0</v>
      </c>
      <c r="X447" s="204">
        <v>0</v>
      </c>
      <c r="Y447" s="205">
        <v>0</v>
      </c>
      <c r="Z447" s="203">
        <v>0</v>
      </c>
      <c r="AA447" s="204">
        <v>0</v>
      </c>
      <c r="AB447" s="205">
        <v>0</v>
      </c>
      <c r="AC447" s="203">
        <v>0</v>
      </c>
      <c r="AD447" s="204">
        <v>0</v>
      </c>
      <c r="AE447" s="205">
        <v>0</v>
      </c>
      <c r="AF447" s="203">
        <v>0</v>
      </c>
      <c r="AG447" s="204">
        <v>0</v>
      </c>
      <c r="AH447" s="206">
        <v>0</v>
      </c>
      <c r="AI447" s="207" t="s">
        <v>882</v>
      </c>
      <c r="AJ447" s="202" t="s">
        <v>2639</v>
      </c>
      <c r="AK447" s="208" t="s">
        <v>3889</v>
      </c>
      <c r="AL447" s="202" t="s">
        <v>12</v>
      </c>
      <c r="AM447" s="209">
        <v>1247</v>
      </c>
    </row>
    <row r="448" spans="1:39">
      <c r="A448" s="200" t="s">
        <v>423</v>
      </c>
      <c r="B448" s="239" t="s">
        <v>163</v>
      </c>
      <c r="C448" s="201" t="s">
        <v>881</v>
      </c>
      <c r="D448" s="237" t="s">
        <v>5109</v>
      </c>
      <c r="E448" s="203">
        <v>360</v>
      </c>
      <c r="F448" s="204">
        <v>355</v>
      </c>
      <c r="G448" s="205">
        <v>330</v>
      </c>
      <c r="H448" s="203">
        <v>360</v>
      </c>
      <c r="I448" s="204">
        <v>355</v>
      </c>
      <c r="J448" s="205">
        <v>330</v>
      </c>
      <c r="K448" s="203">
        <v>360</v>
      </c>
      <c r="L448" s="204">
        <v>355</v>
      </c>
      <c r="M448" s="205">
        <v>330</v>
      </c>
      <c r="N448" s="203">
        <v>360</v>
      </c>
      <c r="O448" s="204">
        <v>0</v>
      </c>
      <c r="P448" s="205">
        <v>0</v>
      </c>
      <c r="Q448" s="203">
        <v>0</v>
      </c>
      <c r="R448" s="204">
        <v>0</v>
      </c>
      <c r="S448" s="205">
        <v>0</v>
      </c>
      <c r="T448" s="203">
        <v>0</v>
      </c>
      <c r="U448" s="204">
        <v>0</v>
      </c>
      <c r="V448" s="205">
        <v>0</v>
      </c>
      <c r="W448" s="203">
        <v>0</v>
      </c>
      <c r="X448" s="204">
        <v>0</v>
      </c>
      <c r="Y448" s="205">
        <v>0</v>
      </c>
      <c r="Z448" s="203">
        <v>0</v>
      </c>
      <c r="AA448" s="204">
        <v>0</v>
      </c>
      <c r="AB448" s="205">
        <v>0</v>
      </c>
      <c r="AC448" s="203">
        <v>0</v>
      </c>
      <c r="AD448" s="204">
        <v>0</v>
      </c>
      <c r="AE448" s="205">
        <v>0</v>
      </c>
      <c r="AF448" s="203">
        <v>0</v>
      </c>
      <c r="AG448" s="204">
        <v>0</v>
      </c>
      <c r="AH448" s="206">
        <v>0</v>
      </c>
      <c r="AI448" s="207" t="s">
        <v>882</v>
      </c>
      <c r="AJ448" s="202" t="s">
        <v>2639</v>
      </c>
      <c r="AK448" s="208" t="s">
        <v>3889</v>
      </c>
      <c r="AL448" s="202" t="s">
        <v>12</v>
      </c>
      <c r="AM448" s="209">
        <v>1247</v>
      </c>
    </row>
    <row r="449" spans="1:39">
      <c r="A449" s="200" t="s">
        <v>423</v>
      </c>
      <c r="B449" s="239" t="s">
        <v>163</v>
      </c>
      <c r="C449" s="201" t="s">
        <v>881</v>
      </c>
      <c r="D449" s="237" t="s">
        <v>5110</v>
      </c>
      <c r="E449" s="203">
        <v>390</v>
      </c>
      <c r="F449" s="204">
        <v>370</v>
      </c>
      <c r="G449" s="205">
        <v>360</v>
      </c>
      <c r="H449" s="203">
        <v>390</v>
      </c>
      <c r="I449" s="204">
        <v>370</v>
      </c>
      <c r="J449" s="205">
        <v>360</v>
      </c>
      <c r="K449" s="203">
        <v>390</v>
      </c>
      <c r="L449" s="204">
        <v>370</v>
      </c>
      <c r="M449" s="205">
        <v>360</v>
      </c>
      <c r="N449" s="203">
        <v>390</v>
      </c>
      <c r="O449" s="204">
        <v>0</v>
      </c>
      <c r="P449" s="205">
        <v>0</v>
      </c>
      <c r="Q449" s="203">
        <v>0</v>
      </c>
      <c r="R449" s="204">
        <v>0</v>
      </c>
      <c r="S449" s="205">
        <v>0</v>
      </c>
      <c r="T449" s="203">
        <v>0</v>
      </c>
      <c r="U449" s="204">
        <v>0</v>
      </c>
      <c r="V449" s="205">
        <v>0</v>
      </c>
      <c r="W449" s="203">
        <v>0</v>
      </c>
      <c r="X449" s="204">
        <v>0</v>
      </c>
      <c r="Y449" s="205">
        <v>0</v>
      </c>
      <c r="Z449" s="203">
        <v>0</v>
      </c>
      <c r="AA449" s="204">
        <v>0</v>
      </c>
      <c r="AB449" s="205">
        <v>0</v>
      </c>
      <c r="AC449" s="203">
        <v>0</v>
      </c>
      <c r="AD449" s="204">
        <v>0</v>
      </c>
      <c r="AE449" s="205">
        <v>0</v>
      </c>
      <c r="AF449" s="203">
        <v>0</v>
      </c>
      <c r="AG449" s="204">
        <v>0</v>
      </c>
      <c r="AH449" s="206">
        <v>0</v>
      </c>
      <c r="AI449" s="207" t="s">
        <v>882</v>
      </c>
      <c r="AJ449" s="202" t="s">
        <v>2639</v>
      </c>
      <c r="AK449" s="208" t="s">
        <v>3889</v>
      </c>
      <c r="AL449" s="202" t="s">
        <v>12</v>
      </c>
      <c r="AM449" s="209">
        <v>1247</v>
      </c>
    </row>
    <row r="450" spans="1:39">
      <c r="A450" s="200" t="s">
        <v>423</v>
      </c>
      <c r="B450" s="239" t="s">
        <v>163</v>
      </c>
      <c r="C450" s="201" t="s">
        <v>881</v>
      </c>
      <c r="D450" s="237" t="s">
        <v>5111</v>
      </c>
      <c r="E450" s="203">
        <v>395</v>
      </c>
      <c r="F450" s="204">
        <v>370</v>
      </c>
      <c r="G450" s="205">
        <v>360</v>
      </c>
      <c r="H450" s="203">
        <v>395</v>
      </c>
      <c r="I450" s="204">
        <v>370</v>
      </c>
      <c r="J450" s="205">
        <v>360</v>
      </c>
      <c r="K450" s="203">
        <v>395</v>
      </c>
      <c r="L450" s="204">
        <v>370</v>
      </c>
      <c r="M450" s="205">
        <v>360</v>
      </c>
      <c r="N450" s="203">
        <v>395</v>
      </c>
      <c r="O450" s="204">
        <v>0</v>
      </c>
      <c r="P450" s="205">
        <v>0</v>
      </c>
      <c r="Q450" s="203">
        <v>0</v>
      </c>
      <c r="R450" s="204">
        <v>0</v>
      </c>
      <c r="S450" s="205">
        <v>0</v>
      </c>
      <c r="T450" s="203">
        <v>0</v>
      </c>
      <c r="U450" s="204">
        <v>0</v>
      </c>
      <c r="V450" s="205">
        <v>0</v>
      </c>
      <c r="W450" s="203">
        <v>0</v>
      </c>
      <c r="X450" s="204">
        <v>0</v>
      </c>
      <c r="Y450" s="205">
        <v>0</v>
      </c>
      <c r="Z450" s="203">
        <v>0</v>
      </c>
      <c r="AA450" s="204">
        <v>0</v>
      </c>
      <c r="AB450" s="205">
        <v>0</v>
      </c>
      <c r="AC450" s="203">
        <v>0</v>
      </c>
      <c r="AD450" s="204">
        <v>0</v>
      </c>
      <c r="AE450" s="205">
        <v>0</v>
      </c>
      <c r="AF450" s="203">
        <v>0</v>
      </c>
      <c r="AG450" s="204">
        <v>0</v>
      </c>
      <c r="AH450" s="206">
        <v>0</v>
      </c>
      <c r="AI450" s="207" t="s">
        <v>882</v>
      </c>
      <c r="AJ450" s="202" t="s">
        <v>2639</v>
      </c>
      <c r="AK450" s="208" t="s">
        <v>3889</v>
      </c>
      <c r="AL450" s="202" t="s">
        <v>12</v>
      </c>
      <c r="AM450" s="209">
        <v>1247</v>
      </c>
    </row>
    <row r="451" spans="1:39">
      <c r="A451" s="200" t="s">
        <v>309</v>
      </c>
      <c r="B451" s="239" t="s">
        <v>163</v>
      </c>
      <c r="C451" s="201" t="s">
        <v>1625</v>
      </c>
      <c r="D451" s="237" t="s">
        <v>1627</v>
      </c>
      <c r="E451" s="203">
        <v>102.96</v>
      </c>
      <c r="F451" s="204">
        <v>102.96</v>
      </c>
      <c r="G451" s="205">
        <v>102.96</v>
      </c>
      <c r="H451" s="203">
        <v>102.96</v>
      </c>
      <c r="I451" s="204">
        <v>121</v>
      </c>
      <c r="J451" s="205">
        <v>102.96</v>
      </c>
      <c r="K451" s="203">
        <v>102.96</v>
      </c>
      <c r="L451" s="204">
        <v>102.96</v>
      </c>
      <c r="M451" s="205">
        <v>102.96</v>
      </c>
      <c r="N451" s="203">
        <v>102.96</v>
      </c>
      <c r="O451" s="204">
        <v>102.96</v>
      </c>
      <c r="P451" s="205">
        <v>102.96</v>
      </c>
      <c r="Q451" s="203">
        <v>102.96</v>
      </c>
      <c r="R451" s="204">
        <v>102.96</v>
      </c>
      <c r="S451" s="205">
        <v>102.96</v>
      </c>
      <c r="T451" s="203">
        <v>102.96</v>
      </c>
      <c r="U451" s="204">
        <v>102.96</v>
      </c>
      <c r="V451" s="205">
        <v>102.96</v>
      </c>
      <c r="W451" s="203">
        <v>102.96</v>
      </c>
      <c r="X451" s="204">
        <v>102.96</v>
      </c>
      <c r="Y451" s="205">
        <v>102.96</v>
      </c>
      <c r="Z451" s="203">
        <v>102.96</v>
      </c>
      <c r="AA451" s="204">
        <v>102.96</v>
      </c>
      <c r="AB451" s="205">
        <v>102.96</v>
      </c>
      <c r="AC451" s="203">
        <v>102.96</v>
      </c>
      <c r="AD451" s="204">
        <v>102.96</v>
      </c>
      <c r="AE451" s="205">
        <v>102.96</v>
      </c>
      <c r="AF451" s="203">
        <v>102.96</v>
      </c>
      <c r="AG451" s="204">
        <v>102.96</v>
      </c>
      <c r="AH451" s="206">
        <v>102.96</v>
      </c>
      <c r="AI451" s="207" t="s">
        <v>1626</v>
      </c>
      <c r="AJ451" s="202" t="s">
        <v>2491</v>
      </c>
      <c r="AK451" s="208" t="s">
        <v>2477</v>
      </c>
      <c r="AL451" s="202" t="s">
        <v>2479</v>
      </c>
      <c r="AM451" s="209">
        <v>1599</v>
      </c>
    </row>
    <row r="452" spans="1:39">
      <c r="A452" s="200" t="s">
        <v>423</v>
      </c>
      <c r="B452" s="239" t="s">
        <v>163</v>
      </c>
      <c r="C452" s="201" t="s">
        <v>1602</v>
      </c>
      <c r="D452" s="237" t="s">
        <v>1604</v>
      </c>
      <c r="E452" s="203">
        <v>81</v>
      </c>
      <c r="F452" s="204">
        <v>81</v>
      </c>
      <c r="G452" s="205">
        <v>79.2</v>
      </c>
      <c r="H452" s="203">
        <v>81</v>
      </c>
      <c r="I452" s="204">
        <v>81</v>
      </c>
      <c r="J452" s="205">
        <v>79.2</v>
      </c>
      <c r="K452" s="203">
        <v>81</v>
      </c>
      <c r="L452" s="204">
        <v>81</v>
      </c>
      <c r="M452" s="205">
        <v>79.2</v>
      </c>
      <c r="N452" s="203">
        <v>81</v>
      </c>
      <c r="O452" s="204">
        <v>81</v>
      </c>
      <c r="P452" s="205">
        <v>79.2</v>
      </c>
      <c r="Q452" s="203">
        <v>81</v>
      </c>
      <c r="R452" s="204">
        <v>81</v>
      </c>
      <c r="S452" s="205">
        <v>79.2</v>
      </c>
      <c r="T452" s="203">
        <v>81</v>
      </c>
      <c r="U452" s="204">
        <v>81</v>
      </c>
      <c r="V452" s="205">
        <v>79.2</v>
      </c>
      <c r="W452" s="203">
        <v>81</v>
      </c>
      <c r="X452" s="204">
        <v>81</v>
      </c>
      <c r="Y452" s="205">
        <v>79.2</v>
      </c>
      <c r="Z452" s="203">
        <v>81</v>
      </c>
      <c r="AA452" s="204">
        <v>81</v>
      </c>
      <c r="AB452" s="205">
        <v>79.2</v>
      </c>
      <c r="AC452" s="203">
        <v>81</v>
      </c>
      <c r="AD452" s="204">
        <v>81</v>
      </c>
      <c r="AE452" s="205">
        <v>79.2</v>
      </c>
      <c r="AF452" s="203">
        <v>81</v>
      </c>
      <c r="AG452" s="204">
        <v>81</v>
      </c>
      <c r="AH452" s="206">
        <v>79.2</v>
      </c>
      <c r="AI452" s="207" t="s">
        <v>1603</v>
      </c>
      <c r="AJ452" s="202" t="s">
        <v>2491</v>
      </c>
      <c r="AK452" s="208" t="s">
        <v>2477</v>
      </c>
      <c r="AL452" s="202" t="s">
        <v>2479</v>
      </c>
      <c r="AM452" s="209">
        <v>1423</v>
      </c>
    </row>
    <row r="453" spans="1:39">
      <c r="A453" s="200" t="s">
        <v>423</v>
      </c>
      <c r="B453" s="239" t="s">
        <v>163</v>
      </c>
      <c r="C453" s="201" t="s">
        <v>1507</v>
      </c>
      <c r="D453" s="237" t="s">
        <v>1509</v>
      </c>
      <c r="E453" s="203">
        <v>144.4</v>
      </c>
      <c r="F453" s="204">
        <v>127.3</v>
      </c>
      <c r="G453" s="205">
        <v>102.6</v>
      </c>
      <c r="H453" s="203">
        <v>144.4</v>
      </c>
      <c r="I453" s="204">
        <v>127.3</v>
      </c>
      <c r="J453" s="205">
        <v>102.6</v>
      </c>
      <c r="K453" s="203">
        <v>144.4</v>
      </c>
      <c r="L453" s="204">
        <v>127.3</v>
      </c>
      <c r="M453" s="205">
        <v>102.6</v>
      </c>
      <c r="N453" s="203">
        <v>144.4</v>
      </c>
      <c r="O453" s="204">
        <v>127.3</v>
      </c>
      <c r="P453" s="205">
        <v>102.6</v>
      </c>
      <c r="Q453" s="203">
        <v>144.4</v>
      </c>
      <c r="R453" s="204">
        <v>127.3</v>
      </c>
      <c r="S453" s="205">
        <v>102.6</v>
      </c>
      <c r="T453" s="203">
        <v>144.4</v>
      </c>
      <c r="U453" s="204">
        <v>127.3</v>
      </c>
      <c r="V453" s="205">
        <v>102.6</v>
      </c>
      <c r="W453" s="203">
        <v>144.4</v>
      </c>
      <c r="X453" s="204">
        <v>127.3</v>
      </c>
      <c r="Y453" s="205">
        <v>102.6</v>
      </c>
      <c r="Z453" s="203">
        <v>144.4</v>
      </c>
      <c r="AA453" s="204">
        <v>127.3</v>
      </c>
      <c r="AB453" s="205">
        <v>102.6</v>
      </c>
      <c r="AC453" s="203">
        <v>144.4</v>
      </c>
      <c r="AD453" s="204">
        <v>127.3</v>
      </c>
      <c r="AE453" s="205">
        <v>102.6</v>
      </c>
      <c r="AF453" s="203">
        <v>144.4</v>
      </c>
      <c r="AG453" s="204">
        <v>127.3</v>
      </c>
      <c r="AH453" s="206">
        <v>102.6</v>
      </c>
      <c r="AI453" s="207" t="s">
        <v>1508</v>
      </c>
      <c r="AJ453" s="202" t="s">
        <v>2485</v>
      </c>
      <c r="AK453" s="208" t="s">
        <v>2486</v>
      </c>
      <c r="AL453" s="202" t="s">
        <v>17</v>
      </c>
      <c r="AM453" s="209">
        <v>1114</v>
      </c>
    </row>
    <row r="454" spans="1:39">
      <c r="A454" t="s">
        <v>5184</v>
      </c>
    </row>
  </sheetData>
  <sheetProtection algorithmName="SHA-512" hashValue="YQG1R9qE/GlAZixbW7RYFe5+tn/gCUY6ENmNU1lHkRXeazP8IF2zbeDFKTdRO3dVRxL6LIde8MnxwGgkhd9/9A==" saltValue="mbM9D7tQFungTj+8ZcVqbA==" spinCount="100000" sheet="1" sort="0" autoFilter="0" pivotTables="0"/>
  <conditionalFormatting sqref="A8 C8:AM8">
    <cfRule type="expression" dxfId="80" priority="32">
      <formula>$C8&lt;&gt;OFFSET($C8,-1,0,1,1)</formula>
    </cfRule>
  </conditionalFormatting>
  <conditionalFormatting sqref="A212 C212 E212:AM212">
    <cfRule type="expression" dxfId="79" priority="12">
      <formula>$C212&lt;&gt;OFFSET($C212,-1,0,1,1)</formula>
    </cfRule>
  </conditionalFormatting>
  <conditionalFormatting sqref="A212 E212:AM212">
    <cfRule type="expression" dxfId="78" priority="14">
      <formula>AND(ISNUMBER(SEARCH("Summer Typical",#REF!,1)),$A212="TAS1")</formula>
    </cfRule>
  </conditionalFormatting>
  <conditionalFormatting sqref="A5:B7 A9:B211">
    <cfRule type="expression" dxfId="77" priority="85">
      <formula>AND(ISNUMBER(SEARCH("Summer Typical",#REF!,1)),$A5="TAS1")</formula>
    </cfRule>
  </conditionalFormatting>
  <conditionalFormatting sqref="A213:B453 D213:AM453">
    <cfRule type="expression" dxfId="76" priority="20">
      <formula>AND(ISNUMBER(SEARCH("Summer Typical",#REF!,1)),$A213="TAS1")</formula>
    </cfRule>
  </conditionalFormatting>
  <conditionalFormatting sqref="A5:C7 AI5:AM7 A9:C211 AI9:AM211 A213:C254 AI213:AM254 A256:C453 AI256:AM453">
    <cfRule type="expression" dxfId="75" priority="81">
      <formula>AND($C5=OFFSET($C5,-1,0,1,1),A5=OFFSET(A5,-1,0,1,1))</formula>
    </cfRule>
  </conditionalFormatting>
  <conditionalFormatting sqref="A255:C255 AI255:AM255">
    <cfRule type="expression" dxfId="74" priority="17">
      <formula>AND($C255=OFFSET($C255,-1,0,1,1),A255=OFFSET(A255,-1,0,1,1))</formula>
    </cfRule>
  </conditionalFormatting>
  <conditionalFormatting sqref="A5:AM7 A9:AM211 A213:AM254 A256:AM453">
    <cfRule type="expression" dxfId="73" priority="83">
      <formula>$C5&lt;&gt;OFFSET($C5,-1,0,1,1)</formula>
    </cfRule>
  </conditionalFormatting>
  <conditionalFormatting sqref="A255:AM255">
    <cfRule type="expression" dxfId="72" priority="18">
      <formula>$C255&lt;&gt;OFFSET($C255,-1,0,1,1)</formula>
    </cfRule>
  </conditionalFormatting>
  <conditionalFormatting sqref="B8">
    <cfRule type="expression" dxfId="71" priority="25">
      <formula>$B8="Project"</formula>
    </cfRule>
    <cfRule type="expression" dxfId="70" priority="26">
      <formula>AND($C8=OFFSET($C8,-1,0,1,1),B8=OFFSET(B8,-1,0,1,1))</formula>
    </cfRule>
    <cfRule type="expression" dxfId="69" priority="27">
      <formula>$C8&lt;&gt;OFFSET($C8,-1,0,1,1)</formula>
    </cfRule>
    <cfRule type="expression" dxfId="68" priority="28">
      <formula>AND(ISNUMBER(SEARCH("Summer Typical",#REF!,1)),$A8="TAS1")</formula>
    </cfRule>
  </conditionalFormatting>
  <conditionalFormatting sqref="B212">
    <cfRule type="expression" dxfId="67" priority="2">
      <formula>AND($C212=OFFSET($C212,-1,0,1,1),B212=OFFSET(B212,-1,0,1,1))</formula>
    </cfRule>
    <cfRule type="expression" dxfId="66" priority="3">
      <formula>$C212&lt;&gt;OFFSET($C212,-1,0,1,1)</formula>
    </cfRule>
    <cfRule type="expression" dxfId="65" priority="4">
      <formula>AND(ISNUMBER(SEARCH("Summer Typical",#REF!,1)),$A212="TAS1")</formula>
    </cfRule>
    <cfRule type="expression" dxfId="64" priority="1">
      <formula>$B212="Project"</formula>
    </cfRule>
  </conditionalFormatting>
  <conditionalFormatting sqref="B5:AM7 B9:AM211 B213:AM254 B256:AM453">
    <cfRule type="expression" dxfId="63" priority="80">
      <formula>$B5="Project"</formula>
    </cfRule>
  </conditionalFormatting>
  <conditionalFormatting sqref="B255:AM255">
    <cfRule type="expression" dxfId="62" priority="16">
      <formula>$B255="Project"</formula>
    </cfRule>
  </conditionalFormatting>
  <conditionalFormatting sqref="C5:C453">
    <cfRule type="expression" dxfId="61" priority="76">
      <formula>$C5&lt;&gt;OFFSET($C5,-1,0,1,1)</formula>
    </cfRule>
    <cfRule type="expression" dxfId="60" priority="77">
      <formula>$C5=OFFSET($C5,-1,0,1,1)</formula>
    </cfRule>
    <cfRule type="expression" dxfId="59" priority="78">
      <formula>$B5="Project"</formula>
    </cfRule>
  </conditionalFormatting>
  <conditionalFormatting sqref="C8 AI8:AM8 A8">
    <cfRule type="expression" dxfId="58" priority="31">
      <formula>AND($C8=OFFSET($C8,-1,0,1,1),A8=OFFSET(A8,-1,0,1,1))</formula>
    </cfRule>
  </conditionalFormatting>
  <conditionalFormatting sqref="C212 AI212:AM212 A212">
    <cfRule type="expression" dxfId="57" priority="11">
      <formula>AND($C212=OFFSET($C212,-1,0,1,1),A212=OFFSET(A212,-1,0,1,1))</formula>
    </cfRule>
  </conditionalFormatting>
  <conditionalFormatting sqref="C8:AM8">
    <cfRule type="expression" dxfId="56" priority="30">
      <formula>$B8="Project"</formula>
    </cfRule>
  </conditionalFormatting>
  <conditionalFormatting sqref="D212">
    <cfRule type="expression" dxfId="55" priority="5">
      <formula>$B212="Project"</formula>
    </cfRule>
    <cfRule type="expression" dxfId="54" priority="6">
      <formula>$C212&lt;&gt;OFFSET($C212,-1,0,1,1)</formula>
    </cfRule>
    <cfRule type="expression" dxfId="53" priority="7">
      <formula>AND($C212=OFFSET($C212,-1,0,1,1),$D212&lt;&gt;OFFSET($D212,-1,0,1,1))</formula>
    </cfRule>
    <cfRule type="expression" dxfId="52" priority="8">
      <formula>AND(ISNUMBER(SEARCH("Summer Typical",#REF!,1)),$A212="TAS1")</formula>
    </cfRule>
  </conditionalFormatting>
  <conditionalFormatting sqref="D5:AM7 D9:AM211 D213:AM254 D256:AM453">
    <cfRule type="expression" dxfId="51" priority="84">
      <formula>AND($C5=OFFSET($C5,-1,0,1,1),$D5&lt;&gt;OFFSET($D5,-1,0,1,1))</formula>
    </cfRule>
  </conditionalFormatting>
  <conditionalFormatting sqref="D5:AM211 A8">
    <cfRule type="expression" dxfId="50" priority="34">
      <formula>AND(ISNUMBER(SEARCH("Summer Typical",#REF!,1)),$A5="TAS1")</formula>
    </cfRule>
  </conditionalFormatting>
  <conditionalFormatting sqref="D8:AM8">
    <cfRule type="expression" dxfId="49" priority="33">
      <formula>AND($C8=OFFSET($C8,-1,0,1,1),$D8&lt;&gt;OFFSET($D8,-1,0,1,1))</formula>
    </cfRule>
  </conditionalFormatting>
  <conditionalFormatting sqref="D255:AM255">
    <cfRule type="expression" dxfId="48" priority="19">
      <formula>AND($C255=OFFSET($C255,-1,0,1,1),$D255&lt;&gt;OFFSET($D255,-1,0,1,1))</formula>
    </cfRule>
  </conditionalFormatting>
  <conditionalFormatting sqref="E5:AH453 AM5:AM453">
    <cfRule type="expression" dxfId="47" priority="82">
      <formula>MOD(E5,1)=0</formula>
    </cfRule>
  </conditionalFormatting>
  <conditionalFormatting sqref="E5:AH453">
    <cfRule type="expression" dxfId="46" priority="9">
      <formula>AND($C5=OFFSET($C5,-1,0,1,1),$D5=OFFSET($D5,-1,0,1,1),E5=OFFSET(E5,-1,0,1,1))</formula>
    </cfRule>
  </conditionalFormatting>
  <conditionalFormatting sqref="E212:AM212 C212">
    <cfRule type="expression" dxfId="45" priority="10">
      <formula>$B212="Project"</formula>
    </cfRule>
  </conditionalFormatting>
  <conditionalFormatting sqref="E212:AM212">
    <cfRule type="expression" dxfId="44" priority="13">
      <formula>AND($C212=OFFSET($C212,-1,0,1,1),$D212&lt;&gt;OFFSET($D212,-1,0,1,1))</formula>
    </cfRule>
  </conditionalFormatting>
  <pageMargins left="0.7" right="0.7" top="0.75" bottom="0.75" header="0.3" footer="0.3"/>
  <pageSetup paperSize="9" orientation="portrait" verticalDpi="90" r:id="rId1"/>
  <tableParts count="1">
    <tablePart r:id="rId2"/>
  </tableParts>
  <extLst>
    <ext xmlns:x14="http://schemas.microsoft.com/office/spreadsheetml/2009/9/main" uri="{05C60535-1F16-4fd2-B633-F4F36F0B64E0}">
      <x14:sparklineGroups xmlns:xm="http://schemas.microsoft.com/office/excel/2006/main">
        <x14:sparklineGroup manualMax="0" manualMin="0" displayEmptyCellsAs="gap" xr2:uid="{0D0CEB10-A9DD-4271-B256-60B64325AF94}">
          <x14:colorSeries rgb="FF376092"/>
          <x14:colorNegative rgb="FFD00000"/>
          <x14:colorAxis rgb="FF000000"/>
          <x14:colorMarkers rgb="FFD00000"/>
          <x14:colorFirst rgb="FFD00000"/>
          <x14:colorLast rgb="FFD00000"/>
          <x14:colorHigh rgb="FFD00000"/>
          <x14:colorLow rgb="FFD00000"/>
          <x14:sparklines>
            <x14:sparkline>
              <xm:sqref>C1</xm:sqref>
            </x14:sparkline>
            <x14:sparkline>
              <xm:sqref>C2</xm:sqref>
            </x14:sparkline>
            <x14:sparkline>
              <xm:sqref>C3</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29EB6-EE28-447F-B3BA-B3048B520136}">
  <sheetPr codeName="Sheet5"/>
  <dimension ref="A1:L253"/>
  <sheetViews>
    <sheetView zoomScaleNormal="100" workbookViewId="0">
      <pane ySplit="1" topLeftCell="A2" activePane="bottomLeft" state="frozen"/>
      <selection pane="bottomLeft" activeCell="A9" sqref="A9"/>
    </sheetView>
  </sheetViews>
  <sheetFormatPr defaultColWidth="9.3828125" defaultRowHeight="14.6"/>
  <cols>
    <col min="1" max="1" width="40.3828125" style="2" bestFit="1" customWidth="1"/>
    <col min="2" max="2" width="48.53515625" style="2" bestFit="1" customWidth="1"/>
    <col min="3" max="3" width="11.53515625" style="2" customWidth="1"/>
    <col min="4" max="16384" width="9.3828125" style="2"/>
  </cols>
  <sheetData>
    <row r="1" spans="1:3" ht="30.9">
      <c r="A1" s="8" t="s">
        <v>5185</v>
      </c>
      <c r="B1" s="8" t="s">
        <v>5186</v>
      </c>
      <c r="C1" s="101" t="s">
        <v>5187</v>
      </c>
    </row>
    <row r="2" spans="1:3">
      <c r="A2" s="130" t="s">
        <v>1162</v>
      </c>
      <c r="B2" s="102" t="s">
        <v>2471</v>
      </c>
      <c r="C2" s="105">
        <v>45961</v>
      </c>
    </row>
    <row r="3" spans="1:3">
      <c r="A3" s="130" t="s">
        <v>5188</v>
      </c>
      <c r="B3" s="102" t="s">
        <v>2665</v>
      </c>
      <c r="C3" s="105">
        <v>45961</v>
      </c>
    </row>
    <row r="4" spans="1:3">
      <c r="A4" s="130" t="s">
        <v>5189</v>
      </c>
      <c r="B4" s="102" t="s">
        <v>2665</v>
      </c>
      <c r="C4" s="105">
        <v>45961</v>
      </c>
    </row>
    <row r="5" spans="1:3">
      <c r="A5" s="130" t="s">
        <v>5190</v>
      </c>
      <c r="B5" s="102" t="s">
        <v>2837</v>
      </c>
      <c r="C5" s="105">
        <v>45961</v>
      </c>
    </row>
    <row r="6" spans="1:3">
      <c r="A6" s="130" t="s">
        <v>5191</v>
      </c>
      <c r="B6" s="102" t="s">
        <v>3195</v>
      </c>
      <c r="C6" s="105">
        <v>45961</v>
      </c>
    </row>
    <row r="7" spans="1:3">
      <c r="A7" s="130" t="s">
        <v>5192</v>
      </c>
      <c r="B7" s="102" t="s">
        <v>3195</v>
      </c>
      <c r="C7" s="105">
        <v>45961</v>
      </c>
    </row>
    <row r="8" spans="1:3">
      <c r="A8" s="130" t="s">
        <v>5193</v>
      </c>
      <c r="B8" s="102" t="s">
        <v>3443</v>
      </c>
      <c r="C8" s="105">
        <v>45961</v>
      </c>
    </row>
    <row r="9" spans="1:3">
      <c r="A9" s="130" t="s">
        <v>5194</v>
      </c>
      <c r="B9" s="102" t="s">
        <v>403</v>
      </c>
      <c r="C9" s="105">
        <v>45961</v>
      </c>
    </row>
    <row r="10" spans="1:3">
      <c r="A10" s="130" t="s">
        <v>5195</v>
      </c>
      <c r="B10" s="102" t="s">
        <v>3503</v>
      </c>
      <c r="C10" s="105">
        <v>45961</v>
      </c>
    </row>
    <row r="11" spans="1:3">
      <c r="A11" s="130" t="s">
        <v>5196</v>
      </c>
      <c r="B11" s="102" t="s">
        <v>3710</v>
      </c>
      <c r="C11" s="105">
        <v>45961</v>
      </c>
    </row>
    <row r="12" spans="1:3">
      <c r="A12" s="130" t="s">
        <v>5197</v>
      </c>
      <c r="B12" s="102" t="s">
        <v>3749</v>
      </c>
      <c r="C12" s="105">
        <v>45961</v>
      </c>
    </row>
    <row r="13" spans="1:3">
      <c r="A13" s="130" t="s">
        <v>5198</v>
      </c>
      <c r="B13" s="102" t="s">
        <v>3784</v>
      </c>
      <c r="C13" s="105">
        <v>45961</v>
      </c>
    </row>
    <row r="14" spans="1:3">
      <c r="A14" s="130" t="s">
        <v>5199</v>
      </c>
      <c r="B14" s="102" t="s">
        <v>344</v>
      </c>
      <c r="C14" s="105">
        <v>45961</v>
      </c>
    </row>
    <row r="15" spans="1:3">
      <c r="A15" s="130" t="s">
        <v>5200</v>
      </c>
      <c r="B15" s="102" t="s">
        <v>3923</v>
      </c>
      <c r="C15" s="105">
        <v>45961</v>
      </c>
    </row>
    <row r="16" spans="1:3">
      <c r="A16" s="130" t="s">
        <v>1199</v>
      </c>
      <c r="B16" s="102" t="s">
        <v>474</v>
      </c>
      <c r="C16" s="105">
        <v>45961</v>
      </c>
    </row>
    <row r="17" spans="1:10">
      <c r="A17" s="130" t="s">
        <v>1199</v>
      </c>
      <c r="B17" s="102" t="s">
        <v>477</v>
      </c>
      <c r="C17" s="105">
        <v>45961</v>
      </c>
    </row>
    <row r="18" spans="1:10">
      <c r="A18" s="130" t="s">
        <v>1199</v>
      </c>
      <c r="B18" s="102" t="s">
        <v>480</v>
      </c>
      <c r="C18" s="105">
        <v>45961</v>
      </c>
    </row>
    <row r="19" spans="1:10">
      <c r="A19" s="130" t="s">
        <v>5201</v>
      </c>
      <c r="B19" s="102" t="s">
        <v>483</v>
      </c>
      <c r="C19" s="105">
        <v>45961</v>
      </c>
    </row>
    <row r="20" spans="1:10">
      <c r="A20" s="130" t="s">
        <v>5202</v>
      </c>
      <c r="B20" s="102" t="s">
        <v>4059</v>
      </c>
      <c r="C20" s="105">
        <v>45961</v>
      </c>
    </row>
    <row r="21" spans="1:10">
      <c r="A21" s="130" t="s">
        <v>5203</v>
      </c>
      <c r="B21" s="102" t="s">
        <v>4121</v>
      </c>
      <c r="C21" s="105">
        <v>45961</v>
      </c>
    </row>
    <row r="22" spans="1:10">
      <c r="A22" s="130" t="s">
        <v>5204</v>
      </c>
      <c r="B22" s="102" t="s">
        <v>5205</v>
      </c>
      <c r="C22" s="105">
        <v>45961</v>
      </c>
    </row>
    <row r="23" spans="1:10">
      <c r="A23" s="130" t="s">
        <v>5206</v>
      </c>
      <c r="B23" s="102" t="s">
        <v>4554</v>
      </c>
      <c r="C23" s="105">
        <v>45961</v>
      </c>
      <c r="J23" s="3"/>
    </row>
    <row r="24" spans="1:10">
      <c r="A24" s="130" t="s">
        <v>5207</v>
      </c>
      <c r="B24" s="102" t="s">
        <v>4672</v>
      </c>
      <c r="C24" s="105">
        <v>45961</v>
      </c>
    </row>
    <row r="25" spans="1:10">
      <c r="A25" s="130" t="s">
        <v>542</v>
      </c>
      <c r="B25" s="102" t="s">
        <v>4681</v>
      </c>
      <c r="C25" s="105">
        <v>45961</v>
      </c>
    </row>
    <row r="26" spans="1:10">
      <c r="A26" s="130" t="s">
        <v>542</v>
      </c>
      <c r="B26" s="102" t="s">
        <v>4683</v>
      </c>
      <c r="C26" s="105">
        <v>45961</v>
      </c>
    </row>
    <row r="27" spans="1:10">
      <c r="A27" s="130" t="s">
        <v>542</v>
      </c>
      <c r="B27" s="102" t="s">
        <v>4684</v>
      </c>
      <c r="C27" s="105">
        <v>45961</v>
      </c>
    </row>
    <row r="28" spans="1:10">
      <c r="A28" s="130" t="s">
        <v>5208</v>
      </c>
      <c r="B28" s="102" t="s">
        <v>4704</v>
      </c>
      <c r="C28" s="105">
        <v>45961</v>
      </c>
    </row>
    <row r="29" spans="1:10">
      <c r="A29" s="130" t="s">
        <v>1951</v>
      </c>
      <c r="B29" s="102" t="s">
        <v>4811</v>
      </c>
      <c r="C29" s="105">
        <v>45961</v>
      </c>
    </row>
    <row r="30" spans="1:10">
      <c r="A30" s="130" t="s">
        <v>4965</v>
      </c>
      <c r="B30" s="102" t="s">
        <v>4964</v>
      </c>
      <c r="C30" s="105">
        <v>45961</v>
      </c>
    </row>
    <row r="31" spans="1:10">
      <c r="A31" s="130" t="s">
        <v>5209</v>
      </c>
      <c r="B31" s="102" t="s">
        <v>2521</v>
      </c>
      <c r="C31" s="105">
        <v>45853</v>
      </c>
    </row>
    <row r="32" spans="1:10">
      <c r="A32" s="130" t="s">
        <v>5210</v>
      </c>
      <c r="B32" s="102" t="s">
        <v>3117</v>
      </c>
      <c r="C32" s="105">
        <v>45853</v>
      </c>
    </row>
    <row r="33" spans="1:9">
      <c r="A33" s="130" t="s">
        <v>5211</v>
      </c>
      <c r="B33" s="102" t="s">
        <v>3191</v>
      </c>
      <c r="C33" s="105">
        <v>45853</v>
      </c>
      <c r="I33" s="3"/>
    </row>
    <row r="34" spans="1:9">
      <c r="A34" s="130" t="s">
        <v>5212</v>
      </c>
      <c r="B34" s="102" t="s">
        <v>3284</v>
      </c>
      <c r="C34" s="105">
        <v>45853</v>
      </c>
    </row>
    <row r="35" spans="1:9">
      <c r="A35" s="130" t="s">
        <v>5213</v>
      </c>
      <c r="B35" s="102" t="s">
        <v>3287</v>
      </c>
      <c r="C35" s="105">
        <v>45853</v>
      </c>
    </row>
    <row r="36" spans="1:9">
      <c r="A36" s="130" t="s">
        <v>5214</v>
      </c>
      <c r="B36" s="102" t="s">
        <v>3287</v>
      </c>
      <c r="C36" s="105">
        <v>45853</v>
      </c>
    </row>
    <row r="37" spans="1:9">
      <c r="A37" s="130" t="s">
        <v>5215</v>
      </c>
      <c r="B37" s="102" t="s">
        <v>3290</v>
      </c>
      <c r="C37" s="105">
        <v>45853</v>
      </c>
    </row>
    <row r="38" spans="1:9">
      <c r="A38" s="130" t="s">
        <v>5216</v>
      </c>
      <c r="B38" s="102" t="s">
        <v>3333</v>
      </c>
      <c r="C38" s="105">
        <v>45853</v>
      </c>
    </row>
    <row r="39" spans="1:9">
      <c r="A39" s="130" t="s">
        <v>572</v>
      </c>
      <c r="B39" s="102" t="s">
        <v>443</v>
      </c>
      <c r="C39" s="105">
        <v>45853</v>
      </c>
    </row>
    <row r="40" spans="1:9">
      <c r="A40" s="130" t="s">
        <v>962</v>
      </c>
      <c r="B40" s="102" t="s">
        <v>3368</v>
      </c>
      <c r="C40" s="105">
        <v>45853</v>
      </c>
    </row>
    <row r="41" spans="1:9">
      <c r="A41" s="130" t="s">
        <v>5217</v>
      </c>
      <c r="B41" s="102" t="s">
        <v>3559</v>
      </c>
      <c r="C41" s="105">
        <v>45853</v>
      </c>
    </row>
    <row r="42" spans="1:9">
      <c r="A42" s="130" t="s">
        <v>5218</v>
      </c>
      <c r="B42" s="102" t="s">
        <v>3716</v>
      </c>
      <c r="C42" s="105">
        <v>45853</v>
      </c>
    </row>
    <row r="43" spans="1:9">
      <c r="A43" s="130" t="s">
        <v>3923</v>
      </c>
      <c r="B43" s="102" t="s">
        <v>5200</v>
      </c>
      <c r="C43" s="105">
        <v>45853</v>
      </c>
    </row>
    <row r="44" spans="1:9">
      <c r="A44" s="130" t="s">
        <v>5219</v>
      </c>
      <c r="B44" s="102" t="s">
        <v>4008</v>
      </c>
      <c r="C44" s="105">
        <v>45853</v>
      </c>
    </row>
    <row r="45" spans="1:9">
      <c r="A45" s="130" t="s">
        <v>5220</v>
      </c>
      <c r="B45" s="102" t="s">
        <v>4013</v>
      </c>
      <c r="C45" s="105">
        <v>45853</v>
      </c>
    </row>
    <row r="46" spans="1:9">
      <c r="A46" s="130" t="s">
        <v>5221</v>
      </c>
      <c r="B46" s="102" t="s">
        <v>4039</v>
      </c>
      <c r="C46" s="105">
        <v>45853</v>
      </c>
    </row>
    <row r="47" spans="1:9">
      <c r="A47" s="130" t="s">
        <v>5222</v>
      </c>
      <c r="B47" s="102" t="s">
        <v>4042</v>
      </c>
      <c r="C47" s="105">
        <v>45853</v>
      </c>
    </row>
    <row r="48" spans="1:9">
      <c r="A48" s="130" t="s">
        <v>822</v>
      </c>
      <c r="B48" s="102" t="s">
        <v>5201</v>
      </c>
      <c r="C48" s="105">
        <v>45853</v>
      </c>
    </row>
    <row r="49" spans="1:3">
      <c r="A49" s="130" t="s">
        <v>909</v>
      </c>
      <c r="B49" s="102" t="s">
        <v>4417</v>
      </c>
      <c r="C49" s="105">
        <v>45853</v>
      </c>
    </row>
    <row r="50" spans="1:3">
      <c r="A50" s="130" t="s">
        <v>5223</v>
      </c>
      <c r="B50" s="102" t="s">
        <v>5206</v>
      </c>
      <c r="C50" s="105">
        <v>45853</v>
      </c>
    </row>
    <row r="51" spans="1:3">
      <c r="A51" s="130" t="s">
        <v>4612</v>
      </c>
      <c r="B51" s="102" t="s">
        <v>4614</v>
      </c>
      <c r="C51" s="105">
        <v>45853</v>
      </c>
    </row>
    <row r="52" spans="1:3">
      <c r="A52" s="130" t="s">
        <v>5224</v>
      </c>
      <c r="B52" s="102" t="s">
        <v>4707</v>
      </c>
      <c r="C52" s="105">
        <v>45853</v>
      </c>
    </row>
    <row r="53" spans="1:3">
      <c r="A53" s="130" t="s">
        <v>847</v>
      </c>
      <c r="B53" s="102" t="s">
        <v>4710</v>
      </c>
      <c r="C53" s="105">
        <v>45853</v>
      </c>
    </row>
    <row r="54" spans="1:3">
      <c r="A54" s="130" t="s">
        <v>847</v>
      </c>
      <c r="B54" s="102" t="s">
        <v>4712</v>
      </c>
      <c r="C54" s="105">
        <v>45853</v>
      </c>
    </row>
    <row r="55" spans="1:3">
      <c r="A55" s="130" t="s">
        <v>5225</v>
      </c>
      <c r="B55" s="102" t="s">
        <v>4956</v>
      </c>
      <c r="C55" s="105">
        <v>45853</v>
      </c>
    </row>
    <row r="56" spans="1:3">
      <c r="A56" s="130" t="s">
        <v>981</v>
      </c>
      <c r="B56" s="102" t="s">
        <v>360</v>
      </c>
      <c r="C56" s="105">
        <v>45853</v>
      </c>
    </row>
    <row r="57" spans="1:3">
      <c r="A57" s="130" t="s">
        <v>5226</v>
      </c>
      <c r="B57" s="102" t="s">
        <v>2536</v>
      </c>
      <c r="C57" s="105">
        <v>45762</v>
      </c>
    </row>
    <row r="58" spans="1:3">
      <c r="A58" s="130" t="s">
        <v>5227</v>
      </c>
      <c r="B58" s="102" t="s">
        <v>2770</v>
      </c>
      <c r="C58" s="105">
        <v>45762</v>
      </c>
    </row>
    <row r="59" spans="1:3">
      <c r="A59" s="130" t="s">
        <v>5228</v>
      </c>
      <c r="B59" s="102" t="s">
        <v>2783</v>
      </c>
      <c r="C59" s="105">
        <v>45762</v>
      </c>
    </row>
    <row r="60" spans="1:3">
      <c r="A60" s="130" t="s">
        <v>5229</v>
      </c>
      <c r="B60" s="102" t="s">
        <v>2976</v>
      </c>
      <c r="C60" s="105">
        <v>45762</v>
      </c>
    </row>
    <row r="61" spans="1:3">
      <c r="A61" s="130" t="s">
        <v>735</v>
      </c>
      <c r="B61" s="102" t="s">
        <v>2979</v>
      </c>
      <c r="C61" s="105">
        <v>45762</v>
      </c>
    </row>
    <row r="62" spans="1:3">
      <c r="A62" s="130" t="s">
        <v>681</v>
      </c>
      <c r="B62" s="102" t="s">
        <v>3256</v>
      </c>
      <c r="C62" s="105">
        <v>45762</v>
      </c>
    </row>
    <row r="63" spans="1:3">
      <c r="A63" s="130" t="s">
        <v>5230</v>
      </c>
      <c r="B63" s="102" t="s">
        <v>684</v>
      </c>
      <c r="C63" s="105">
        <v>45762</v>
      </c>
    </row>
    <row r="64" spans="1:3">
      <c r="A64" s="130" t="s">
        <v>3418</v>
      </c>
      <c r="B64" s="102" t="s">
        <v>3416</v>
      </c>
      <c r="C64" s="105">
        <v>45762</v>
      </c>
    </row>
    <row r="65" spans="1:8">
      <c r="A65" s="130" t="s">
        <v>5231</v>
      </c>
      <c r="B65" s="102" t="s">
        <v>3418</v>
      </c>
      <c r="C65" s="105">
        <v>45762</v>
      </c>
    </row>
    <row r="66" spans="1:8">
      <c r="A66" s="130" t="s">
        <v>5232</v>
      </c>
      <c r="B66" s="102" t="s">
        <v>3487</v>
      </c>
      <c r="C66" s="105">
        <v>45762</v>
      </c>
    </row>
    <row r="67" spans="1:8">
      <c r="A67" s="130" t="s">
        <v>5233</v>
      </c>
      <c r="B67" s="102" t="s">
        <v>5199</v>
      </c>
      <c r="C67" s="105">
        <v>45762</v>
      </c>
    </row>
    <row r="68" spans="1:8">
      <c r="A68" s="130" t="s">
        <v>5234</v>
      </c>
      <c r="B68" s="102" t="s">
        <v>3929</v>
      </c>
      <c r="C68" s="105">
        <v>45762</v>
      </c>
    </row>
    <row r="69" spans="1:8">
      <c r="A69" s="130" t="s">
        <v>5235</v>
      </c>
      <c r="B69" s="102" t="s">
        <v>4068</v>
      </c>
      <c r="C69" s="105">
        <v>45762</v>
      </c>
    </row>
    <row r="70" spans="1:8">
      <c r="A70" s="130" t="s">
        <v>5236</v>
      </c>
      <c r="B70" s="102" t="s">
        <v>4313</v>
      </c>
      <c r="C70" s="105">
        <v>45762</v>
      </c>
    </row>
    <row r="71" spans="1:8">
      <c r="A71" s="130" t="s">
        <v>5237</v>
      </c>
      <c r="B71" s="102" t="s">
        <v>4404</v>
      </c>
      <c r="C71" s="105">
        <v>45762</v>
      </c>
    </row>
    <row r="72" spans="1:8">
      <c r="A72" s="130" t="s">
        <v>5238</v>
      </c>
      <c r="B72" s="102" t="s">
        <v>542</v>
      </c>
      <c r="C72" s="105">
        <v>45762</v>
      </c>
    </row>
    <row r="73" spans="1:8">
      <c r="A73" s="130" t="s">
        <v>4935</v>
      </c>
      <c r="B73" s="102" t="s">
        <v>5239</v>
      </c>
      <c r="C73" s="105">
        <v>45762</v>
      </c>
    </row>
    <row r="74" spans="1:8">
      <c r="A74" s="130" t="s">
        <v>5240</v>
      </c>
      <c r="B74" s="172" t="s">
        <v>271</v>
      </c>
      <c r="C74" s="105">
        <v>45679</v>
      </c>
    </row>
    <row r="75" spans="1:8">
      <c r="A75" s="130" t="s">
        <v>5241</v>
      </c>
      <c r="B75" s="102" t="s">
        <v>3299</v>
      </c>
      <c r="C75" s="105">
        <v>45679</v>
      </c>
      <c r="H75" s="130"/>
    </row>
    <row r="76" spans="1:8">
      <c r="A76" s="130" t="s">
        <v>3447</v>
      </c>
      <c r="B76" s="102" t="s">
        <v>499</v>
      </c>
      <c r="C76" s="105">
        <v>45679</v>
      </c>
    </row>
    <row r="77" spans="1:8">
      <c r="A77" s="130" t="s">
        <v>5242</v>
      </c>
      <c r="B77" s="102" t="s">
        <v>5194</v>
      </c>
      <c r="C77" s="105">
        <v>45679</v>
      </c>
    </row>
    <row r="78" spans="1:8">
      <c r="A78" s="130" t="s">
        <v>5243</v>
      </c>
      <c r="B78" s="102" t="s">
        <v>5217</v>
      </c>
      <c r="C78" s="105">
        <v>45679</v>
      </c>
    </row>
    <row r="79" spans="1:8">
      <c r="A79" s="130" t="s">
        <v>5244</v>
      </c>
      <c r="B79" s="102" t="s">
        <v>5218</v>
      </c>
      <c r="C79" s="105">
        <v>45679</v>
      </c>
    </row>
    <row r="80" spans="1:8">
      <c r="A80" s="130" t="s">
        <v>5245</v>
      </c>
      <c r="B80" s="102" t="s">
        <v>5218</v>
      </c>
      <c r="C80" s="105">
        <v>45679</v>
      </c>
    </row>
    <row r="81" spans="1:8">
      <c r="A81" s="130" t="s">
        <v>5246</v>
      </c>
      <c r="B81" s="102" t="s">
        <v>5218</v>
      </c>
      <c r="C81" s="105">
        <v>45679</v>
      </c>
    </row>
    <row r="82" spans="1:8">
      <c r="A82" s="130" t="s">
        <v>5247</v>
      </c>
      <c r="B82" s="102" t="s">
        <v>5218</v>
      </c>
      <c r="C82" s="105">
        <v>45679</v>
      </c>
    </row>
    <row r="83" spans="1:8">
      <c r="A83" s="130" t="s">
        <v>5248</v>
      </c>
      <c r="B83" s="102" t="s">
        <v>3923</v>
      </c>
      <c r="C83" s="105">
        <v>45679</v>
      </c>
    </row>
    <row r="84" spans="1:8">
      <c r="A84" s="130" t="s">
        <v>5249</v>
      </c>
      <c r="B84" s="102" t="s">
        <v>4965</v>
      </c>
      <c r="C84" s="105">
        <v>45679</v>
      </c>
    </row>
    <row r="85" spans="1:8">
      <c r="A85" s="130" t="s">
        <v>5250</v>
      </c>
      <c r="B85" s="102" t="s">
        <v>2601</v>
      </c>
      <c r="C85" s="105">
        <v>45596</v>
      </c>
    </row>
    <row r="86" spans="1:8">
      <c r="A86" s="130" t="s">
        <v>5251</v>
      </c>
      <c r="B86" s="102" t="s">
        <v>441</v>
      </c>
      <c r="C86" s="105">
        <v>45596</v>
      </c>
    </row>
    <row r="87" spans="1:8">
      <c r="A87" s="130" t="s">
        <v>5252</v>
      </c>
      <c r="B87" s="102" t="s">
        <v>499</v>
      </c>
      <c r="C87" s="105">
        <v>45596</v>
      </c>
      <c r="F87" s="167"/>
    </row>
    <row r="88" spans="1:8">
      <c r="A88" s="130" t="s">
        <v>5253</v>
      </c>
      <c r="B88" s="102" t="s">
        <v>771</v>
      </c>
      <c r="C88" s="105">
        <v>45596</v>
      </c>
    </row>
    <row r="89" spans="1:8">
      <c r="A89" s="130" t="s">
        <v>5090</v>
      </c>
      <c r="B89" s="102" t="s">
        <v>5254</v>
      </c>
      <c r="C89" s="105">
        <v>45596</v>
      </c>
    </row>
    <row r="90" spans="1:8">
      <c r="A90" s="130" t="s">
        <v>5255</v>
      </c>
      <c r="B90" s="102" t="s">
        <v>5256</v>
      </c>
      <c r="C90" s="105">
        <v>45596</v>
      </c>
    </row>
    <row r="91" spans="1:8">
      <c r="A91" s="130" t="s">
        <v>1751</v>
      </c>
      <c r="B91" s="102" t="s">
        <v>3851</v>
      </c>
      <c r="C91" s="105">
        <v>45596</v>
      </c>
    </row>
    <row r="92" spans="1:8">
      <c r="A92" s="130" t="s">
        <v>5257</v>
      </c>
      <c r="B92" s="102" t="s">
        <v>5221</v>
      </c>
      <c r="C92" s="105">
        <v>45596</v>
      </c>
    </row>
    <row r="93" spans="1:8">
      <c r="A93" s="130" t="s">
        <v>5258</v>
      </c>
      <c r="B93" s="102" t="s">
        <v>709</v>
      </c>
      <c r="C93" s="105">
        <v>45596</v>
      </c>
    </row>
    <row r="94" spans="1:8">
      <c r="A94" s="130" t="s">
        <v>1052</v>
      </c>
      <c r="B94" s="102" t="s">
        <v>962</v>
      </c>
      <c r="C94" s="105">
        <v>45502</v>
      </c>
    </row>
    <row r="95" spans="1:8">
      <c r="A95" s="130" t="s">
        <v>1575</v>
      </c>
      <c r="B95" s="102" t="s">
        <v>229</v>
      </c>
      <c r="C95" s="105">
        <v>45502</v>
      </c>
      <c r="H95" s="3"/>
    </row>
    <row r="96" spans="1:8">
      <c r="A96" s="130" t="s">
        <v>5259</v>
      </c>
      <c r="B96" s="102" t="s">
        <v>3820</v>
      </c>
      <c r="C96" s="105">
        <v>45502</v>
      </c>
    </row>
    <row r="97" spans="1:12">
      <c r="A97" s="130" t="s">
        <v>5260</v>
      </c>
      <c r="B97" s="102" t="s">
        <v>1038</v>
      </c>
      <c r="C97" s="105">
        <v>45502</v>
      </c>
    </row>
    <row r="98" spans="1:12">
      <c r="A98" s="130" t="s">
        <v>5261</v>
      </c>
      <c r="B98" s="102" t="s">
        <v>4198</v>
      </c>
      <c r="C98" s="105">
        <v>45502</v>
      </c>
    </row>
    <row r="99" spans="1:12">
      <c r="A99" s="130" t="s">
        <v>5262</v>
      </c>
      <c r="B99" s="102" t="s">
        <v>4513</v>
      </c>
      <c r="C99" s="105">
        <v>45502</v>
      </c>
    </row>
    <row r="100" spans="1:12">
      <c r="A100" s="130" t="s">
        <v>5263</v>
      </c>
      <c r="B100" s="102" t="s">
        <v>4748</v>
      </c>
      <c r="C100" s="105">
        <v>45502</v>
      </c>
    </row>
    <row r="101" spans="1:12">
      <c r="A101" s="130" t="s">
        <v>5264</v>
      </c>
      <c r="B101" s="102" t="s">
        <v>2527</v>
      </c>
      <c r="C101" s="105">
        <v>45398</v>
      </c>
    </row>
    <row r="102" spans="1:12">
      <c r="A102" s="130" t="s">
        <v>5265</v>
      </c>
      <c r="B102" s="102" t="s">
        <v>5228</v>
      </c>
      <c r="C102" s="105">
        <v>45398</v>
      </c>
    </row>
    <row r="103" spans="1:12">
      <c r="A103" s="130" t="s">
        <v>5266</v>
      </c>
      <c r="B103" s="102" t="s">
        <v>5259</v>
      </c>
      <c r="C103" s="105">
        <v>45398</v>
      </c>
    </row>
    <row r="104" spans="1:12">
      <c r="A104" s="130" t="s">
        <v>5267</v>
      </c>
      <c r="B104" s="102" t="s">
        <v>4077</v>
      </c>
      <c r="C104" s="105">
        <v>45398</v>
      </c>
    </row>
    <row r="105" spans="1:12">
      <c r="A105" s="130" t="s">
        <v>1168</v>
      </c>
      <c r="B105" s="102" t="s">
        <v>847</v>
      </c>
      <c r="C105" s="105">
        <v>45398</v>
      </c>
    </row>
    <row r="106" spans="1:12">
      <c r="A106" s="130" t="s">
        <v>5268</v>
      </c>
      <c r="B106" s="102" t="s">
        <v>1105</v>
      </c>
      <c r="C106" s="105">
        <v>45398</v>
      </c>
    </row>
    <row r="107" spans="1:12">
      <c r="A107" s="130" t="s">
        <v>5269</v>
      </c>
      <c r="B107" s="102" t="s">
        <v>312</v>
      </c>
      <c r="C107" s="105">
        <v>45320</v>
      </c>
    </row>
    <row r="108" spans="1:12">
      <c r="A108" s="130" t="s">
        <v>5270</v>
      </c>
      <c r="B108" s="102" t="s">
        <v>5271</v>
      </c>
      <c r="C108" s="105">
        <v>45320</v>
      </c>
    </row>
    <row r="109" spans="1:12">
      <c r="A109" s="130" t="s">
        <v>5272</v>
      </c>
      <c r="B109" s="102" t="s">
        <v>5273</v>
      </c>
      <c r="C109" s="105">
        <v>45320</v>
      </c>
    </row>
    <row r="110" spans="1:12">
      <c r="A110" s="130" t="s">
        <v>5274</v>
      </c>
      <c r="B110" s="102" t="s">
        <v>5275</v>
      </c>
      <c r="C110" s="105">
        <v>45320</v>
      </c>
      <c r="L110"/>
    </row>
    <row r="111" spans="1:12" customFormat="1">
      <c r="A111" s="130" t="s">
        <v>5276</v>
      </c>
      <c r="B111" s="102" t="s">
        <v>5277</v>
      </c>
      <c r="C111" s="105">
        <v>45320</v>
      </c>
      <c r="E111" s="2"/>
      <c r="F111" s="2"/>
      <c r="G111" s="2"/>
      <c r="H111" s="2"/>
      <c r="I111" s="2"/>
      <c r="J111" s="2"/>
      <c r="K111" s="2"/>
    </row>
    <row r="112" spans="1:12" customFormat="1">
      <c r="A112" s="130" t="s">
        <v>5278</v>
      </c>
      <c r="B112" s="102" t="s">
        <v>5279</v>
      </c>
      <c r="C112" s="105">
        <v>45320</v>
      </c>
      <c r="E112" s="2"/>
      <c r="F112" s="2"/>
      <c r="G112" s="2"/>
      <c r="H112" s="2"/>
      <c r="I112" s="2"/>
      <c r="J112" s="2"/>
      <c r="K112" s="2"/>
    </row>
    <row r="113" spans="1:11" customFormat="1">
      <c r="A113" s="130" t="s">
        <v>5280</v>
      </c>
      <c r="B113" s="102" t="s">
        <v>5219</v>
      </c>
      <c r="C113" s="105">
        <v>45320</v>
      </c>
      <c r="E113" s="2"/>
      <c r="F113" s="2"/>
      <c r="G113" s="2"/>
      <c r="H113" s="2"/>
      <c r="I113" s="2"/>
      <c r="J113" s="2"/>
      <c r="K113" s="2"/>
    </row>
    <row r="114" spans="1:11" customFormat="1">
      <c r="A114" s="130" t="s">
        <v>5281</v>
      </c>
      <c r="B114" s="102" t="s">
        <v>4264</v>
      </c>
      <c r="C114" s="105">
        <v>45320</v>
      </c>
      <c r="E114" s="2"/>
      <c r="F114" s="2"/>
      <c r="G114" s="2"/>
      <c r="H114" s="2"/>
      <c r="I114" s="2"/>
      <c r="J114" s="2"/>
      <c r="K114" s="2"/>
    </row>
    <row r="115" spans="1:11" customFormat="1">
      <c r="A115" s="130" t="s">
        <v>5282</v>
      </c>
      <c r="B115" s="102" t="s">
        <v>4267</v>
      </c>
      <c r="C115" s="105">
        <v>45320</v>
      </c>
      <c r="E115" s="2"/>
      <c r="F115" s="2"/>
      <c r="G115" s="2"/>
      <c r="H115" s="2"/>
      <c r="I115" s="2"/>
      <c r="J115" s="2"/>
      <c r="K115" s="2"/>
    </row>
    <row r="116" spans="1:11" customFormat="1">
      <c r="A116" s="130" t="s">
        <v>5283</v>
      </c>
      <c r="B116" s="102" t="s">
        <v>4622</v>
      </c>
      <c r="C116" s="105">
        <v>45320</v>
      </c>
      <c r="E116" s="2"/>
      <c r="F116" s="2"/>
      <c r="G116" s="2"/>
      <c r="H116" s="2"/>
      <c r="I116" s="2"/>
      <c r="J116" s="2"/>
      <c r="K116" s="2"/>
    </row>
    <row r="117" spans="1:11" customFormat="1">
      <c r="A117" s="130" t="s">
        <v>5284</v>
      </c>
      <c r="B117" s="102" t="s">
        <v>5285</v>
      </c>
      <c r="C117" s="105">
        <v>45320</v>
      </c>
      <c r="E117" s="2"/>
      <c r="F117" s="2"/>
      <c r="G117" s="2"/>
      <c r="H117" s="2"/>
      <c r="I117" s="2"/>
      <c r="J117" s="2"/>
      <c r="K117" s="2"/>
    </row>
    <row r="118" spans="1:11" customFormat="1">
      <c r="A118" s="130" t="s">
        <v>5286</v>
      </c>
      <c r="B118" s="102" t="s">
        <v>5287</v>
      </c>
      <c r="C118" s="105">
        <v>45320</v>
      </c>
      <c r="E118" s="2"/>
      <c r="F118" s="2"/>
      <c r="G118" s="2"/>
      <c r="H118" s="2"/>
      <c r="I118" s="2"/>
      <c r="J118" s="2"/>
      <c r="K118" s="2"/>
    </row>
    <row r="119" spans="1:11" customFormat="1">
      <c r="A119" s="130" t="s">
        <v>5288</v>
      </c>
      <c r="B119" s="102" t="s">
        <v>2661</v>
      </c>
      <c r="C119" s="105">
        <v>45226</v>
      </c>
      <c r="E119" s="2"/>
      <c r="F119" s="2"/>
      <c r="G119" s="2"/>
      <c r="H119" s="2"/>
      <c r="I119" s="2"/>
      <c r="J119" s="2"/>
      <c r="K119" s="2"/>
    </row>
    <row r="120" spans="1:11" customFormat="1">
      <c r="A120" s="130" t="s">
        <v>5289</v>
      </c>
      <c r="B120" s="102" t="s">
        <v>581</v>
      </c>
      <c r="C120" s="105">
        <v>45226</v>
      </c>
      <c r="E120" s="2"/>
      <c r="F120" s="2"/>
      <c r="G120" s="2"/>
      <c r="H120" s="2"/>
      <c r="I120" s="2"/>
      <c r="J120" s="2"/>
      <c r="K120" s="2"/>
    </row>
    <row r="121" spans="1:11" customFormat="1">
      <c r="A121" s="130" t="s">
        <v>1235</v>
      </c>
      <c r="B121" s="102" t="s">
        <v>2763</v>
      </c>
      <c r="C121" s="105">
        <v>45226</v>
      </c>
      <c r="E121" s="2"/>
      <c r="F121" s="2"/>
      <c r="G121" s="2"/>
      <c r="H121" s="2"/>
      <c r="I121" s="2"/>
      <c r="J121" s="2"/>
      <c r="K121" s="2"/>
    </row>
    <row r="122" spans="1:11" customFormat="1">
      <c r="A122" s="130" t="s">
        <v>5290</v>
      </c>
      <c r="B122" s="102" t="s">
        <v>2862</v>
      </c>
      <c r="C122" s="105">
        <v>45226</v>
      </c>
      <c r="E122" s="2"/>
      <c r="F122" s="2"/>
      <c r="G122" s="2"/>
      <c r="H122" s="2"/>
      <c r="I122" s="2"/>
      <c r="J122" s="2"/>
      <c r="K122" s="2"/>
    </row>
    <row r="123" spans="1:11" customFormat="1">
      <c r="A123" s="130" t="s">
        <v>5291</v>
      </c>
      <c r="B123" s="102" t="s">
        <v>3473</v>
      </c>
      <c r="C123" s="105">
        <v>45226</v>
      </c>
      <c r="E123" s="2"/>
      <c r="F123" s="2"/>
      <c r="G123" s="2"/>
      <c r="H123" s="2"/>
      <c r="I123" s="2"/>
      <c r="J123" s="2"/>
      <c r="K123" s="2"/>
    </row>
    <row r="124" spans="1:11" customFormat="1">
      <c r="A124" s="130" t="s">
        <v>5292</v>
      </c>
      <c r="B124" s="102" t="s">
        <v>3659</v>
      </c>
      <c r="C124" s="105">
        <v>45226</v>
      </c>
      <c r="E124" s="2"/>
      <c r="F124" s="2"/>
      <c r="G124" s="2"/>
      <c r="H124" s="2"/>
      <c r="I124" s="2"/>
      <c r="J124" s="2"/>
      <c r="K124" s="2"/>
    </row>
    <row r="125" spans="1:11" customFormat="1">
      <c r="A125" s="130" t="s">
        <v>5293</v>
      </c>
      <c r="B125" s="102" t="s">
        <v>3700</v>
      </c>
      <c r="C125" s="105">
        <v>45226</v>
      </c>
      <c r="E125" s="2"/>
      <c r="F125" s="2"/>
      <c r="G125" s="2"/>
      <c r="H125" s="2"/>
      <c r="I125" s="2"/>
      <c r="J125" s="2"/>
      <c r="K125" s="2"/>
    </row>
    <row r="126" spans="1:11" customFormat="1">
      <c r="A126" s="130" t="s">
        <v>1317</v>
      </c>
      <c r="B126" s="102" t="s">
        <v>1175</v>
      </c>
      <c r="C126" s="105">
        <v>45226</v>
      </c>
      <c r="E126" s="2"/>
      <c r="F126" s="2"/>
      <c r="G126" s="2"/>
      <c r="H126" s="2"/>
      <c r="I126" s="2"/>
      <c r="J126" s="2"/>
      <c r="K126" s="2"/>
    </row>
    <row r="127" spans="1:11" customFormat="1">
      <c r="A127" s="130" t="s">
        <v>5294</v>
      </c>
      <c r="B127" s="102" t="s">
        <v>5295</v>
      </c>
      <c r="C127" s="105">
        <v>45226</v>
      </c>
      <c r="E127" s="2"/>
      <c r="F127" s="2"/>
      <c r="G127" s="2"/>
      <c r="H127" s="2"/>
      <c r="I127" s="2"/>
      <c r="J127" s="2"/>
      <c r="K127" s="2"/>
    </row>
    <row r="128" spans="1:11" customFormat="1">
      <c r="A128" s="130" t="s">
        <v>5296</v>
      </c>
      <c r="B128" s="102" t="s">
        <v>1199</v>
      </c>
      <c r="C128" s="105">
        <v>45226</v>
      </c>
      <c r="E128" s="2"/>
      <c r="F128" s="2"/>
      <c r="G128" s="2"/>
      <c r="H128" s="2"/>
      <c r="I128" s="2"/>
      <c r="J128" s="2"/>
      <c r="K128" s="2"/>
    </row>
    <row r="129" spans="1:11" customFormat="1">
      <c r="A129" s="130" t="s">
        <v>5297</v>
      </c>
      <c r="B129" s="102" t="s">
        <v>535</v>
      </c>
      <c r="C129" s="105">
        <v>45226</v>
      </c>
      <c r="E129" s="2"/>
      <c r="F129" s="2"/>
      <c r="G129" s="2"/>
      <c r="H129" s="2"/>
      <c r="I129" s="2"/>
      <c r="J129" s="2"/>
      <c r="K129" s="2"/>
    </row>
    <row r="130" spans="1:11" customFormat="1">
      <c r="A130" s="130" t="s">
        <v>5298</v>
      </c>
      <c r="B130" s="102" t="s">
        <v>4140</v>
      </c>
      <c r="C130" s="105">
        <v>45226</v>
      </c>
      <c r="E130" s="2"/>
      <c r="F130" s="2"/>
      <c r="G130" s="2"/>
      <c r="H130" s="2"/>
      <c r="I130" s="2"/>
      <c r="J130" s="2"/>
      <c r="K130" s="2"/>
    </row>
    <row r="131" spans="1:11" customFormat="1">
      <c r="A131" s="130" t="s">
        <v>5299</v>
      </c>
      <c r="B131" s="102" t="s">
        <v>5299</v>
      </c>
      <c r="C131" s="105">
        <v>45226</v>
      </c>
      <c r="E131" s="2"/>
      <c r="F131" s="2"/>
      <c r="G131" s="2"/>
      <c r="H131" s="2"/>
      <c r="I131" s="2"/>
      <c r="J131" s="2"/>
      <c r="K131" s="2"/>
    </row>
    <row r="132" spans="1:11" customFormat="1">
      <c r="A132" s="130" t="s">
        <v>5300</v>
      </c>
      <c r="B132" s="102" t="s">
        <v>4471</v>
      </c>
      <c r="C132" s="105">
        <v>45226</v>
      </c>
      <c r="E132" s="2"/>
      <c r="F132" s="2"/>
      <c r="G132" s="2"/>
      <c r="H132" s="2"/>
      <c r="I132" s="2"/>
      <c r="J132" s="2"/>
      <c r="K132" s="2"/>
    </row>
    <row r="133" spans="1:11" customFormat="1">
      <c r="A133" s="130" t="s">
        <v>5301</v>
      </c>
      <c r="B133" s="102" t="s">
        <v>4474</v>
      </c>
      <c r="C133" s="105">
        <v>45226</v>
      </c>
      <c r="E133" s="2"/>
      <c r="F133" s="2"/>
      <c r="G133" s="2"/>
      <c r="H133" s="2"/>
      <c r="I133" s="2"/>
      <c r="J133" s="2"/>
      <c r="K133" s="2"/>
    </row>
    <row r="134" spans="1:11" customFormat="1">
      <c r="A134" s="130" t="s">
        <v>5302</v>
      </c>
      <c r="B134" s="102" t="s">
        <v>5302</v>
      </c>
      <c r="C134" s="105">
        <v>45226</v>
      </c>
      <c r="E134" s="2"/>
      <c r="F134" s="2"/>
      <c r="G134" s="2"/>
      <c r="H134" s="2"/>
      <c r="I134" s="2"/>
      <c r="J134" s="2"/>
      <c r="K134" s="2"/>
    </row>
    <row r="135" spans="1:11" customFormat="1">
      <c r="A135" s="130" t="s">
        <v>5303</v>
      </c>
      <c r="B135" s="102" t="s">
        <v>4612</v>
      </c>
      <c r="C135" s="105">
        <v>45226</v>
      </c>
      <c r="E135" s="2"/>
      <c r="F135" s="2"/>
      <c r="G135" s="2"/>
      <c r="H135" s="2"/>
      <c r="I135" s="2"/>
      <c r="J135" s="2"/>
      <c r="K135" s="2"/>
    </row>
    <row r="136" spans="1:11" customFormat="1">
      <c r="A136" s="130" t="s">
        <v>5304</v>
      </c>
      <c r="B136" s="102" t="s">
        <v>4657</v>
      </c>
      <c r="C136" s="105">
        <v>45226</v>
      </c>
      <c r="E136" s="2"/>
      <c r="F136" s="2"/>
      <c r="G136" s="2"/>
      <c r="H136" s="2"/>
      <c r="I136" s="2"/>
      <c r="J136" s="2"/>
      <c r="K136" s="2"/>
    </row>
    <row r="137" spans="1:11" customFormat="1">
      <c r="A137" s="130" t="s">
        <v>5305</v>
      </c>
      <c r="B137" s="102" t="s">
        <v>4781</v>
      </c>
      <c r="C137" s="105">
        <v>45226</v>
      </c>
      <c r="E137" s="2"/>
      <c r="F137" s="2"/>
      <c r="G137" s="2"/>
      <c r="H137" s="2"/>
      <c r="I137" s="2"/>
      <c r="J137" s="2"/>
      <c r="K137" s="2"/>
    </row>
    <row r="138" spans="1:11" customFormat="1">
      <c r="A138" s="130" t="s">
        <v>5306</v>
      </c>
      <c r="B138" s="102" t="s">
        <v>4888</v>
      </c>
      <c r="C138" s="105">
        <v>45226</v>
      </c>
      <c r="E138" s="2"/>
      <c r="F138" s="2"/>
      <c r="G138" s="2"/>
      <c r="H138" s="2"/>
      <c r="I138" s="2"/>
      <c r="J138" s="2"/>
      <c r="K138" s="2"/>
    </row>
    <row r="139" spans="1:11" customFormat="1">
      <c r="A139" s="130" t="s">
        <v>5307</v>
      </c>
      <c r="B139" s="102" t="s">
        <v>5308</v>
      </c>
      <c r="C139" s="105">
        <v>45226</v>
      </c>
      <c r="E139" s="2"/>
      <c r="F139" s="2"/>
      <c r="G139" s="2"/>
      <c r="H139" s="2"/>
      <c r="I139" s="2"/>
      <c r="J139" s="2"/>
      <c r="K139" s="2"/>
    </row>
    <row r="140" spans="1:11" customFormat="1">
      <c r="A140" s="130" t="s">
        <v>5309</v>
      </c>
      <c r="B140" s="102" t="s">
        <v>644</v>
      </c>
      <c r="C140" s="105">
        <v>45226</v>
      </c>
      <c r="E140" s="2"/>
      <c r="F140" s="2"/>
      <c r="G140" s="2"/>
      <c r="H140" s="2"/>
      <c r="I140" s="2"/>
      <c r="J140" s="2"/>
      <c r="K140" s="2"/>
    </row>
    <row r="141" spans="1:11" customFormat="1">
      <c r="A141" s="130" t="s">
        <v>2763</v>
      </c>
      <c r="B141" s="102" t="s">
        <v>1235</v>
      </c>
      <c r="C141" s="105">
        <v>45114</v>
      </c>
      <c r="E141" s="2"/>
      <c r="F141" s="2"/>
      <c r="G141" s="2"/>
      <c r="H141" s="2"/>
      <c r="I141" s="2"/>
      <c r="J141" s="2"/>
      <c r="K141" s="2"/>
    </row>
    <row r="142" spans="1:11" customFormat="1">
      <c r="A142" s="130" t="s">
        <v>1175</v>
      </c>
      <c r="B142" s="102" t="s">
        <v>1317</v>
      </c>
      <c r="C142" s="105">
        <v>45114</v>
      </c>
      <c r="E142" s="2"/>
      <c r="F142" s="2"/>
      <c r="G142" s="2"/>
      <c r="H142" s="2"/>
      <c r="I142" s="2"/>
      <c r="J142" s="2"/>
      <c r="K142" s="2"/>
    </row>
    <row r="143" spans="1:11" customFormat="1">
      <c r="A143" s="130" t="s">
        <v>5310</v>
      </c>
      <c r="B143" s="102" t="s">
        <v>5311</v>
      </c>
      <c r="C143" s="105">
        <v>45051</v>
      </c>
      <c r="E143" s="2"/>
      <c r="F143" s="2"/>
      <c r="G143" s="2"/>
      <c r="H143" s="2"/>
      <c r="I143" s="2"/>
      <c r="J143" s="2"/>
      <c r="K143" s="2"/>
    </row>
    <row r="144" spans="1:11" customFormat="1">
      <c r="A144" s="130" t="s">
        <v>5312</v>
      </c>
      <c r="B144" s="102" t="s">
        <v>491</v>
      </c>
      <c r="C144" s="105">
        <v>45051</v>
      </c>
      <c r="E144" s="2"/>
      <c r="F144" s="2"/>
      <c r="G144" s="2"/>
      <c r="H144" s="2"/>
      <c r="I144" s="2"/>
      <c r="J144" s="2"/>
      <c r="K144" s="2"/>
    </row>
    <row r="145" spans="1:12" customFormat="1">
      <c r="A145" s="130" t="s">
        <v>5313</v>
      </c>
      <c r="B145" s="102" t="s">
        <v>5314</v>
      </c>
      <c r="C145" s="105">
        <v>45051</v>
      </c>
      <c r="E145" s="2"/>
      <c r="F145" s="2"/>
      <c r="G145" s="2"/>
      <c r="H145" s="2"/>
      <c r="I145" s="2"/>
      <c r="J145" s="2"/>
      <c r="K145" s="2"/>
    </row>
    <row r="146" spans="1:12" customFormat="1">
      <c r="A146" s="130" t="s">
        <v>5315</v>
      </c>
      <c r="B146" s="102" t="s">
        <v>5288</v>
      </c>
      <c r="C146" s="105">
        <v>45051</v>
      </c>
      <c r="E146" s="2"/>
      <c r="F146" s="2"/>
      <c r="G146" s="2"/>
      <c r="H146" s="2"/>
      <c r="I146" s="2"/>
      <c r="J146" s="2"/>
      <c r="K146" s="2"/>
      <c r="L146" s="2"/>
    </row>
    <row r="147" spans="1:12">
      <c r="A147" s="130" t="s">
        <v>1729</v>
      </c>
      <c r="B147" s="102" t="s">
        <v>1399</v>
      </c>
      <c r="C147" s="105">
        <v>45051</v>
      </c>
    </row>
    <row r="148" spans="1:12">
      <c r="A148" s="130" t="s">
        <v>5316</v>
      </c>
      <c r="B148" s="102" t="s">
        <v>1006</v>
      </c>
      <c r="C148" s="105">
        <v>45051</v>
      </c>
    </row>
    <row r="149" spans="1:12">
      <c r="A149" s="130" t="s">
        <v>5317</v>
      </c>
      <c r="B149" s="102" t="s">
        <v>5296</v>
      </c>
      <c r="C149" s="105">
        <v>45051</v>
      </c>
    </row>
    <row r="150" spans="1:12">
      <c r="A150" s="130" t="s">
        <v>1762</v>
      </c>
      <c r="B150" s="102" t="s">
        <v>5318</v>
      </c>
      <c r="C150" s="105">
        <v>45051</v>
      </c>
    </row>
    <row r="151" spans="1:12">
      <c r="A151" s="130" t="s">
        <v>2092</v>
      </c>
      <c r="B151" s="102" t="s">
        <v>4254</v>
      </c>
      <c r="C151" s="105">
        <v>45051</v>
      </c>
    </row>
    <row r="152" spans="1:12">
      <c r="A152" s="130" t="s">
        <v>5319</v>
      </c>
      <c r="B152" s="102" t="s">
        <v>5320</v>
      </c>
      <c r="C152" s="105">
        <v>45051</v>
      </c>
    </row>
    <row r="153" spans="1:12">
      <c r="A153" s="130" t="s">
        <v>5321</v>
      </c>
      <c r="B153" s="102" t="s">
        <v>5322</v>
      </c>
      <c r="C153" s="105">
        <v>45051</v>
      </c>
    </row>
    <row r="154" spans="1:12">
      <c r="A154" s="130" t="s">
        <v>5323</v>
      </c>
      <c r="B154" s="102" t="s">
        <v>4674</v>
      </c>
      <c r="C154" s="105">
        <v>45051</v>
      </c>
    </row>
    <row r="155" spans="1:12">
      <c r="A155" s="130" t="s">
        <v>5324</v>
      </c>
      <c r="B155" s="102" t="s">
        <v>3153</v>
      </c>
      <c r="C155" s="105">
        <v>44949</v>
      </c>
    </row>
    <row r="156" spans="1:12">
      <c r="A156" s="130" t="s">
        <v>5325</v>
      </c>
      <c r="B156" s="102" t="s">
        <v>5326</v>
      </c>
      <c r="C156" s="105">
        <v>44949</v>
      </c>
    </row>
    <row r="157" spans="1:12">
      <c r="A157" s="130" t="s">
        <v>5327</v>
      </c>
      <c r="B157" s="102" t="s">
        <v>5063</v>
      </c>
      <c r="C157" s="105">
        <v>44949</v>
      </c>
    </row>
    <row r="158" spans="1:12">
      <c r="A158" s="130" t="s">
        <v>5328</v>
      </c>
      <c r="B158" s="102" t="s">
        <v>273</v>
      </c>
      <c r="C158" s="105">
        <v>44764</v>
      </c>
    </row>
    <row r="159" spans="1:12">
      <c r="A159" s="130" t="s">
        <v>5329</v>
      </c>
      <c r="B159" s="102" t="s">
        <v>5330</v>
      </c>
      <c r="C159" s="105">
        <v>44727</v>
      </c>
    </row>
    <row r="160" spans="1:12">
      <c r="A160" s="130" t="s">
        <v>1729</v>
      </c>
      <c r="B160" s="102" t="s">
        <v>5331</v>
      </c>
      <c r="C160" s="105">
        <v>44712</v>
      </c>
    </row>
    <row r="161" spans="1:3">
      <c r="A161" s="130" t="s">
        <v>5332</v>
      </c>
      <c r="B161" s="102" t="s">
        <v>1254</v>
      </c>
      <c r="C161" s="105">
        <v>44484</v>
      </c>
    </row>
    <row r="162" spans="1:3">
      <c r="A162" s="130" t="s">
        <v>5333</v>
      </c>
      <c r="B162" s="102" t="s">
        <v>5334</v>
      </c>
      <c r="C162" s="105">
        <v>44484</v>
      </c>
    </row>
    <row r="163" spans="1:3">
      <c r="A163" s="130" t="s">
        <v>5335</v>
      </c>
      <c r="B163" s="102" t="s">
        <v>1498</v>
      </c>
      <c r="C163" s="105">
        <v>44484</v>
      </c>
    </row>
    <row r="164" spans="1:3">
      <c r="A164" s="130" t="s">
        <v>1655</v>
      </c>
      <c r="B164" s="102" t="s">
        <v>3421</v>
      </c>
      <c r="C164" s="105">
        <v>44484</v>
      </c>
    </row>
    <row r="165" spans="1:3">
      <c r="A165" s="130" t="s">
        <v>5336</v>
      </c>
      <c r="B165" s="102" t="s">
        <v>1566</v>
      </c>
      <c r="C165" s="105">
        <v>44484</v>
      </c>
    </row>
    <row r="166" spans="1:3">
      <c r="A166" s="130" t="s">
        <v>2852</v>
      </c>
      <c r="B166" s="102" t="s">
        <v>5337</v>
      </c>
      <c r="C166" s="105">
        <v>44384</v>
      </c>
    </row>
    <row r="167" spans="1:3">
      <c r="A167" s="130" t="s">
        <v>1877</v>
      </c>
      <c r="B167" s="102" t="s">
        <v>5230</v>
      </c>
      <c r="C167" s="105">
        <v>44384</v>
      </c>
    </row>
    <row r="168" spans="1:3">
      <c r="A168" s="130" t="s">
        <v>1693</v>
      </c>
      <c r="B168" s="102" t="s">
        <v>1371</v>
      </c>
      <c r="C168" s="105">
        <v>44384</v>
      </c>
    </row>
    <row r="169" spans="1:3">
      <c r="A169" s="130" t="s">
        <v>5338</v>
      </c>
      <c r="B169" s="102" t="s">
        <v>1638</v>
      </c>
      <c r="C169" s="105">
        <v>44384</v>
      </c>
    </row>
    <row r="170" spans="1:3">
      <c r="A170" s="130" t="s">
        <v>1642</v>
      </c>
      <c r="B170" s="102" t="s">
        <v>1641</v>
      </c>
      <c r="C170" s="105">
        <v>44384</v>
      </c>
    </row>
    <row r="171" spans="1:3">
      <c r="A171" s="130" t="s">
        <v>5339</v>
      </c>
      <c r="B171" s="102" t="s">
        <v>3250</v>
      </c>
      <c r="C171" s="105">
        <v>44320</v>
      </c>
    </row>
    <row r="172" spans="1:3">
      <c r="A172" s="130" t="s">
        <v>5340</v>
      </c>
      <c r="B172" s="102" t="s">
        <v>3329</v>
      </c>
      <c r="C172" s="105">
        <v>44320</v>
      </c>
    </row>
    <row r="173" spans="1:3">
      <c r="A173" s="130" t="s">
        <v>5341</v>
      </c>
      <c r="B173" s="102" t="s">
        <v>5342</v>
      </c>
      <c r="C173" s="105">
        <v>44320</v>
      </c>
    </row>
    <row r="174" spans="1:3">
      <c r="A174" s="130" t="s">
        <v>5343</v>
      </c>
      <c r="B174" s="102" t="s">
        <v>5299</v>
      </c>
      <c r="C174" s="105">
        <v>44320</v>
      </c>
    </row>
    <row r="175" spans="1:3">
      <c r="A175" s="130" t="s">
        <v>5344</v>
      </c>
      <c r="B175" s="102" t="s">
        <v>4520</v>
      </c>
      <c r="C175" s="105">
        <v>44320</v>
      </c>
    </row>
    <row r="176" spans="1:3">
      <c r="A176" s="130" t="s">
        <v>5345</v>
      </c>
      <c r="B176" s="102" t="s">
        <v>5346</v>
      </c>
      <c r="C176" s="105">
        <v>44320</v>
      </c>
    </row>
    <row r="177" spans="1:3">
      <c r="A177" s="130" t="s">
        <v>5347</v>
      </c>
      <c r="B177" s="102" t="s">
        <v>5348</v>
      </c>
      <c r="C177" s="105">
        <v>44320</v>
      </c>
    </row>
    <row r="178" spans="1:3">
      <c r="A178" s="130" t="s">
        <v>5349</v>
      </c>
      <c r="B178" s="102" t="s">
        <v>1588</v>
      </c>
      <c r="C178" s="105">
        <v>44320</v>
      </c>
    </row>
    <row r="179" spans="1:3">
      <c r="A179" s="130" t="s">
        <v>3329</v>
      </c>
      <c r="B179" s="102" t="s">
        <v>5340</v>
      </c>
      <c r="C179" s="105">
        <v>44225</v>
      </c>
    </row>
    <row r="180" spans="1:3">
      <c r="A180" s="130" t="s">
        <v>3329</v>
      </c>
      <c r="B180" s="102" t="s">
        <v>781</v>
      </c>
      <c r="C180" s="105">
        <v>44225</v>
      </c>
    </row>
    <row r="181" spans="1:3">
      <c r="A181" s="130" t="s">
        <v>5350</v>
      </c>
      <c r="B181" s="102" t="s">
        <v>5031</v>
      </c>
      <c r="C181" s="105">
        <v>44225</v>
      </c>
    </row>
    <row r="182" spans="1:3">
      <c r="A182" s="130" t="s">
        <v>5351</v>
      </c>
      <c r="B182" s="102" t="s">
        <v>1149</v>
      </c>
      <c r="C182" s="105">
        <v>44041</v>
      </c>
    </row>
    <row r="183" spans="1:3">
      <c r="A183" s="130" t="s">
        <v>5352</v>
      </c>
      <c r="B183" s="102" t="s">
        <v>5353</v>
      </c>
      <c r="C183" s="105">
        <v>44034</v>
      </c>
    </row>
    <row r="184" spans="1:3">
      <c r="A184" s="130" t="s">
        <v>5354</v>
      </c>
      <c r="B184" s="102" t="s">
        <v>1762</v>
      </c>
      <c r="C184" s="105">
        <v>44034</v>
      </c>
    </row>
    <row r="185" spans="1:3">
      <c r="A185" s="130" t="s">
        <v>5354</v>
      </c>
      <c r="B185" s="102" t="s">
        <v>1762</v>
      </c>
      <c r="C185" s="105">
        <v>44034</v>
      </c>
    </row>
    <row r="186" spans="1:3">
      <c r="A186" s="130" t="s">
        <v>5355</v>
      </c>
      <c r="B186" s="102" t="s">
        <v>4031</v>
      </c>
      <c r="C186" s="105">
        <v>44034</v>
      </c>
    </row>
    <row r="187" spans="1:3">
      <c r="A187" s="130" t="s">
        <v>5345</v>
      </c>
      <c r="B187" s="102" t="s">
        <v>5356</v>
      </c>
      <c r="C187" s="105">
        <v>44034</v>
      </c>
    </row>
    <row r="188" spans="1:3">
      <c r="A188" s="130" t="s">
        <v>5357</v>
      </c>
      <c r="B188" s="102" t="s">
        <v>5269</v>
      </c>
      <c r="C188" s="105">
        <v>43951</v>
      </c>
    </row>
    <row r="189" spans="1:3">
      <c r="A189" s="130" t="s">
        <v>5358</v>
      </c>
      <c r="B189" s="102" t="s">
        <v>1655</v>
      </c>
      <c r="C189" s="105">
        <v>43951</v>
      </c>
    </row>
    <row r="190" spans="1:3">
      <c r="A190" s="130" t="s">
        <v>5359</v>
      </c>
      <c r="B190" s="102" t="s">
        <v>4148</v>
      </c>
      <c r="C190" s="105">
        <v>43951</v>
      </c>
    </row>
    <row r="191" spans="1:3">
      <c r="A191" s="130" t="s">
        <v>2039</v>
      </c>
      <c r="B191" s="102" t="s">
        <v>1690</v>
      </c>
      <c r="C191" s="105">
        <v>43781</v>
      </c>
    </row>
    <row r="192" spans="1:3">
      <c r="A192" s="130" t="s">
        <v>4254</v>
      </c>
      <c r="B192" s="102" t="s">
        <v>2092</v>
      </c>
      <c r="C192" s="105">
        <v>43781</v>
      </c>
    </row>
    <row r="193" spans="1:3">
      <c r="A193" s="130" t="s">
        <v>1558</v>
      </c>
      <c r="B193" s="102" t="s">
        <v>1557</v>
      </c>
      <c r="C193" s="105">
        <v>43781</v>
      </c>
    </row>
    <row r="194" spans="1:3">
      <c r="A194" s="130" t="s">
        <v>2012</v>
      </c>
      <c r="B194" s="102" t="s">
        <v>1507</v>
      </c>
      <c r="C194" s="105">
        <v>43781</v>
      </c>
    </row>
    <row r="195" spans="1:3">
      <c r="A195" s="130" t="s">
        <v>5360</v>
      </c>
      <c r="B195" s="102" t="s">
        <v>2582</v>
      </c>
      <c r="C195" s="105">
        <v>43664</v>
      </c>
    </row>
    <row r="196" spans="1:3">
      <c r="A196" s="130" t="s">
        <v>1973</v>
      </c>
      <c r="B196" s="102" t="s">
        <v>1905</v>
      </c>
      <c r="C196" s="105">
        <v>43664</v>
      </c>
    </row>
    <row r="197" spans="1:3">
      <c r="A197" s="130" t="s">
        <v>1405</v>
      </c>
      <c r="B197" s="102" t="s">
        <v>1405</v>
      </c>
      <c r="C197" s="105">
        <v>43664</v>
      </c>
    </row>
    <row r="198" spans="1:3">
      <c r="A198" s="130" t="s">
        <v>5361</v>
      </c>
      <c r="B198" s="102" t="s">
        <v>1407</v>
      </c>
      <c r="C198" s="105">
        <v>43664</v>
      </c>
    </row>
    <row r="199" spans="1:3">
      <c r="A199" s="130" t="s">
        <v>5362</v>
      </c>
      <c r="B199" s="102" t="s">
        <v>2635</v>
      </c>
      <c r="C199" s="105">
        <v>43664</v>
      </c>
    </row>
    <row r="200" spans="1:3">
      <c r="A200" s="130" t="s">
        <v>5363</v>
      </c>
      <c r="B200" s="102" t="s">
        <v>1408</v>
      </c>
      <c r="C200" s="105">
        <v>43664</v>
      </c>
    </row>
    <row r="201" spans="1:3">
      <c r="A201" s="130" t="s">
        <v>5364</v>
      </c>
      <c r="B201" s="102" t="s">
        <v>2638</v>
      </c>
      <c r="C201" s="105">
        <v>43664</v>
      </c>
    </row>
    <row r="202" spans="1:3">
      <c r="A202" s="130" t="s">
        <v>5365</v>
      </c>
      <c r="B202" s="102" t="s">
        <v>1334</v>
      </c>
      <c r="C202" s="105">
        <v>43664</v>
      </c>
    </row>
    <row r="203" spans="1:3">
      <c r="A203" s="130" t="s">
        <v>5366</v>
      </c>
      <c r="B203" s="102" t="s">
        <v>1334</v>
      </c>
      <c r="C203" s="105">
        <v>43664</v>
      </c>
    </row>
    <row r="204" spans="1:3">
      <c r="A204" s="130" t="s">
        <v>5367</v>
      </c>
      <c r="B204" s="102" t="s">
        <v>2821</v>
      </c>
      <c r="C204" s="105">
        <v>43664</v>
      </c>
    </row>
    <row r="205" spans="1:3">
      <c r="A205" s="130" t="s">
        <v>2031</v>
      </c>
      <c r="B205" s="102" t="s">
        <v>1687</v>
      </c>
      <c r="C205" s="105">
        <v>43664</v>
      </c>
    </row>
    <row r="206" spans="1:3">
      <c r="A206" s="130" t="s">
        <v>5299</v>
      </c>
      <c r="B206" s="102" t="s">
        <v>5343</v>
      </c>
      <c r="C206" s="105">
        <v>43664</v>
      </c>
    </row>
    <row r="207" spans="1:3">
      <c r="A207" s="130" t="s">
        <v>5368</v>
      </c>
      <c r="B207" s="102" t="s">
        <v>3019</v>
      </c>
      <c r="C207" s="105">
        <v>43664</v>
      </c>
    </row>
    <row r="208" spans="1:3">
      <c r="A208" s="130" t="s">
        <v>5369</v>
      </c>
      <c r="B208" s="102" t="s">
        <v>3061</v>
      </c>
      <c r="C208" s="105">
        <v>43664</v>
      </c>
    </row>
    <row r="209" spans="1:3">
      <c r="A209" s="130" t="s">
        <v>5370</v>
      </c>
      <c r="B209" s="102" t="s">
        <v>3073</v>
      </c>
      <c r="C209" s="105">
        <v>43664</v>
      </c>
    </row>
    <row r="210" spans="1:3">
      <c r="A210" s="130" t="s">
        <v>5370</v>
      </c>
      <c r="B210" s="102" t="s">
        <v>1533</v>
      </c>
      <c r="C210" s="105">
        <v>43664</v>
      </c>
    </row>
    <row r="211" spans="1:3">
      <c r="A211" s="130" t="s">
        <v>5371</v>
      </c>
      <c r="B211" s="102" t="s">
        <v>1256</v>
      </c>
      <c r="C211" s="105">
        <v>43664</v>
      </c>
    </row>
    <row r="212" spans="1:3">
      <c r="A212" s="130" t="s">
        <v>5367</v>
      </c>
      <c r="B212" s="102" t="s">
        <v>3103</v>
      </c>
      <c r="C212" s="105">
        <v>43664</v>
      </c>
    </row>
    <row r="213" spans="1:3">
      <c r="A213" s="130" t="s">
        <v>5372</v>
      </c>
      <c r="B213" s="102" t="s">
        <v>1628</v>
      </c>
      <c r="C213" s="105">
        <v>43664</v>
      </c>
    </row>
    <row r="214" spans="1:3">
      <c r="A214" s="130" t="s">
        <v>5373</v>
      </c>
      <c r="B214" s="102" t="s">
        <v>3147</v>
      </c>
      <c r="C214" s="105">
        <v>43664</v>
      </c>
    </row>
    <row r="215" spans="1:3">
      <c r="A215" s="130" t="s">
        <v>2008</v>
      </c>
      <c r="B215" s="102" t="s">
        <v>3150</v>
      </c>
      <c r="C215" s="105">
        <v>43664</v>
      </c>
    </row>
    <row r="216" spans="1:3">
      <c r="A216" s="130" t="s">
        <v>5374</v>
      </c>
      <c r="B216" s="102" t="s">
        <v>569</v>
      </c>
      <c r="C216" s="105">
        <v>43664</v>
      </c>
    </row>
    <row r="217" spans="1:3">
      <c r="A217" s="130" t="s">
        <v>5375</v>
      </c>
      <c r="B217" s="102" t="s">
        <v>5376</v>
      </c>
      <c r="C217" s="105">
        <v>43664</v>
      </c>
    </row>
    <row r="218" spans="1:3">
      <c r="A218" s="130" t="s">
        <v>5377</v>
      </c>
      <c r="B218" s="102" t="s">
        <v>959</v>
      </c>
      <c r="C218" s="105">
        <v>43664</v>
      </c>
    </row>
    <row r="219" spans="1:3">
      <c r="A219" s="130" t="s">
        <v>5378</v>
      </c>
      <c r="B219" s="102" t="s">
        <v>5379</v>
      </c>
      <c r="C219" s="105">
        <v>43664</v>
      </c>
    </row>
    <row r="220" spans="1:3">
      <c r="A220" s="130" t="s">
        <v>5380</v>
      </c>
      <c r="B220" s="102" t="s">
        <v>5381</v>
      </c>
      <c r="C220" s="105">
        <v>43664</v>
      </c>
    </row>
    <row r="221" spans="1:3">
      <c r="A221" s="130" t="s">
        <v>2023</v>
      </c>
      <c r="B221" s="102" t="s">
        <v>1769</v>
      </c>
      <c r="C221" s="105">
        <v>43664</v>
      </c>
    </row>
    <row r="222" spans="1:3">
      <c r="A222" s="130" t="s">
        <v>5382</v>
      </c>
      <c r="B222" s="102" t="s">
        <v>3650</v>
      </c>
      <c r="C222" s="105">
        <v>43664</v>
      </c>
    </row>
    <row r="223" spans="1:3">
      <c r="A223" s="130" t="s">
        <v>5383</v>
      </c>
      <c r="B223" s="102" t="s">
        <v>3653</v>
      </c>
      <c r="C223" s="105">
        <v>43664</v>
      </c>
    </row>
    <row r="224" spans="1:3">
      <c r="A224" s="130" t="s">
        <v>5384</v>
      </c>
      <c r="B224" s="102" t="s">
        <v>5385</v>
      </c>
      <c r="C224" s="105">
        <v>43664</v>
      </c>
    </row>
    <row r="225" spans="1:3">
      <c r="A225" s="130" t="s">
        <v>5386</v>
      </c>
      <c r="B225" s="102" t="s">
        <v>5387</v>
      </c>
      <c r="C225" s="105">
        <v>43664</v>
      </c>
    </row>
    <row r="226" spans="1:3">
      <c r="A226" s="130" t="s">
        <v>1969</v>
      </c>
      <c r="B226" s="102" t="s">
        <v>1782</v>
      </c>
      <c r="C226" s="105">
        <v>43664</v>
      </c>
    </row>
    <row r="227" spans="1:3">
      <c r="A227" s="130" t="s">
        <v>5388</v>
      </c>
      <c r="B227" s="102" t="s">
        <v>1672</v>
      </c>
      <c r="C227" s="105">
        <v>43664</v>
      </c>
    </row>
    <row r="228" spans="1:3">
      <c r="A228" s="130" t="s">
        <v>5389</v>
      </c>
      <c r="B228" s="102" t="s">
        <v>1767</v>
      </c>
      <c r="C228" s="105">
        <v>43664</v>
      </c>
    </row>
    <row r="229" spans="1:3">
      <c r="A229" s="130" t="s">
        <v>2280</v>
      </c>
      <c r="B229" s="102" t="s">
        <v>1336</v>
      </c>
      <c r="C229" s="105">
        <v>43664</v>
      </c>
    </row>
    <row r="230" spans="1:3">
      <c r="A230" s="130" t="s">
        <v>5390</v>
      </c>
      <c r="B230" s="102" t="s">
        <v>5391</v>
      </c>
      <c r="C230" s="105">
        <v>43664</v>
      </c>
    </row>
    <row r="231" spans="1:3">
      <c r="A231" s="130" t="s">
        <v>5392</v>
      </c>
      <c r="B231" s="102" t="s">
        <v>1550</v>
      </c>
      <c r="C231" s="105">
        <v>43664</v>
      </c>
    </row>
    <row r="232" spans="1:3">
      <c r="A232" s="130" t="s">
        <v>2129</v>
      </c>
      <c r="B232" s="102" t="s">
        <v>3936</v>
      </c>
      <c r="C232" s="105">
        <v>43664</v>
      </c>
    </row>
    <row r="233" spans="1:3">
      <c r="A233" s="130" t="s">
        <v>1956</v>
      </c>
      <c r="B233" s="102" t="s">
        <v>1619</v>
      </c>
      <c r="C233" s="105">
        <v>43664</v>
      </c>
    </row>
    <row r="234" spans="1:3">
      <c r="A234" s="130" t="s">
        <v>5393</v>
      </c>
      <c r="B234" s="102" t="s">
        <v>1758</v>
      </c>
      <c r="C234" s="105">
        <v>43664</v>
      </c>
    </row>
    <row r="235" spans="1:3">
      <c r="A235" s="130" t="s">
        <v>5394</v>
      </c>
      <c r="B235" s="102" t="s">
        <v>1288</v>
      </c>
      <c r="C235" s="105">
        <v>43664</v>
      </c>
    </row>
    <row r="236" spans="1:3">
      <c r="A236" s="130" t="s">
        <v>5395</v>
      </c>
      <c r="B236" s="102" t="s">
        <v>823</v>
      </c>
      <c r="C236" s="105">
        <v>43664</v>
      </c>
    </row>
    <row r="237" spans="1:3">
      <c r="A237" s="130" t="s">
        <v>5396</v>
      </c>
      <c r="B237" s="102" t="s">
        <v>1780</v>
      </c>
      <c r="C237" s="105">
        <v>43664</v>
      </c>
    </row>
    <row r="238" spans="1:3">
      <c r="A238" s="130" t="s">
        <v>5302</v>
      </c>
      <c r="B238" s="102" t="s">
        <v>5397</v>
      </c>
      <c r="C238" s="105">
        <v>43664</v>
      </c>
    </row>
    <row r="239" spans="1:3">
      <c r="A239" s="130" t="s">
        <v>2044</v>
      </c>
      <c r="B239" s="102" t="s">
        <v>1504</v>
      </c>
      <c r="C239" s="105">
        <v>43664</v>
      </c>
    </row>
    <row r="240" spans="1:3">
      <c r="A240" s="130" t="s">
        <v>1641</v>
      </c>
      <c r="B240" s="102" t="s">
        <v>1642</v>
      </c>
      <c r="C240" s="105">
        <v>43664</v>
      </c>
    </row>
    <row r="241" spans="1:3">
      <c r="A241" s="130" t="s">
        <v>5398</v>
      </c>
      <c r="B241" s="102" t="s">
        <v>5399</v>
      </c>
      <c r="C241" s="105">
        <v>43664</v>
      </c>
    </row>
    <row r="242" spans="1:3">
      <c r="A242" s="130" t="s">
        <v>4741</v>
      </c>
      <c r="B242" s="102" t="s">
        <v>5400</v>
      </c>
      <c r="C242" s="105">
        <v>43664</v>
      </c>
    </row>
    <row r="243" spans="1:3">
      <c r="A243" s="130" t="s">
        <v>5401</v>
      </c>
      <c r="B243" s="102" t="s">
        <v>5402</v>
      </c>
      <c r="C243" s="105">
        <v>43664</v>
      </c>
    </row>
    <row r="244" spans="1:3">
      <c r="A244" s="130" t="s">
        <v>5403</v>
      </c>
      <c r="B244" s="102" t="s">
        <v>5345</v>
      </c>
      <c r="C244" s="105">
        <v>43664</v>
      </c>
    </row>
    <row r="245" spans="1:3">
      <c r="A245" s="130" t="s">
        <v>5403</v>
      </c>
      <c r="B245" s="102" t="s">
        <v>5347</v>
      </c>
      <c r="C245" s="105">
        <v>43664</v>
      </c>
    </row>
    <row r="246" spans="1:3">
      <c r="A246" s="130" t="s">
        <v>5401</v>
      </c>
      <c r="B246" s="102" t="s">
        <v>5350</v>
      </c>
      <c r="C246" s="105">
        <v>43664</v>
      </c>
    </row>
    <row r="247" spans="1:3">
      <c r="A247" s="130" t="s">
        <v>5404</v>
      </c>
      <c r="B247" s="102" t="s">
        <v>5339</v>
      </c>
      <c r="C247" s="105">
        <v>43664</v>
      </c>
    </row>
    <row r="248" spans="1:3">
      <c r="A248" s="130" t="s">
        <v>5404</v>
      </c>
      <c r="B248" s="102" t="s">
        <v>5405</v>
      </c>
      <c r="C248" s="105">
        <v>43664</v>
      </c>
    </row>
    <row r="249" spans="1:3">
      <c r="A249" s="130" t="s">
        <v>5406</v>
      </c>
      <c r="B249" s="102" t="s">
        <v>5407</v>
      </c>
      <c r="C249" s="105">
        <v>43664</v>
      </c>
    </row>
    <row r="250" spans="1:3">
      <c r="A250" s="130" t="s">
        <v>1588</v>
      </c>
      <c r="B250" s="102" t="s">
        <v>5349</v>
      </c>
      <c r="C250" s="105">
        <v>43664</v>
      </c>
    </row>
    <row r="251" spans="1:3">
      <c r="A251" s="130" t="s">
        <v>1557</v>
      </c>
      <c r="B251" s="102" t="s">
        <v>1558</v>
      </c>
      <c r="C251" s="105">
        <v>43664</v>
      </c>
    </row>
    <row r="252" spans="1:3">
      <c r="A252" s="130" t="s">
        <v>5408</v>
      </c>
      <c r="B252" s="102" t="s">
        <v>813</v>
      </c>
      <c r="C252" s="105">
        <v>43664</v>
      </c>
    </row>
    <row r="253" spans="1:3">
      <c r="A253" s="130" t="s">
        <v>2028</v>
      </c>
      <c r="B253" s="102" t="s">
        <v>1625</v>
      </c>
      <c r="C253" s="105">
        <v>43664</v>
      </c>
    </row>
  </sheetData>
  <sheetProtection algorithmName="SHA-512" hashValue="v6kZlGaVyRGMvTPagTtjl08O575iKUgeu2OhIp+KmKVhEOVc6C5mZkzJXHphjiZ78o2Ac5YkirNn0FqbbTPDAA==" saltValue="flu/HD6+pVxLEtg5NxY95A==" spinCount="100000" sheet="1" objects="1" scenarios="1" sort="0" autoFilter="0" pivotTables="0"/>
  <autoFilter ref="A1:C244" xr:uid="{EF607CAB-9907-49CD-B10C-23E8F08D7840}"/>
  <sortState xmlns:xlrd2="http://schemas.microsoft.com/office/spreadsheetml/2017/richdata2" ref="A2:C253">
    <sortCondition descending="1" ref="C2:C253"/>
    <sortCondition ref="B2:B253"/>
  </sortState>
  <phoneticPr fontId="59" type="noConversion"/>
  <conditionalFormatting sqref="A2:A253">
    <cfRule type="expression" dxfId="43" priority="73">
      <formula>ISBLANK($A2)=FALSE</formula>
    </cfRule>
  </conditionalFormatting>
  <conditionalFormatting sqref="A2:C39 B40:C49 A40:A73 B58:C73 A74:C85">
    <cfRule type="expression" dxfId="42" priority="64">
      <formula>#REF!=A2</formula>
    </cfRule>
  </conditionalFormatting>
  <conditionalFormatting sqref="A2:C39 C32:C44 B40:C49 A40:A73 B58:C73 C75:C93 A76:B92 C101">
    <cfRule type="expression" dxfId="41" priority="77">
      <formula>#REF!=$A2</formula>
    </cfRule>
  </conditionalFormatting>
  <conditionalFormatting sqref="A2:C39 C32:C44 B40:C49 B58:C73 A40:A73 A74:C85">
    <cfRule type="expression" dxfId="40" priority="62">
      <formula>$C2&lt;&gt;OFFSET($C2,-1,0,1,1)</formula>
    </cfRule>
  </conditionalFormatting>
  <conditionalFormatting sqref="A93:C253">
    <cfRule type="expression" dxfId="39" priority="67">
      <formula>$C93&lt;&gt;OFFSET($C93,-1,0,1,1)</formula>
    </cfRule>
    <cfRule type="expression" dxfId="38" priority="68">
      <formula>$A93&lt;&gt;#REF!</formula>
    </cfRule>
    <cfRule type="expression" dxfId="37" priority="69">
      <formula>#REF!=A93</formula>
    </cfRule>
    <cfRule type="expression" dxfId="36" priority="70">
      <formula>#REF!=$A93</formula>
    </cfRule>
  </conditionalFormatting>
  <conditionalFormatting sqref="B50:B57">
    <cfRule type="expression" dxfId="35" priority="60">
      <formula>#REF!=$A50</formula>
    </cfRule>
    <cfRule type="expression" dxfId="34" priority="56">
      <formula>ISBLANK($A50)=FALSE</formula>
    </cfRule>
    <cfRule type="expression" dxfId="33" priority="57">
      <formula>$C50&lt;&gt;OFFSET($C50,-1,0,1,1)</formula>
    </cfRule>
    <cfRule type="expression" dxfId="32" priority="58">
      <formula>$A50&lt;&gt;#REF!</formula>
    </cfRule>
    <cfRule type="expression" dxfId="31" priority="59">
      <formula>#REF!=B50</formula>
    </cfRule>
  </conditionalFormatting>
  <conditionalFormatting sqref="B2:C28 C2:C44">
    <cfRule type="expression" dxfId="30" priority="6">
      <formula>$A2&lt;&gt;#REF!</formula>
    </cfRule>
    <cfRule type="expression" dxfId="29" priority="7">
      <formula>#REF!=$A2</formula>
    </cfRule>
  </conditionalFormatting>
  <conditionalFormatting sqref="B2:C49">
    <cfRule type="expression" dxfId="28" priority="27">
      <formula>ISBLANK($A2)=FALSE</formula>
    </cfRule>
  </conditionalFormatting>
  <conditionalFormatting sqref="B29:C49 A58:B58">
    <cfRule type="expression" dxfId="27" priority="47">
      <formula>$A29&lt;&gt;#REF!</formula>
    </cfRule>
    <cfRule type="expression" dxfId="26" priority="48">
      <formula>#REF!=$A29</formula>
    </cfRule>
  </conditionalFormatting>
  <conditionalFormatting sqref="B58:C73 A74:C75">
    <cfRule type="expression" dxfId="25" priority="65">
      <formula>#REF!=$A58</formula>
    </cfRule>
    <cfRule type="expression" dxfId="24" priority="63">
      <formula>$A58&lt;&gt;#REF!</formula>
    </cfRule>
  </conditionalFormatting>
  <conditionalFormatting sqref="B58:C73 C75:C93 A76:B92 C101 A2:C39 C32:C44 B40:C49 A40:A73">
    <cfRule type="expression" dxfId="23" priority="75">
      <formula>$A2&lt;&gt;#REF!</formula>
    </cfRule>
  </conditionalFormatting>
  <conditionalFormatting sqref="B58:C85">
    <cfRule type="expression" dxfId="22" priority="61">
      <formula>ISBLANK($A58)=FALSE</formula>
    </cfRule>
  </conditionalFormatting>
  <conditionalFormatting sqref="B93:C253">
    <cfRule type="expression" dxfId="21" priority="66">
      <formula>ISBLANK($A93)=FALSE</formula>
    </cfRule>
  </conditionalFormatting>
  <conditionalFormatting sqref="C2:C73">
    <cfRule type="expression" dxfId="20" priority="24">
      <formula>ISBLANK($A2)=FALSE</formula>
    </cfRule>
    <cfRule type="expression" dxfId="19" priority="40">
      <formula>#REF!=C2</formula>
    </cfRule>
    <cfRule type="expression" dxfId="18" priority="46">
      <formula>$C2&lt;&gt;OFFSET($C2,-1,0,1,1)</formula>
    </cfRule>
    <cfRule type="expression" dxfId="17" priority="53">
      <formula>$A2&lt;&gt;#REF!</formula>
    </cfRule>
    <cfRule type="expression" dxfId="16" priority="55">
      <formula>#REF!=$A2</formula>
    </cfRule>
  </conditionalFormatting>
  <conditionalFormatting sqref="C2:C253">
    <cfRule type="expression" dxfId="15" priority="71">
      <formula>ISBLANK($C2)=FALSE</formula>
    </cfRule>
  </conditionalFormatting>
  <conditionalFormatting sqref="C4">
    <cfRule type="expression" dxfId="14" priority="5">
      <formula>#REF!=$A4</formula>
    </cfRule>
    <cfRule type="expression" dxfId="13" priority="4">
      <formula>$A4&lt;&gt;#REF!</formula>
    </cfRule>
  </conditionalFormatting>
  <conditionalFormatting sqref="C50:C56">
    <cfRule type="expression" dxfId="12" priority="38">
      <formula>#REF!=$A50</formula>
    </cfRule>
    <cfRule type="expression" dxfId="11" priority="37">
      <formula>$A50&lt;&gt;#REF!</formula>
    </cfRule>
    <cfRule type="expression" dxfId="10" priority="42">
      <formula>#REF!=$A50</formula>
    </cfRule>
    <cfRule type="expression" dxfId="9" priority="41">
      <formula>$A50&lt;&gt;#REF!</formula>
    </cfRule>
    <cfRule type="expression" dxfId="8" priority="39">
      <formula>$C50&lt;&gt;OFFSET($C50,-1,0,1,1)</formula>
    </cfRule>
  </conditionalFormatting>
  <conditionalFormatting sqref="C75:C84 A86:B92 C86:C93 C101">
    <cfRule type="expression" dxfId="7" priority="76">
      <formula>#REF!=A75</formula>
    </cfRule>
  </conditionalFormatting>
  <conditionalFormatting sqref="C75:C84 B86:B92 C86:C93 C101">
    <cfRule type="expression" dxfId="6" priority="72">
      <formula>ISBLANK($A75)=FALSE</formula>
    </cfRule>
  </conditionalFormatting>
  <conditionalFormatting sqref="C86:C93 C101 C58:C73 C75:C84 A86:B92">
    <cfRule type="expression" dxfId="5" priority="74">
      <formula>$C58&lt;&gt;OFFSET($C58,-1,0,1,1)</formula>
    </cfRule>
  </conditionalFormatting>
  <conditionalFormatting sqref="H75">
    <cfRule type="expression" dxfId="4" priority="78">
      <formula>ISBLANK($H75)=FALSE</formula>
    </cfRule>
    <cfRule type="expression" dxfId="3" priority="79">
      <formula>$C75&lt;&gt;OFFSET($C75,-1,0,1,1)</formula>
    </cfRule>
    <cfRule type="expression" dxfId="2" priority="80">
      <formula>$H75&lt;&gt;#REF!</formula>
    </cfRule>
    <cfRule type="expression" dxfId="1" priority="81">
      <formula>#REF!=H75</formula>
    </cfRule>
    <cfRule type="expression" dxfId="0" priority="82">
      <formula>#REF!=$H75</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736b1904-91de-4886-bc24-7a478f15bd7e" xsi:nil="true"/>
    <TaxCatchAll xmlns="5d1a2284-45bc-4927-a9f9-e51f9f17c21a" xsi:nil="true"/>
    <lcf76f155ced4ddcb4097134ff3c332f xmlns="736b1904-91de-4886-bc24-7a478f15bd7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4D2CC6AFC985844AD376A4415D80D5E" ma:contentTypeVersion="17" ma:contentTypeDescription="Create a new document." ma:contentTypeScope="" ma:versionID="dc8ac5d478bc6d32382554407a0bf572">
  <xsd:schema xmlns:xsd="http://www.w3.org/2001/XMLSchema" xmlns:xs="http://www.w3.org/2001/XMLSchema" xmlns:p="http://schemas.microsoft.com/office/2006/metadata/properties" xmlns:ns2="736b1904-91de-4886-bc24-7a478f15bd7e" xmlns:ns3="719b3e7a-2613-4a49-9d18-67bceaacb3ee" xmlns:ns4="5d1a2284-45bc-4927-a9f9-e51f9f17c21a" targetNamespace="http://schemas.microsoft.com/office/2006/metadata/properties" ma:root="true" ma:fieldsID="7496d51e42658e979f20bec807660b04" ns2:_="" ns3:_="" ns4:_="">
    <xsd:import namespace="736b1904-91de-4886-bc24-7a478f15bd7e"/>
    <xsd:import namespace="719b3e7a-2613-4a49-9d18-67bceaacb3ee"/>
    <xsd:import namespace="5d1a2284-45bc-4927-a9f9-e51f9f17c21a"/>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Statu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6b1904-91de-4886-bc24-7a478f15bd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Status" ma:index="13" nillable="true" ma:displayName="Status" ma:format="Dropdown" ma:internalName="Status">
      <xsd:simpleType>
        <xsd:union memberTypes="dms:Text">
          <xsd:simpleType>
            <xsd:restriction base="dms:Choice">
              <xsd:enumeration value="Reviewed"/>
              <xsd:enumeration value="To Process"/>
            </xsd:restriction>
          </xsd:simpleType>
        </xsd:un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9b3e7a-2613-4a49-9d18-67bceaacb3e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8418e1f3-91fa-473f-bd19-cc744a8bcb45}" ma:internalName="TaxCatchAll" ma:showField="CatchAllData" ma:web="719b3e7a-2613-4a49-9d18-67bceaacb3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457C79-38B5-4831-82AC-D15BD2320022}">
  <ds:schemaRefs>
    <ds:schemaRef ds:uri="http://www.w3.org/XML/1998/namespace"/>
    <ds:schemaRef ds:uri="http://schemas.microsoft.com/office/2006/documentManagement/types"/>
    <ds:schemaRef ds:uri="http://purl.org/dc/terms/"/>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5d1a2284-45bc-4927-a9f9-e51f9f17c21a"/>
    <ds:schemaRef ds:uri="719b3e7a-2613-4a49-9d18-67bceaacb3ee"/>
    <ds:schemaRef ds:uri="736b1904-91de-4886-bc24-7a478f15bd7e"/>
    <ds:schemaRef ds:uri="http://purl.org/dc/dcmitype/"/>
  </ds:schemaRefs>
</ds:datastoreItem>
</file>

<file path=customXml/itemProps2.xml><?xml version="1.0" encoding="utf-8"?>
<ds:datastoreItem xmlns:ds="http://schemas.openxmlformats.org/officeDocument/2006/customXml" ds:itemID="{4011AACE-B863-4721-A2E9-1850AFE59A49}">
  <ds:schemaRefs>
    <ds:schemaRef ds:uri="http://schemas.microsoft.com/sharepoint/v3/contenttype/forms"/>
  </ds:schemaRefs>
</ds:datastoreItem>
</file>

<file path=customXml/itemProps3.xml><?xml version="1.0" encoding="utf-8"?>
<ds:datastoreItem xmlns:ds="http://schemas.openxmlformats.org/officeDocument/2006/customXml" ds:itemID="{F93B43A2-0CD8-4894-816A-3D80497F73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6b1904-91de-4886-bc24-7a478f15bd7e"/>
    <ds:schemaRef ds:uri="719b3e7a-2613-4a49-9d18-67bceaacb3ee"/>
    <ds:schemaRef ds:uri="5d1a2284-45bc-4927-a9f9-e51f9f17c2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1941c47-a837-430d-8559-fd118a72769e}" enabled="1" method="Standard" siteId="{320c999e-3876-4ad0-b401-d241068e9e6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Background Information</vt:lpstr>
      <vt:lpstr>How to filter</vt:lpstr>
      <vt:lpstr>Change Log</vt:lpstr>
      <vt:lpstr>ExistingGeneration&amp;NewDevs</vt:lpstr>
      <vt:lpstr>Scheduled Capacities</vt:lpstr>
      <vt:lpstr>Site name changes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2025-10-15T21:13:52Z</dcterms:created>
  <dcterms:modified xsi:type="dcterms:W3CDTF">2025-10-31T05:09:53Z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0x010100D4D2CC6AFC985844AD376A4415D80D5E</vt:lpwstr>
  </property>
  <property fmtid="{D5CDD505-2E9C-101B-9397-08002B2CF9AE}" pid="3" name="MediaServiceImageTags">
    <vt:lpwstr/>
  </property>
</Properties>
</file>